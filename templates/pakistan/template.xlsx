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Pakistan" sheetId="2" state="visible" r:id="rId2"/>
    <sheet xmlns:r="http://schemas.openxmlformats.org/officeDocument/2006/relationships" name="Pakistan EE" sheetId="3" state="visible" r:id="rId3"/>
    <sheet xmlns:r="http://schemas.openxmlformats.org/officeDocument/2006/relationships" name="Pakistan-L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#,##0.00_ "/>
    <numFmt numFmtId="165" formatCode="_(&quot;$&quot;* #,##0.00_);_(&quot;$&quot;* \(#,##0.00\);_(&quot;$&quot;* &quot;-&quot;??_);_(@_)"/>
    <numFmt numFmtId="166" formatCode="_(* #,##0_);_(* \(#,##0\);_(* &quot;-&quot;??_);_(@_)"/>
    <numFmt numFmtId="167" formatCode="0.0000"/>
  </numFmts>
  <fonts count="38">
    <font>
      <name val="Calibri"/>
      <family val="2"/>
      <color theme="1"/>
      <sz val="11"/>
      <scheme val="minor"/>
    </font>
    <font>
      <name val="Calibri"/>
      <charset val="134"/>
      <family val="3"/>
      <b val="1"/>
      <color theme="1"/>
      <sz val="10"/>
      <scheme val="minor"/>
    </font>
    <font>
      <name val="Calibri"/>
      <charset val="134"/>
      <family val="3"/>
      <color theme="1"/>
      <sz val="10"/>
      <scheme val="minor"/>
    </font>
    <font>
      <name val="Calibri"/>
      <charset val="134"/>
      <family val="3"/>
      <sz val="9"/>
      <scheme val="minor"/>
    </font>
    <font>
      <name val="Calibri"/>
      <charset val="134"/>
      <family val="2"/>
      <color theme="1"/>
      <sz val="11"/>
      <scheme val="minor"/>
    </font>
    <font>
      <name val="Calibri"/>
      <charset val="134"/>
      <family val="3"/>
      <b val="1"/>
      <color theme="1"/>
      <sz val="11"/>
      <scheme val="minor"/>
    </font>
    <font>
      <name val="Calibri"/>
      <charset val="134"/>
      <family val="2"/>
      <sz val="9"/>
      <scheme val="minor"/>
    </font>
    <font>
      <name val="Calibri"/>
      <family val="2"/>
      <color rgb="FFFA7D00"/>
      <sz val="12"/>
      <scheme val="minor"/>
    </font>
    <font>
      <name val="Calibri"/>
      <charset val="134"/>
      <family val="3"/>
      <color theme="1"/>
      <sz val="11"/>
      <scheme val="minor"/>
    </font>
    <font>
      <name val="Calibri"/>
      <charset val="134"/>
      <family val="4"/>
      <color rgb="FF000000"/>
      <sz val="11"/>
      <scheme val="minor"/>
    </font>
    <font>
      <name val="Calibri"/>
      <charset val="134"/>
      <family val="4"/>
      <color rgb="FF000000"/>
      <sz val="10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0066B3"/>
      <sz val="12"/>
      <scheme val="minor"/>
    </font>
    <font>
      <name val="Calibri"/>
      <family val="2"/>
      <b val="1"/>
      <color rgb="FF8DC63F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color theme="0" tint="-0.49998474074526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.5"/>
      <scheme val="minor"/>
    </font>
    <font>
      <name val="Calibri"/>
      <family val="2"/>
      <sz val="10.5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2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8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color theme="0" tint="-0.499984740745262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i val="1"/>
      <color theme="1"/>
      <sz val="8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color rgb="FF00000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medium">
        <color theme="8" tint="0.5999633777886288"/>
      </left>
      <right/>
      <top/>
      <bottom/>
      <diagonal/>
    </border>
    <border>
      <left/>
      <right style="medium">
        <color theme="8" tint="0.5999633777886288"/>
      </right>
      <top/>
      <bottom/>
      <diagonal/>
    </border>
    <border>
      <left/>
      <right/>
      <top style="medium">
        <color theme="8" tint="0.5999633777886288"/>
      </top>
      <bottom/>
      <diagonal/>
    </border>
    <border>
      <left style="medium">
        <color theme="8" tint="0.5999633777886288"/>
      </left>
      <right/>
      <top style="medium">
        <color theme="8" tint="0.5999633777886288"/>
      </top>
      <bottom/>
      <diagonal/>
    </border>
    <border>
      <left/>
      <right style="medium">
        <color theme="8" tint="0.5999633777886288"/>
      </right>
      <top style="medium">
        <color theme="8" tint="0.5999633777886288"/>
      </top>
      <bottom/>
      <diagonal/>
    </border>
    <border>
      <left style="medium">
        <color theme="8" tint="0.5999633777886288"/>
      </left>
      <right/>
      <top style="hair">
        <color theme="8" tint="0.5999633777886288"/>
      </top>
      <bottom style="medium">
        <color theme="8" tint="0.5999633777886288"/>
      </bottom>
      <diagonal/>
    </border>
    <border>
      <left/>
      <right/>
      <top style="hair">
        <color theme="8" tint="0.5999633777886288"/>
      </top>
      <bottom style="medium">
        <color theme="8" tint="0.5999633777886288"/>
      </bottom>
      <diagonal/>
    </border>
    <border>
      <left/>
      <right style="medium">
        <color theme="8" tint="0.5999633777886288"/>
      </right>
      <top style="hair">
        <color theme="8" tint="0.5999633777886288"/>
      </top>
      <bottom style="medium">
        <color theme="8" tint="0.599963377788628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9BC2E7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hair">
        <color theme="8" tint="0.5999633777886288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3">
    <xf numFmtId="0" fontId="11" fillId="0" borderId="0"/>
    <xf numFmtId="0" fontId="4" fillId="0" borderId="0" applyAlignment="1">
      <alignment vertical="center"/>
    </xf>
    <xf numFmtId="43" fontId="11" fillId="0" borderId="0"/>
  </cellStyleXfs>
  <cellXfs count="20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40" fontId="2" fillId="2" borderId="7" applyAlignment="1" pivotButton="0" quotePrefix="0" xfId="0">
      <alignment vertical="center"/>
    </xf>
    <xf numFmtId="40" fontId="2" fillId="2" borderId="16" applyAlignment="1" pivotButton="0" quotePrefix="0" xfId="0">
      <alignment vertical="center"/>
    </xf>
    <xf numFmtId="40" fontId="2" fillId="2" borderId="8" applyAlignment="1" pivotButton="0" quotePrefix="0" xfId="0">
      <alignment vertical="center"/>
    </xf>
    <xf numFmtId="40" fontId="2" fillId="2" borderId="9" applyAlignment="1" pivotButton="0" quotePrefix="0" xfId="0">
      <alignment vertical="center"/>
    </xf>
    <xf numFmtId="40" fontId="2" fillId="2" borderId="17" applyAlignment="1" pivotButton="0" quotePrefix="0" xfId="0">
      <alignment vertical="center"/>
    </xf>
    <xf numFmtId="40" fontId="2" fillId="2" borderId="1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40" fontId="2" fillId="2" borderId="11" applyAlignment="1" pivotButton="0" quotePrefix="0" xfId="0">
      <alignment vertical="center"/>
    </xf>
    <xf numFmtId="40" fontId="2" fillId="2" borderId="18" applyAlignment="1" pivotButton="0" quotePrefix="0" xfId="0">
      <alignment vertical="center"/>
    </xf>
    <xf numFmtId="40" fontId="2" fillId="2" borderId="12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/>
    </xf>
    <xf numFmtId="2" fontId="0" fillId="0" borderId="0" pivotButton="0" quotePrefix="0" xfId="0"/>
    <xf numFmtId="0" fontId="2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5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9" fontId="0" fillId="0" borderId="0" pivotButton="0" quotePrefix="0" xfId="0"/>
    <xf numFmtId="4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3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vertical="center"/>
    </xf>
    <xf numFmtId="0" fontId="8" fillId="2" borderId="0" applyAlignment="1" pivotButton="0" quotePrefix="0" xfId="0">
      <alignment horizontal="left" vertical="center"/>
    </xf>
    <xf numFmtId="49" fontId="0" fillId="2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40" fontId="10" fillId="0" borderId="24" applyAlignment="1" pivotButton="0" quotePrefix="0" xfId="0">
      <alignment vertical="center"/>
    </xf>
    <xf numFmtId="40" fontId="10" fillId="0" borderId="25" applyAlignment="1" pivotButton="0" quotePrefix="0" xfId="0">
      <alignment vertical="center"/>
    </xf>
    <xf numFmtId="40" fontId="10" fillId="0" borderId="26" applyAlignment="1" pivotButton="0" quotePrefix="0" xfId="0">
      <alignment vertical="center"/>
    </xf>
    <xf numFmtId="40" fontId="10" fillId="0" borderId="27" applyAlignment="1" pivotButton="0" quotePrefix="0" xfId="0">
      <alignment vertical="center"/>
    </xf>
    <xf numFmtId="40" fontId="10" fillId="0" borderId="28" applyAlignment="1" pivotButton="0" quotePrefix="0" xfId="0">
      <alignment vertical="center"/>
    </xf>
    <xf numFmtId="40" fontId="10" fillId="0" borderId="29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14" fontId="22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 indent="1"/>
    </xf>
    <xf numFmtId="40" fontId="26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43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0" fillId="0" borderId="0" applyAlignment="1" pivotButton="0" quotePrefix="0" xfId="0">
      <alignment horizontal="right" vertical="center"/>
    </xf>
    <xf numFmtId="14" fontId="30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right" vertical="center"/>
    </xf>
    <xf numFmtId="0" fontId="33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0" fontId="30" fillId="0" borderId="0" applyAlignment="1" pivotButton="0" quotePrefix="0" xfId="0">
      <alignment vertical="top" wrapText="1"/>
    </xf>
    <xf numFmtId="165" fontId="26" fillId="0" borderId="0" applyAlignment="1" pivotButton="0" quotePrefix="0" xfId="0">
      <alignment horizontal="right" vertical="center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center" vertical="center"/>
    </xf>
    <xf numFmtId="0" fontId="25" fillId="5" borderId="34" applyAlignment="1" pivotButton="0" quotePrefix="0" xfId="0">
      <alignment horizontal="center" vertical="center"/>
    </xf>
    <xf numFmtId="0" fontId="25" fillId="5" borderId="36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 wrapText="1"/>
    </xf>
    <xf numFmtId="166" fontId="12" fillId="0" borderId="0" pivotButton="0" quotePrefix="0" xfId="2"/>
    <xf numFmtId="0" fontId="12" fillId="0" borderId="0" pivotButton="0" quotePrefix="0" xfId="0"/>
    <xf numFmtId="0" fontId="2" fillId="0" borderId="6" applyAlignment="1" pivotButton="0" quotePrefix="0" xfId="0">
      <alignment horizontal="center" vertical="center" shrinkToFit="1"/>
    </xf>
    <xf numFmtId="0" fontId="2" fillId="0" borderId="6" applyAlignment="1" pivotButton="0" quotePrefix="0" xfId="0">
      <alignment horizontal="center" vertical="center" wrapText="1" shrinkToFit="1"/>
    </xf>
    <xf numFmtId="0" fontId="2" fillId="0" borderId="4" applyAlignment="1" pivotButton="0" quotePrefix="0" xfId="0">
      <alignment horizontal="center" vertical="center" wrapText="1"/>
    </xf>
    <xf numFmtId="0" fontId="1" fillId="0" borderId="40" applyAlignment="1" pivotButton="0" quotePrefix="0" xfId="0">
      <alignment vertical="center"/>
    </xf>
    <xf numFmtId="0" fontId="34" fillId="0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center" indent="3"/>
    </xf>
    <xf numFmtId="0" fontId="19" fillId="0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indent="2"/>
    </xf>
    <xf numFmtId="43" fontId="19" fillId="0" borderId="0" applyAlignment="1" pivotButton="0" quotePrefix="0" xfId="0">
      <alignment horizontal="left" vertical="center" indent="1"/>
    </xf>
    <xf numFmtId="43" fontId="34" fillId="0" borderId="0" applyAlignment="1" pivotButton="0" quotePrefix="0" xfId="0">
      <alignment horizontal="left" vertical="center"/>
    </xf>
    <xf numFmtId="165" fontId="35" fillId="0" borderId="33" applyAlignment="1" pivotButton="0" quotePrefix="0" xfId="0">
      <alignment horizontal="left" vertical="center"/>
    </xf>
    <xf numFmtId="165" fontId="19" fillId="0" borderId="33" applyAlignment="1" pivotButton="0" quotePrefix="0" xfId="0">
      <alignment horizontal="left" vertical="center"/>
    </xf>
    <xf numFmtId="43" fontId="19" fillId="0" borderId="0" applyAlignment="1" pivotButton="0" quotePrefix="0" xfId="0">
      <alignment horizontal="left" vertical="center"/>
    </xf>
    <xf numFmtId="165" fontId="34" fillId="0" borderId="33" applyAlignment="1" pivotButton="0" quotePrefix="0" xfId="0">
      <alignment horizontal="left" vertical="center"/>
    </xf>
    <xf numFmtId="43" fontId="16" fillId="0" borderId="0" applyAlignment="1" pivotButton="0" quotePrefix="0" xfId="0">
      <alignment horizontal="left" vertical="center"/>
    </xf>
    <xf numFmtId="165" fontId="16" fillId="0" borderId="33" applyAlignment="1" pivotButton="0" quotePrefix="0" xfId="0">
      <alignment horizontal="left" vertical="center"/>
    </xf>
    <xf numFmtId="43" fontId="26" fillId="0" borderId="38" applyAlignment="1" pivotButton="0" quotePrefix="0" xfId="0">
      <alignment horizontal="left" vertical="center"/>
    </xf>
    <xf numFmtId="165" fontId="26" fillId="0" borderId="39" applyAlignment="1" pivotButton="0" quotePrefix="0" xfId="0">
      <alignment horizontal="left" vertical="center"/>
    </xf>
    <xf numFmtId="167" fontId="28" fillId="0" borderId="0" applyAlignment="1" pivotButton="0" quotePrefix="0" xfId="0">
      <alignment horizontal="left" vertical="center" indent="1"/>
    </xf>
    <xf numFmtId="165" fontId="36" fillId="0" borderId="44" applyAlignment="1" pivotButton="0" quotePrefix="0" xfId="0">
      <alignment horizontal="right" vertical="center"/>
    </xf>
    <xf numFmtId="165" fontId="36" fillId="0" borderId="46" applyAlignment="1" pivotButton="0" quotePrefix="0" xfId="0">
      <alignment horizontal="right" vertical="center"/>
    </xf>
    <xf numFmtId="165" fontId="36" fillId="0" borderId="48" applyAlignment="1" pivotButton="0" quotePrefix="0" xfId="0">
      <alignment horizontal="right" vertical="center"/>
    </xf>
    <xf numFmtId="165" fontId="21" fillId="0" borderId="46" applyAlignment="1" pivotButton="0" quotePrefix="0" xfId="0">
      <alignment horizontal="right" vertical="center"/>
    </xf>
    <xf numFmtId="165" fontId="21" fillId="0" borderId="51" applyAlignment="1" pivotButton="0" quotePrefix="0" xfId="0">
      <alignment horizontal="right" vertical="center"/>
    </xf>
    <xf numFmtId="0" fontId="0" fillId="6" borderId="52" applyAlignment="1" pivotButton="0" quotePrefix="0" xfId="0">
      <alignment vertical="center" wrapText="1"/>
    </xf>
    <xf numFmtId="0" fontId="0" fillId="6" borderId="53" applyAlignment="1" pivotButton="0" quotePrefix="0" xfId="0">
      <alignment horizontal="center" vertical="center" wrapText="1"/>
    </xf>
    <xf numFmtId="4" fontId="0" fillId="6" borderId="53" applyAlignment="1" pivotButton="0" quotePrefix="0" xfId="0">
      <alignment horizontal="center" vertical="center" wrapText="1"/>
    </xf>
    <xf numFmtId="0" fontId="0" fillId="6" borderId="54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56" pivotButton="0" quotePrefix="0" xfId="0"/>
    <xf numFmtId="4" fontId="0" fillId="0" borderId="56" pivotButton="0" quotePrefix="0" xfId="0"/>
    <xf numFmtId="3" fontId="0" fillId="0" borderId="56" pivotButton="0" quotePrefix="0" xfId="0"/>
    <xf numFmtId="4" fontId="2" fillId="0" borderId="6" applyAlignment="1" pivotButton="0" quotePrefix="0" xfId="0">
      <alignment horizontal="center" vertical="center" shrinkToFit="1"/>
    </xf>
    <xf numFmtId="4" fontId="2" fillId="0" borderId="4" applyAlignment="1" pivotButton="0" quotePrefix="0" xfId="0">
      <alignment horizontal="center" vertical="center" shrinkToFit="1"/>
    </xf>
    <xf numFmtId="4" fontId="0" fillId="0" borderId="56" pivotButton="0" quotePrefix="0" xfId="2"/>
    <xf numFmtId="0" fontId="37" fillId="0" borderId="56" pivotButton="0" quotePrefix="0" xfId="0"/>
    <xf numFmtId="0" fontId="21" fillId="0" borderId="32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19" fillId="0" borderId="32" applyAlignment="1" pivotButton="0" quotePrefix="0" xfId="0">
      <alignment horizontal="left" vertical="center" indent="2"/>
    </xf>
    <xf numFmtId="0" fontId="19" fillId="0" borderId="0" applyAlignment="1" pivotButton="0" quotePrefix="0" xfId="0">
      <alignment horizontal="left" vertical="center" indent="2"/>
    </xf>
    <xf numFmtId="0" fontId="21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right" vertical="top" wrapText="1"/>
    </xf>
    <xf numFmtId="0" fontId="34" fillId="0" borderId="32" applyAlignment="1" pivotButton="0" quotePrefix="0" xfId="0">
      <alignment horizontal="left" vertical="center" indent="1"/>
    </xf>
    <xf numFmtId="0" fontId="34" fillId="0" borderId="0" applyAlignment="1" pivotButton="0" quotePrefix="0" xfId="0">
      <alignment horizontal="left" vertical="center" indent="1"/>
    </xf>
    <xf numFmtId="0" fontId="19" fillId="0" borderId="3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32" applyAlignment="1" pivotButton="0" quotePrefix="0" xfId="0">
      <alignment horizontal="left" vertical="center" indent="3"/>
    </xf>
    <xf numFmtId="0" fontId="19" fillId="0" borderId="0" applyAlignment="1" pivotButton="0" quotePrefix="0" xfId="0">
      <alignment horizontal="left" vertical="center" indent="3"/>
    </xf>
    <xf numFmtId="0" fontId="26" fillId="0" borderId="37" applyAlignment="1" pivotButton="0" quotePrefix="0" xfId="0">
      <alignment horizontal="left" vertical="center" indent="1"/>
    </xf>
    <xf numFmtId="0" fontId="26" fillId="0" borderId="38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horizontal="right" vertical="center"/>
    </xf>
    <xf numFmtId="0" fontId="25" fillId="5" borderId="35" applyAlignment="1" pivotButton="0" quotePrefix="0" xfId="0">
      <alignment horizontal="center" vertical="center"/>
    </xf>
    <xf numFmtId="0" fontId="25" fillId="5" borderId="34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164" fontId="16" fillId="3" borderId="0" applyAlignment="1" pivotButton="0" quotePrefix="0" xfId="0">
      <alignment horizontal="left" vertical="center" wrapText="1" indent="2"/>
    </xf>
    <xf numFmtId="164" fontId="16" fillId="3" borderId="30" applyAlignment="1" pivotButton="0" quotePrefix="0" xfId="0">
      <alignment horizontal="left" vertical="center" wrapText="1" indent="2"/>
    </xf>
    <xf numFmtId="164" fontId="16" fillId="3" borderId="31" applyAlignment="1" pivotButton="0" quotePrefix="0" xfId="0">
      <alignment horizontal="left" vertical="center" wrapText="1" indent="2"/>
    </xf>
    <xf numFmtId="43" fontId="36" fillId="0" borderId="42" applyAlignment="1" pivotButton="0" quotePrefix="0" xfId="0">
      <alignment horizontal="right" vertical="center"/>
    </xf>
    <xf numFmtId="43" fontId="36" fillId="0" borderId="43" applyAlignment="1" pivotButton="0" quotePrefix="0" xfId="0">
      <alignment horizontal="right" vertical="center"/>
    </xf>
    <xf numFmtId="43" fontId="36" fillId="0" borderId="45" applyAlignment="1" pivotButton="0" quotePrefix="0" xfId="0">
      <alignment horizontal="right" vertical="center"/>
    </xf>
    <xf numFmtId="43" fontId="36" fillId="0" borderId="0" applyAlignment="1" pivotButton="0" quotePrefix="0" xfId="0">
      <alignment horizontal="right" vertical="center"/>
    </xf>
    <xf numFmtId="40" fontId="36" fillId="0" borderId="47" applyAlignment="1" pivotButton="0" quotePrefix="0" xfId="0">
      <alignment horizontal="right" vertical="center"/>
    </xf>
    <xf numFmtId="40" fontId="36" fillId="0" borderId="41" applyAlignment="1" pivotButton="0" quotePrefix="0" xfId="0">
      <alignment horizontal="right" vertical="center"/>
    </xf>
    <xf numFmtId="43" fontId="21" fillId="0" borderId="45" applyAlignment="1" pivotButton="0" quotePrefix="0" xfId="0">
      <alignment horizontal="right" vertical="center"/>
    </xf>
    <xf numFmtId="43" fontId="21" fillId="0" borderId="0" applyAlignment="1" pivotButton="0" quotePrefix="0" xfId="0">
      <alignment horizontal="right" vertical="center"/>
    </xf>
    <xf numFmtId="43" fontId="21" fillId="0" borderId="45" applyAlignment="1" pivotButton="0" quotePrefix="0" xfId="0">
      <alignment horizontal="right" vertical="center" indent="1"/>
    </xf>
    <xf numFmtId="43" fontId="21" fillId="0" borderId="0" applyAlignment="1" pivotButton="0" quotePrefix="0" xfId="0">
      <alignment horizontal="right" vertical="center" indent="1"/>
    </xf>
    <xf numFmtId="43" fontId="21" fillId="0" borderId="49" applyAlignment="1" pivotButton="0" quotePrefix="0" xfId="0">
      <alignment horizontal="right" vertical="center"/>
    </xf>
    <xf numFmtId="43" fontId="21" fillId="0" borderId="50" applyAlignment="1" pivotButton="0" quotePrefix="0" xfId="0">
      <alignment horizontal="right" vertical="center"/>
    </xf>
    <xf numFmtId="0" fontId="2" fillId="0" borderId="5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 wrapText="1"/>
    </xf>
    <xf numFmtId="0" fontId="2" fillId="0" borderId="20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shrinkToFit="1"/>
    </xf>
    <xf numFmtId="0" fontId="2" fillId="0" borderId="20" applyAlignment="1" pivotButton="0" quotePrefix="0" xfId="0">
      <alignment horizontal="center" vertical="center" shrinkToFit="1"/>
    </xf>
    <xf numFmtId="0" fontId="2" fillId="0" borderId="57" applyAlignment="1" pivotButton="0" quotePrefix="0" xfId="0">
      <alignment horizontal="center" vertical="center" shrinkToFit="1"/>
    </xf>
    <xf numFmtId="0" fontId="8" fillId="0" borderId="1" applyAlignment="1" pivotButton="0" quotePrefix="0" xfId="0">
      <alignment horizontal="center" vertical="center" wrapText="1"/>
    </xf>
    <xf numFmtId="0" fontId="8" fillId="0" borderId="2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34" pivotButton="0" quotePrefix="0" xfId="0"/>
    <xf numFmtId="43" fontId="34" fillId="0" borderId="0" applyAlignment="1" pivotButton="0" quotePrefix="0" xfId="0">
      <alignment horizontal="left" vertical="center"/>
    </xf>
    <xf numFmtId="165" fontId="35" fillId="0" borderId="33" applyAlignment="1" pivotButton="0" quotePrefix="0" xfId="0">
      <alignment horizontal="left" vertical="center"/>
    </xf>
    <xf numFmtId="43" fontId="19" fillId="0" borderId="0" applyAlignment="1" pivotButton="0" quotePrefix="0" xfId="0">
      <alignment horizontal="left" vertical="center" indent="1"/>
    </xf>
    <xf numFmtId="165" fontId="19" fillId="0" borderId="33" applyAlignment="1" pivotButton="0" quotePrefix="0" xfId="0">
      <alignment horizontal="left" vertical="center"/>
    </xf>
    <xf numFmtId="165" fontId="34" fillId="0" borderId="33" applyAlignment="1" pivotButton="0" quotePrefix="0" xfId="0">
      <alignment horizontal="left" vertical="center"/>
    </xf>
    <xf numFmtId="43" fontId="19" fillId="0" borderId="0" applyAlignment="1" pivotButton="0" quotePrefix="0" xfId="0">
      <alignment horizontal="left" vertical="center"/>
    </xf>
    <xf numFmtId="43" fontId="16" fillId="0" borderId="0" applyAlignment="1" pivotButton="0" quotePrefix="0" xfId="0">
      <alignment horizontal="left" vertical="center"/>
    </xf>
    <xf numFmtId="165" fontId="16" fillId="0" borderId="33" applyAlignment="1" pivotButton="0" quotePrefix="0" xfId="0">
      <alignment horizontal="left" vertical="center"/>
    </xf>
    <xf numFmtId="0" fontId="0" fillId="0" borderId="38" pivotButton="0" quotePrefix="0" xfId="0"/>
    <xf numFmtId="43" fontId="26" fillId="0" borderId="38" applyAlignment="1" pivotButton="0" quotePrefix="0" xfId="0">
      <alignment horizontal="left" vertical="center"/>
    </xf>
    <xf numFmtId="165" fontId="26" fillId="0" borderId="39" applyAlignment="1" pivotButton="0" quotePrefix="0" xfId="0">
      <alignment horizontal="left" vertical="center"/>
    </xf>
    <xf numFmtId="43" fontId="26" fillId="0" borderId="0" applyAlignment="1" pivotButton="0" quotePrefix="0" xfId="0">
      <alignment vertical="center"/>
    </xf>
    <xf numFmtId="165" fontId="26" fillId="0" borderId="0" applyAlignment="1" pivotButton="0" quotePrefix="0" xfId="0">
      <alignment horizontal="right" vertical="center"/>
    </xf>
    <xf numFmtId="167" fontId="28" fillId="0" borderId="0" applyAlignment="1" pivotButton="0" quotePrefix="0" xfId="0">
      <alignment horizontal="left" vertical="center" indent="1"/>
    </xf>
    <xf numFmtId="43" fontId="36" fillId="0" borderId="42" applyAlignment="1" pivotButton="0" quotePrefix="0" xfId="0">
      <alignment horizontal="right" vertical="center"/>
    </xf>
    <xf numFmtId="0" fontId="0" fillId="0" borderId="43" pivotButton="0" quotePrefix="0" xfId="0"/>
    <xf numFmtId="165" fontId="36" fillId="0" borderId="44" applyAlignment="1" pivotButton="0" quotePrefix="0" xfId="0">
      <alignment horizontal="right" vertical="center"/>
    </xf>
    <xf numFmtId="43" fontId="36" fillId="0" borderId="45" applyAlignment="1" pivotButton="0" quotePrefix="0" xfId="0">
      <alignment horizontal="right" vertical="center"/>
    </xf>
    <xf numFmtId="165" fontId="36" fillId="0" borderId="46" applyAlignment="1" pivotButton="0" quotePrefix="0" xfId="0">
      <alignment horizontal="right" vertical="center"/>
    </xf>
    <xf numFmtId="0" fontId="0" fillId="0" borderId="41" pivotButton="0" quotePrefix="0" xfId="0"/>
    <xf numFmtId="165" fontId="36" fillId="0" borderId="48" applyAlignment="1" pivotButton="0" quotePrefix="0" xfId="0">
      <alignment horizontal="right" vertical="center"/>
    </xf>
    <xf numFmtId="43" fontId="21" fillId="0" borderId="45" applyAlignment="1" pivotButton="0" quotePrefix="0" xfId="0">
      <alignment horizontal="right" vertical="center"/>
    </xf>
    <xf numFmtId="165" fontId="21" fillId="0" borderId="46" applyAlignment="1" pivotButton="0" quotePrefix="0" xfId="0">
      <alignment horizontal="right" vertical="center"/>
    </xf>
    <xf numFmtId="43" fontId="21" fillId="0" borderId="45" applyAlignment="1" pivotButton="0" quotePrefix="0" xfId="0">
      <alignment horizontal="right" vertical="center" indent="1"/>
    </xf>
    <xf numFmtId="43" fontId="21" fillId="0" borderId="49" applyAlignment="1" pivotButton="0" quotePrefix="0" xfId="0">
      <alignment horizontal="right" vertical="center"/>
    </xf>
    <xf numFmtId="0" fontId="0" fillId="0" borderId="50" pivotButton="0" quotePrefix="0" xfId="0"/>
    <xf numFmtId="165" fontId="21" fillId="0" borderId="51" applyAlignment="1" pivotButton="0" quotePrefix="0" xfId="0">
      <alignment horizontal="right" vertical="center"/>
    </xf>
    <xf numFmtId="164" fontId="16" fillId="3" borderId="30" applyAlignment="1" pivotButton="0" quotePrefix="0" xfId="0">
      <alignment horizontal="left" vertical="center" wrapText="1" indent="2"/>
    </xf>
    <xf numFmtId="0" fontId="0" fillId="0" borderId="30" pivotButton="0" quotePrefix="0" xfId="0"/>
    <xf numFmtId="164" fontId="16" fillId="3" borderId="31" applyAlignment="1" pivotButton="0" quotePrefix="0" xfId="0">
      <alignment horizontal="left" vertical="center" wrapText="1" indent="2"/>
    </xf>
    <xf numFmtId="164" fontId="2" fillId="0" borderId="0" applyAlignment="1" pivotButton="0" quotePrefix="0" xfId="0">
      <alignment vertical="center"/>
    </xf>
    <xf numFmtId="0" fontId="0" fillId="0" borderId="20" pivotButton="0" quotePrefix="0" xfId="0"/>
    <xf numFmtId="0" fontId="0" fillId="0" borderId="57" pivotButton="0" quotePrefix="0" xfId="0"/>
    <xf numFmtId="0" fontId="0" fillId="0" borderId="62" pivotButton="0" quotePrefix="0" xfId="0"/>
    <xf numFmtId="0" fontId="0" fillId="0" borderId="64" pivotButton="0" quotePrefix="0" xfId="0"/>
    <xf numFmtId="166" fontId="12" fillId="0" borderId="0" pivotButton="0" quotePrefix="0" xfId="2"/>
  </cellXfs>
  <cellStyles count="3">
    <cellStyle name="Normal" xfId="0" builtinId="0"/>
    <cellStyle name="常规 2" xfId="1"/>
    <cellStyle name="Comma" xfId="2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29028</colOff>
      <row>2</row>
      <rowOff>109286</rowOff>
    </to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7857" cy="5356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tabSelected="1" zoomScale="150" zoomScaleNormal="150" workbookViewId="0">
      <selection activeCell="H37" sqref="H37"/>
    </sheetView>
  </sheetViews>
  <sheetFormatPr baseColWidth="8" defaultColWidth="14.6328125" defaultRowHeight="10.5"/>
  <cols>
    <col width="14.6328125" customWidth="1" style="51" min="1" max="2"/>
    <col width="13.81640625" customWidth="1" style="51" min="3" max="3"/>
    <col width="12.6328125" customWidth="1" style="51" min="4" max="4"/>
    <col width="14.6328125" customWidth="1" style="51" min="5" max="5"/>
    <col width="13.453125" customWidth="1" style="53" min="6" max="6"/>
    <col width="14.6328125" customWidth="1" style="53" min="7" max="7"/>
    <col width="14.6328125" customWidth="1" style="51" min="8" max="16384"/>
  </cols>
  <sheetData>
    <row r="1" ht="19" customHeight="1">
      <c r="B1" s="133" t="inlineStr">
        <is>
          <t>NNRoad – Employer of Record, Payroll Worldwide</t>
        </is>
      </c>
      <c r="G1" s="52" t="n"/>
      <c r="H1" s="53" t="n"/>
    </row>
    <row r="2" ht="14.25" customHeight="1">
      <c r="B2" s="134" t="inlineStr">
        <is>
          <t>333 W San Carlos St., Suite 600, San Jose, CA 95113, USA</t>
        </is>
      </c>
      <c r="G2" s="52" t="n"/>
      <c r="H2" s="53" t="n"/>
    </row>
    <row r="3" ht="18" customFormat="1" customHeight="1" s="54">
      <c r="B3" s="134" t="inlineStr">
        <is>
          <t>USA: +1 (669) 377-5080 | www.NNRoad.com</t>
        </is>
      </c>
      <c r="G3" s="52" t="n"/>
      <c r="H3" s="52" t="n"/>
    </row>
    <row r="4" ht="14" customFormat="1" customHeight="1" s="54">
      <c r="G4" s="52" t="n"/>
      <c r="H4" s="52" t="n"/>
    </row>
    <row r="5" ht="32" customFormat="1" customHeight="1" s="54">
      <c r="A5" s="137" t="inlineStr">
        <is>
          <t>INVOICE</t>
        </is>
      </c>
    </row>
    <row r="6" ht="12" customFormat="1" customHeight="1" s="54">
      <c r="A6" s="49" t="n"/>
      <c r="B6" s="49" t="n"/>
      <c r="C6" s="49" t="n"/>
      <c r="D6" s="49" t="n"/>
      <c r="E6" s="49" t="n"/>
      <c r="F6" s="49" t="n"/>
    </row>
    <row r="7" ht="13" customFormat="1" customHeight="1" s="54">
      <c r="A7" s="50" t="inlineStr">
        <is>
          <t>Bill to:</t>
        </is>
      </c>
      <c r="B7" s="50" t="n"/>
      <c r="C7" s="50" t="n"/>
      <c r="D7" s="50" t="n"/>
      <c r="E7" s="50" t="n"/>
    </row>
    <row r="8" ht="13" customFormat="1" customHeight="1" s="55">
      <c r="A8" s="64" t="inlineStr">
        <is>
          <t>Company name:</t>
        </is>
      </c>
      <c r="B8" s="65" t="inlineStr">
        <is>
          <t>Danfoss Fzco</t>
        </is>
      </c>
      <c r="C8" s="71" t="n"/>
      <c r="D8" s="64" t="inlineStr">
        <is>
          <t>Currency</t>
        </is>
      </c>
      <c r="E8" s="64" t="n"/>
      <c r="F8" s="65" t="inlineStr">
        <is>
          <t>USD</t>
        </is>
      </c>
    </row>
    <row r="9" ht="13" customFormat="1" customHeight="1" s="55">
      <c r="A9" s="64" t="inlineStr">
        <is>
          <t>Client ID:</t>
        </is>
      </c>
      <c r="B9" s="65" t="inlineStr">
        <is>
          <t>CUS1677</t>
        </is>
      </c>
      <c r="C9" s="72" t="n"/>
      <c r="D9" s="64" t="inlineStr">
        <is>
          <t>Invoice number</t>
        </is>
      </c>
      <c r="E9" s="64" t="n"/>
      <c r="F9" s="65" t="inlineStr">
        <is>
          <t>PN-CUS1677-060320261</t>
        </is>
      </c>
    </row>
    <row r="10" ht="13" customFormat="1" customHeight="1" s="54">
      <c r="A10" s="64" t="inlineStr">
        <is>
          <t>Address:</t>
        </is>
      </c>
      <c r="B10" s="124" t="inlineStr">
        <is>
          <t xml:space="preserve">Plot No. EWTA96 Opp. Belhasa Driving School Jebel Ali </t>
        </is>
      </c>
      <c r="C10" s="72" t="n"/>
      <c r="D10" s="64" t="inlineStr">
        <is>
          <t>Invoice date</t>
        </is>
      </c>
      <c r="E10" s="64" t="n"/>
      <c r="F10" s="66">
        <f>TODAY()</f>
        <v/>
      </c>
    </row>
    <row r="11" ht="12" customFormat="1" customHeight="1" s="55">
      <c r="A11" s="67" t="n"/>
      <c r="D11" s="64" t="inlineStr">
        <is>
          <t>Due date</t>
        </is>
      </c>
      <c r="E11" s="64" t="n"/>
      <c r="F11" s="66" t="n">
        <v>46218</v>
      </c>
    </row>
    <row r="12" ht="12" customFormat="1" customHeight="1" s="54">
      <c r="A12" s="57" t="n"/>
      <c r="B12" s="57" t="n"/>
      <c r="C12" s="57" t="n"/>
      <c r="D12" s="57" t="n"/>
      <c r="E12" s="58" t="n"/>
    </row>
    <row r="13" ht="11" customHeight="1" thickBot="1">
      <c r="G13" s="51" t="n"/>
    </row>
    <row r="14" ht="28" customFormat="1" customHeight="1" s="59">
      <c r="A14" s="135" t="inlineStr">
        <is>
          <t>Description</t>
        </is>
      </c>
      <c r="B14" s="172" t="n"/>
      <c r="C14" s="172" t="n"/>
      <c r="D14" s="136" t="n"/>
      <c r="E14" s="136">
        <f>"Amount "&amp;Pakistan!C6</f>
        <v/>
      </c>
      <c r="F14" s="77" t="inlineStr">
        <is>
          <t>Approx. In USD*</t>
        </is>
      </c>
    </row>
    <row r="15" ht="16" customFormat="1" customHeight="1" s="62">
      <c r="A15" s="125" t="inlineStr">
        <is>
          <t>EOR/PEO Cost</t>
        </is>
      </c>
      <c r="D15" s="126" t="n"/>
      <c r="E15" s="173">
        <f>SUM(E16:E23)</f>
        <v/>
      </c>
      <c r="F15" s="174">
        <f>SUM(F16:F23)</f>
        <v/>
      </c>
    </row>
    <row r="16" ht="13" customFormat="1" customHeight="1" s="56">
      <c r="A16" s="129">
        <f>"- Labor cost for "&amp;Pakistan!B9&amp;"  -  "&amp;MONTH(Pakistan!$B$2) &amp;"-"&amp; YEAR(Pakistan!$B$2)</f>
        <v/>
      </c>
      <c r="D16" s="130" t="n"/>
      <c r="E16" s="175">
        <f>Pakistan!I9+Pakistan!Q9</f>
        <v/>
      </c>
      <c r="F16" s="176">
        <f>E16/$B$33</f>
        <v/>
      </c>
    </row>
    <row r="17" ht="13" customFormat="1" customHeight="1" s="56">
      <c r="A17" s="129">
        <f>"- Labor cost for "&amp;Pakistan!B10&amp;"  -  "&amp;MONTH(Pakistan!$B$2)+1 &amp;"-"&amp; YEAR(Pakistan!$B$2)</f>
        <v/>
      </c>
      <c r="D17" s="130" t="n"/>
      <c r="E17" s="175">
        <f>Pakistan!I10+Pakistan!Q10</f>
        <v/>
      </c>
      <c r="F17" s="176">
        <f>E17/$B$33</f>
        <v/>
      </c>
    </row>
    <row r="18" ht="13" customFormat="1" customHeight="1" s="56">
      <c r="A18" s="129">
        <f>"- Labor cost for "&amp;Pakistan!B11&amp;"  -  "&amp;MONTH(Pakistan!$B$2) +2&amp;"-"&amp; YEAR(Pakistan!$B$2)</f>
        <v/>
      </c>
      <c r="D18" s="130" t="n"/>
      <c r="E18" s="175">
        <f>Pakistan!I11+Pakistan!Q11</f>
        <v/>
      </c>
      <c r="F18" s="176">
        <f>E18/$B$33</f>
        <v/>
      </c>
    </row>
    <row r="19" ht="13" customFormat="1" customHeight="1" s="56">
      <c r="A19" s="129">
        <f>"- Labor cost for "&amp;Pakistan!B12&amp;"  -  "&amp;MONTH(Pakistan!$B$2)&amp;"-"&amp; YEAR(Pakistan!$B$2)</f>
        <v/>
      </c>
      <c r="D19" s="130" t="n"/>
      <c r="E19" s="175">
        <f>Pakistan!I12+Pakistan!Q12</f>
        <v/>
      </c>
      <c r="F19" s="176">
        <f>E19/$B$33</f>
        <v/>
      </c>
    </row>
    <row r="20" ht="13" customFormat="1" customHeight="1" s="56">
      <c r="A20" s="129">
        <f>"- Labor cost for "&amp;Pakistan!B13&amp;"  -  "&amp;MONTH(Pakistan!$B$2)+1&amp;"-"&amp; YEAR(Pakistan!$B$2)</f>
        <v/>
      </c>
      <c r="D20" s="130" t="n"/>
      <c r="E20" s="175">
        <f>Pakistan!I13+Pakistan!Q13</f>
        <v/>
      </c>
      <c r="F20" s="176">
        <f>E20/$B$33</f>
        <v/>
      </c>
    </row>
    <row r="21" ht="13" customFormat="1" customHeight="1" s="56">
      <c r="A21" s="129">
        <f>"- Labor cost for "&amp;Pakistan!B14&amp;"  -  "&amp;MONTH(Pakistan!$B$2)+2&amp;"-"&amp; YEAR(Pakistan!$B$2)</f>
        <v/>
      </c>
      <c r="D21" s="130" t="n"/>
      <c r="E21" s="175">
        <f>Pakistan!I14+Pakistan!Q14</f>
        <v/>
      </c>
      <c r="F21" s="176">
        <f>E21/$B$33</f>
        <v/>
      </c>
    </row>
    <row r="22" ht="13" customHeight="1">
      <c r="A22" s="129">
        <f>"- "&amp;+"Expense claim for "&amp;Pakistan!B9</f>
        <v/>
      </c>
      <c r="D22" s="130" t="n"/>
      <c r="E22" s="175">
        <f>Pakistan!T9</f>
        <v/>
      </c>
      <c r="F22" s="176">
        <f>E22/$B$33</f>
        <v/>
      </c>
      <c r="G22" s="51" t="n"/>
    </row>
    <row r="23" ht="13" customHeight="1">
      <c r="A23" s="129">
        <f>"- "&amp;+"Expense claim for "&amp;Pakistan!B12</f>
        <v/>
      </c>
      <c r="D23" s="88" t="n"/>
      <c r="E23" s="175">
        <f>Pakistan!T12</f>
        <v/>
      </c>
      <c r="F23" s="176">
        <f>E23/$B$33</f>
        <v/>
      </c>
      <c r="G23" s="51" t="n"/>
    </row>
    <row r="24" ht="13" customHeight="1">
      <c r="A24" s="127" t="n"/>
      <c r="D24" s="128" t="n"/>
      <c r="E24" s="175" t="n"/>
      <c r="F24" s="176" t="n"/>
      <c r="G24" s="51" t="n"/>
    </row>
    <row r="25" ht="16" customFormat="1" customHeight="1" s="68">
      <c r="A25" s="125" t="inlineStr">
        <is>
          <t>Service Fee</t>
        </is>
      </c>
      <c r="D25" s="126" t="n"/>
      <c r="E25" s="173">
        <f>SUM(E26:E28)</f>
        <v/>
      </c>
      <c r="F25" s="177">
        <f>SUM(F26:F28)</f>
        <v/>
      </c>
    </row>
    <row r="26" ht="13" customHeight="1">
      <c r="A26" s="121">
        <f>"- "&amp;+"Management Fee - "&amp;MONTH(Pakistan!$B$2) &amp;"-"&amp; YEAR(Pakistan!$B$2)</f>
        <v/>
      </c>
      <c r="D26" s="122" t="n"/>
      <c r="E26" s="178">
        <f>Pakistan!H9+Pakistan!H12</f>
        <v/>
      </c>
      <c r="F26" s="176">
        <f>E26/$B$33</f>
        <v/>
      </c>
      <c r="G26" s="51" t="n"/>
    </row>
    <row r="27" ht="13" customHeight="1">
      <c r="A27" s="121">
        <f>"- "&amp;+"Management Fee - "&amp;MONTH(Pakistan!$B$2) +1&amp;"-"&amp; YEAR(Pakistan!$B$2)</f>
        <v/>
      </c>
      <c r="D27" s="122" t="n"/>
      <c r="E27" s="178">
        <f>Pakistan!H10+Pakistan!H13</f>
        <v/>
      </c>
      <c r="F27" s="176">
        <f>E27/$B$33</f>
        <v/>
      </c>
      <c r="G27" s="51" t="n"/>
    </row>
    <row r="28" ht="13" customHeight="1">
      <c r="A28" s="121">
        <f>"- "&amp;+"Management Fee - "&amp;MONTH(Pakistan!$B$2) +2&amp;"-"&amp; YEAR(Pakistan!$B$2)</f>
        <v/>
      </c>
      <c r="D28" s="122" t="n"/>
      <c r="E28" s="178">
        <f>Pakistan!H11+Pakistan!H14</f>
        <v/>
      </c>
      <c r="F28" s="176">
        <f>E28/$B$33</f>
        <v/>
      </c>
      <c r="G28" s="51" t="n"/>
    </row>
    <row r="29" ht="14.5" customHeight="1">
      <c r="A29" s="119" t="n"/>
      <c r="D29" s="120" t="n"/>
      <c r="E29" s="179" t="n"/>
      <c r="F29" s="180" t="n"/>
      <c r="G29" s="51" t="n"/>
    </row>
    <row r="30" ht="15" customFormat="1" customHeight="1" s="62" thickBot="1">
      <c r="A30" s="131" t="inlineStr">
        <is>
          <t xml:space="preserve">EOR/PEO Service Cost		</t>
        </is>
      </c>
      <c r="B30" s="181" t="n"/>
      <c r="C30" s="181" t="n"/>
      <c r="D30" s="181" t="n"/>
      <c r="E30" s="182">
        <f>E15+E25</f>
        <v/>
      </c>
      <c r="F30" s="183">
        <f>F15+F25</f>
        <v/>
      </c>
    </row>
    <row r="31" ht="14.5" customFormat="1" customHeight="1" s="62">
      <c r="A31" s="74" t="n"/>
      <c r="B31" s="74" t="n"/>
      <c r="C31" s="75" t="n"/>
      <c r="D31" s="75" t="n"/>
      <c r="E31" s="184" t="n"/>
      <c r="F31" s="185" t="n"/>
    </row>
    <row r="32" ht="15" customFormat="1" customHeight="1" s="62" thickBot="1">
      <c r="A32" s="70" t="n"/>
      <c r="B32" s="70" t="n"/>
      <c r="C32" s="70" t="n"/>
      <c r="D32" s="70" t="n"/>
      <c r="E32" s="184" t="n"/>
      <c r="F32" s="185" t="n"/>
    </row>
    <row r="33" ht="26" customHeight="1">
      <c r="A33" s="79">
        <f>"*FX rate  USD:  "&amp;Pakistan!C6</f>
        <v/>
      </c>
      <c r="B33" s="186">
        <f>270.0317</f>
        <v/>
      </c>
      <c r="C33" s="184" t="n"/>
      <c r="D33" s="187" t="inlineStr">
        <is>
          <t>EOR/PEO Service Cost</t>
        </is>
      </c>
      <c r="E33" s="188" t="n"/>
      <c r="F33" s="189">
        <f>F30</f>
        <v/>
      </c>
      <c r="G33" s="51" t="n"/>
    </row>
    <row r="34" ht="16" customFormat="1" customHeight="1" s="56">
      <c r="A34" s="78" t="n"/>
      <c r="B34" s="78" t="n"/>
      <c r="C34" s="184" t="n"/>
      <c r="D34" s="190" t="inlineStr">
        <is>
          <t xml:space="preserve">Outstanding payment </t>
        </is>
      </c>
      <c r="F34" s="191">
        <f>Pakistan!E22</f>
        <v/>
      </c>
    </row>
    <row r="35" ht="14.5" customFormat="1" customHeight="1" s="56">
      <c r="A35" s="78" t="n"/>
      <c r="B35" s="78" t="n"/>
      <c r="C35" s="184" t="n"/>
      <c r="D35" s="190" t="inlineStr">
        <is>
          <t xml:space="preserve">FX difference </t>
        </is>
      </c>
      <c r="F35" s="191">
        <f>Pakistan!E23</f>
        <v/>
      </c>
    </row>
    <row r="36" ht="14.5" customHeight="1">
      <c r="A36" s="78" t="n"/>
      <c r="B36" s="78" t="n"/>
      <c r="C36" s="184" t="n"/>
      <c r="D36" s="190" t="inlineStr">
        <is>
          <t xml:space="preserve">Interests of delay </t>
        </is>
      </c>
      <c r="F36" s="191">
        <f>Pakistan!E24</f>
        <v/>
      </c>
      <c r="G36" s="51" t="n"/>
    </row>
    <row r="37" ht="15" customHeight="1" thickBot="1">
      <c r="A37" s="78" t="n"/>
      <c r="B37" s="78" t="n"/>
      <c r="C37" s="61" t="n"/>
      <c r="D37" s="145" t="inlineStr">
        <is>
          <t xml:space="preserve">Bank Charges </t>
        </is>
      </c>
      <c r="E37" s="192" t="n"/>
      <c r="F37" s="193">
        <f>Pakistan!E25</f>
        <v/>
      </c>
      <c r="G37" s="51" t="n"/>
    </row>
    <row r="38" ht="14.5" customHeight="1">
      <c r="A38" s="78" t="n"/>
      <c r="B38" s="78" t="n"/>
      <c r="C38" s="184" t="n"/>
      <c r="D38" s="194" t="inlineStr">
        <is>
          <t xml:space="preserve">Sub Total (Excluding Tax)		</t>
        </is>
      </c>
      <c r="F38" s="195">
        <f>SUM(F33:F37)</f>
        <v/>
      </c>
      <c r="G38" s="51" t="n"/>
    </row>
    <row r="39" ht="14.5" customHeight="1">
      <c r="A39" s="78" t="n"/>
      <c r="B39" s="78" t="n"/>
      <c r="C39" s="184" t="n"/>
      <c r="D39" s="196" t="inlineStr">
        <is>
          <t>Tax</t>
        </is>
      </c>
      <c r="F39" s="195">
        <f>Pakistan!F6/B33</f>
        <v/>
      </c>
      <c r="G39" s="51" t="n"/>
    </row>
    <row r="40" ht="15" customHeight="1" thickBot="1">
      <c r="A40" s="69" t="n"/>
      <c r="B40" s="69" t="n"/>
      <c r="C40" s="184" t="n"/>
      <c r="D40" s="197" t="inlineStr">
        <is>
          <t xml:space="preserve">Total		</t>
        </is>
      </c>
      <c r="E40" s="198" t="n"/>
      <c r="F40" s="199">
        <f>SUM(F38:F39)</f>
        <v/>
      </c>
      <c r="G40" s="51" t="n"/>
    </row>
    <row r="41" ht="14.5" customHeight="1">
      <c r="A41" s="120" t="n"/>
      <c r="B41" s="120" t="n"/>
      <c r="C41" s="120" t="n"/>
      <c r="D41" s="120" t="n"/>
      <c r="E41" s="61" t="n"/>
      <c r="F41" s="61" t="n"/>
      <c r="G41" s="51" t="n"/>
    </row>
    <row r="42" ht="14.5" customHeight="1">
      <c r="A42" s="120" t="n"/>
      <c r="B42" s="120" t="n"/>
      <c r="C42" s="120" t="n"/>
      <c r="D42" s="120" t="n"/>
      <c r="E42" s="61" t="n"/>
      <c r="F42" s="61" t="n"/>
      <c r="G42" s="51" t="n"/>
    </row>
    <row r="43">
      <c r="G43" s="51" t="n"/>
    </row>
    <row r="44" ht="19" customHeight="1">
      <c r="A44" s="123" t="inlineStr">
        <is>
          <t xml:space="preserve">Please pay the Invoice in FULL AMOUNT </t>
        </is>
      </c>
      <c r="G44" s="51" t="n"/>
    </row>
    <row r="45" ht="61" customHeight="1">
      <c r="A45" s="200" t="inlineStr">
        <is>
          <t>Beneficiary: NNROAD, INC.
Bank Name: Chase Bank
Bank Account: 132827913
Bank Add.: 690 River Oaks Parkway Ste A, San Jose, CA 95134, USA</t>
        </is>
      </c>
      <c r="C45" s="201" t="n"/>
      <c r="D45" s="202" t="inlineStr">
        <is>
          <t xml:space="preserve">
SWIFT BIC (international transfer): CHASUS33XXX
Routing Number (domestic wire transfer): 021000021
Routing Number (domestic ACH and direct deposit): 322271627</t>
        </is>
      </c>
      <c r="G45" s="51" t="n"/>
    </row>
    <row r="46">
      <c r="A46" s="51" t="inlineStr">
        <is>
          <t>Notes:</t>
        </is>
      </c>
      <c r="G46" s="51" t="n"/>
    </row>
    <row r="47" ht="11" customHeight="1">
      <c r="A47" s="62" t="inlineStr">
        <is>
          <t>1. Please ensure that you include the Invoice Number when making your payment. This will help us accurately process and allocate your payment .</t>
        </is>
      </c>
      <c r="B47" s="62" t="n"/>
      <c r="C47" s="62" t="n"/>
      <c r="D47" s="62" t="n"/>
      <c r="E47" s="62" t="n"/>
      <c r="F47" s="62" t="n"/>
      <c r="G47" s="51" t="n"/>
    </row>
    <row r="48">
      <c r="A48" s="62" t="inlineStr">
        <is>
          <t>2. This document becomes a Tax Invoice/Receipt upon payment. Please retain a copy for your records.</t>
        </is>
      </c>
      <c r="G48" s="51" t="n"/>
    </row>
    <row r="49">
      <c r="A49" s="62" t="inlineStr">
        <is>
          <t>3. This is a computer generated document.  No Signature required.</t>
        </is>
      </c>
      <c r="G49" s="51" t="n"/>
    </row>
    <row r="50">
      <c r="G50" s="51" t="n"/>
    </row>
    <row r="51">
      <c r="F51" s="51" t="n"/>
      <c r="G51" s="51" t="n"/>
    </row>
    <row r="52">
      <c r="F52" s="51" t="n"/>
      <c r="G52" s="51" t="n"/>
    </row>
    <row r="53">
      <c r="F53" s="51" t="n"/>
      <c r="G53" s="51" t="n"/>
    </row>
    <row r="54">
      <c r="F54" s="51" t="n"/>
      <c r="G54" s="51" t="n"/>
    </row>
    <row r="55">
      <c r="F55" s="51" t="n"/>
      <c r="G55" s="51" t="n"/>
    </row>
    <row r="56">
      <c r="F56" s="51" t="n"/>
      <c r="G56" s="51" t="n"/>
    </row>
    <row r="57">
      <c r="F57" s="51" t="n"/>
      <c r="G57" s="51" t="n"/>
    </row>
    <row r="58">
      <c r="F58" s="51" t="n"/>
      <c r="G58" s="51" t="n"/>
    </row>
    <row r="59">
      <c r="F59" s="51" t="n"/>
      <c r="G59" s="51" t="n"/>
    </row>
    <row r="60">
      <c r="F60" s="51" t="n"/>
      <c r="G60" s="51" t="n"/>
    </row>
    <row r="61">
      <c r="F61" s="51" t="n"/>
      <c r="G61" s="51" t="n"/>
    </row>
    <row r="62">
      <c r="F62" s="51" t="n"/>
      <c r="G62" s="51" t="n"/>
    </row>
    <row r="63">
      <c r="F63" s="51" t="n"/>
      <c r="G63" s="51" t="n"/>
    </row>
    <row r="64">
      <c r="F64" s="51" t="n"/>
      <c r="G64" s="51" t="n"/>
    </row>
    <row r="65" customFormat="1" s="51"/>
    <row r="66" customFormat="1" s="51"/>
    <row r="67" customFormat="1" s="51"/>
    <row r="68" customFormat="1" s="51"/>
    <row r="69" customFormat="1" s="51"/>
    <row r="70" customFormat="1" s="51"/>
    <row r="71" customFormat="1" s="51"/>
    <row r="72" customFormat="1" s="51"/>
    <row r="73" customFormat="1" s="51"/>
    <row r="74" customFormat="1" s="51"/>
    <row r="75" customFormat="1" s="51"/>
    <row r="76" customFormat="1" s="51"/>
    <row r="77" customFormat="1" s="51"/>
    <row r="78" customFormat="1" s="51"/>
    <row r="79" customFormat="1" s="51"/>
    <row r="80" customFormat="1" s="51"/>
    <row r="81" customFormat="1" s="51"/>
    <row r="82" customFormat="1" s="51"/>
    <row r="83" customFormat="1" s="51"/>
    <row r="84" customFormat="1" s="51"/>
    <row r="85" customFormat="1" s="51"/>
    <row r="86" customFormat="1" s="51"/>
    <row r="87" customFormat="1" s="51"/>
    <row r="88" customFormat="1" s="51"/>
    <row r="89" customFormat="1" s="51"/>
    <row r="90" customFormat="1" s="51"/>
    <row r="91" customFormat="1" s="51"/>
    <row r="92" customFormat="1" s="51"/>
    <row r="93" customFormat="1" s="51"/>
    <row r="94" customFormat="1" s="51"/>
    <row r="95" customFormat="1" s="51"/>
    <row r="96" customFormat="1" s="51"/>
    <row r="97" customFormat="1" s="51"/>
    <row r="98" customFormat="1" s="51"/>
    <row r="99" customFormat="1" s="51"/>
    <row r="100" customFormat="1" s="51"/>
    <row r="101" customFormat="1" s="51"/>
    <row r="102" customFormat="1" s="51"/>
  </sheetData>
  <mergeCells count="33">
    <mergeCell ref="A25:C25"/>
    <mergeCell ref="D34:E34"/>
    <mergeCell ref="B3:F3"/>
    <mergeCell ref="A18:C18"/>
    <mergeCell ref="A27:C27"/>
    <mergeCell ref="A21:C21"/>
    <mergeCell ref="D40:E40"/>
    <mergeCell ref="D36:E36"/>
    <mergeCell ref="A26:C26"/>
    <mergeCell ref="B2:F2"/>
    <mergeCell ref="A23:C23"/>
    <mergeCell ref="A14:C14"/>
    <mergeCell ref="A5:F5"/>
    <mergeCell ref="A30:D30"/>
    <mergeCell ref="A22:C22"/>
    <mergeCell ref="A17:C17"/>
    <mergeCell ref="B1:F1"/>
    <mergeCell ref="B10:B11"/>
    <mergeCell ref="A29:C29"/>
    <mergeCell ref="A20:C20"/>
    <mergeCell ref="A28:C28"/>
    <mergeCell ref="A19:C19"/>
    <mergeCell ref="A44:F44"/>
    <mergeCell ref="D37:E37"/>
    <mergeCell ref="A15:C15"/>
    <mergeCell ref="A24:C24"/>
    <mergeCell ref="D39:E39"/>
    <mergeCell ref="A45:C45"/>
    <mergeCell ref="D33:E33"/>
    <mergeCell ref="D38:E38"/>
    <mergeCell ref="D45:F45"/>
    <mergeCell ref="A16:C16"/>
    <mergeCell ref="D35:E35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"/>
  <sheetViews>
    <sheetView zoomScale="130" zoomScaleNormal="130" workbookViewId="0">
      <selection activeCell="H22" sqref="H22"/>
    </sheetView>
  </sheetViews>
  <sheetFormatPr baseColWidth="8" defaultColWidth="9.1796875" defaultRowHeight="13"/>
  <cols>
    <col width="8.81640625" bestFit="1" customWidth="1" style="1" min="1" max="1"/>
    <col width="23.7265625" customWidth="1" style="2" min="2" max="2"/>
    <col width="9.1796875" bestFit="1" customWidth="1" style="2" min="3" max="3"/>
    <col width="7.453125" customWidth="1" style="2" min="4" max="4"/>
    <col width="10.36328125" bestFit="1" customWidth="1" style="2" min="5" max="5"/>
    <col width="8.36328125" bestFit="1" customWidth="1" style="2" min="6" max="6"/>
    <col width="9.1796875" bestFit="1" customWidth="1" style="2" min="7" max="8"/>
    <col width="10.36328125" bestFit="1" customWidth="1" style="2" min="9" max="10"/>
    <col width="7" bestFit="1" customWidth="1" style="2" min="11" max="11"/>
    <col width="4.6328125" bestFit="1" customWidth="1" style="2" min="12" max="12"/>
    <col width="6.81640625" bestFit="1" customWidth="1" style="2" min="13" max="13"/>
    <col width="5.1796875" bestFit="1" customWidth="1" style="2" min="14" max="14"/>
    <col width="7.1796875" bestFit="1" customWidth="1" style="2" min="15" max="15"/>
    <col width="5" bestFit="1" customWidth="1" style="2" min="16" max="16"/>
    <col width="6.6328125" bestFit="1" customWidth="1" style="2" min="17" max="17"/>
    <col width="10" bestFit="1" customWidth="1" style="2" min="18" max="18"/>
    <col width="13.36328125" bestFit="1" customWidth="1" style="2" min="19" max="19"/>
    <col width="6.6328125" bestFit="1" customWidth="1" style="2" min="20" max="21"/>
    <col width="9.1796875" customWidth="1" style="2" min="22" max="16384"/>
  </cols>
  <sheetData>
    <row r="1" ht="13.5" customHeight="1" thickBot="1">
      <c r="A1" s="1">
        <f>MID(CELL("filename",A1),FIND("]",CELL("filename",A1))+1,256)</f>
        <v/>
      </c>
    </row>
    <row r="2" ht="13.5" customHeight="1" thickBot="1">
      <c r="A2" s="3" t="inlineStr">
        <is>
          <t>Pay Period</t>
        </is>
      </c>
      <c r="B2" s="2">
        <f>'Pakistan-L'!C2</f>
        <v/>
      </c>
      <c r="C2" s="2">
        <f>'Pakistan-L'!E2</f>
        <v/>
      </c>
      <c r="E2" s="85" t="inlineStr">
        <is>
          <t>ER</t>
        </is>
      </c>
    </row>
    <row r="3" ht="14" customFormat="1" customHeight="1" s="5">
      <c r="A3" s="3" t="n"/>
      <c r="B3" s="203" t="n"/>
      <c r="E3" s="155" t="inlineStr">
        <is>
          <t>Sum</t>
        </is>
      </c>
      <c r="F3" s="157" t="inlineStr">
        <is>
          <t>Business
Tax</t>
        </is>
      </c>
      <c r="G3" s="159" t="inlineStr">
        <is>
          <t>Management Fee</t>
        </is>
      </c>
      <c r="H3" s="204" t="n"/>
      <c r="I3" s="161" t="inlineStr">
        <is>
          <t>Gross Salary</t>
        </is>
      </c>
      <c r="J3" s="204" t="n"/>
      <c r="K3" s="204" t="n"/>
      <c r="L3" s="204" t="n"/>
      <c r="M3" s="204" t="n"/>
      <c r="N3" s="204" t="n"/>
      <c r="O3" s="204" t="n"/>
      <c r="P3" s="204" t="n"/>
      <c r="Q3" s="153" t="inlineStr">
        <is>
          <t>Mandatory Contribution</t>
        </is>
      </c>
      <c r="R3" s="204" t="n"/>
      <c r="S3" s="205" t="n"/>
      <c r="T3" s="153" t="inlineStr">
        <is>
          <t>Expense Claim</t>
        </is>
      </c>
      <c r="U3" s="205" t="n"/>
    </row>
    <row r="4" ht="39.5" customFormat="1" customHeight="1" s="5" thickBot="1">
      <c r="E4" s="206" t="n"/>
      <c r="F4" s="207" t="n"/>
      <c r="G4" s="158" t="inlineStr">
        <is>
          <t>Subtotal</t>
        </is>
      </c>
      <c r="H4" s="6" t="inlineStr">
        <is>
          <t>Recurring
Fee</t>
        </is>
      </c>
      <c r="I4" s="158" t="inlineStr">
        <is>
          <t>Subtotal</t>
        </is>
      </c>
      <c r="J4" s="6">
        <f>'Pakistan-L'!C7</f>
        <v/>
      </c>
      <c r="K4" s="6">
        <f>'Pakistan-L'!D7</f>
        <v/>
      </c>
      <c r="L4" s="6">
        <f>'Pakistan-L'!E7</f>
        <v/>
      </c>
      <c r="M4" s="6">
        <f>'Pakistan-L'!F7</f>
        <v/>
      </c>
      <c r="N4" s="6">
        <f>'Pakistan-L'!G7</f>
        <v/>
      </c>
      <c r="O4" s="6">
        <f>'Pakistan-L'!H7</f>
        <v/>
      </c>
      <c r="P4" s="6">
        <f>'Pakistan-L'!I7</f>
        <v/>
      </c>
      <c r="Q4" s="158" t="inlineStr">
        <is>
          <t>Subtotal</t>
        </is>
      </c>
      <c r="R4" s="158">
        <f>'Pakistan-L'!O7</f>
        <v/>
      </c>
      <c r="S4" s="158">
        <f>'Pakistan-L'!P7</f>
        <v/>
      </c>
      <c r="T4" s="158" t="inlineStr">
        <is>
          <t>Subtotal</t>
        </is>
      </c>
      <c r="U4" s="84" t="inlineStr">
        <is>
          <t>Expense
Claim</t>
        </is>
      </c>
    </row>
    <row r="5" ht="13.5" customFormat="1" customHeight="1" s="5" thickBot="1">
      <c r="A5" s="1" t="n"/>
      <c r="E5" s="7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9" t="n"/>
    </row>
    <row r="6" customFormat="1" s="11">
      <c r="A6" s="10" t="n"/>
      <c r="B6" s="11" t="inlineStr">
        <is>
          <t>Sum</t>
        </is>
      </c>
      <c r="C6" s="11" t="inlineStr">
        <is>
          <t>PKR</t>
        </is>
      </c>
      <c r="E6" s="15">
        <f>SUM(E9:E17)</f>
        <v/>
      </c>
      <c r="F6" s="16">
        <f>SUM(F9:F17)</f>
        <v/>
      </c>
      <c r="G6" s="16">
        <f>SUM(G9:G17)</f>
        <v/>
      </c>
      <c r="H6" s="16">
        <f>SUM(H9:H17)</f>
        <v/>
      </c>
      <c r="I6" s="16">
        <f>SUM(I9:I17)</f>
        <v/>
      </c>
      <c r="J6" s="16">
        <f>SUM(J9:J17)</f>
        <v/>
      </c>
      <c r="K6" s="16">
        <f>SUM(K9:K17)</f>
        <v/>
      </c>
      <c r="L6" s="16">
        <f>SUM(L9:L17)</f>
        <v/>
      </c>
      <c r="M6" s="16">
        <f>SUM(M9:M17)</f>
        <v/>
      </c>
      <c r="N6" s="16">
        <f>SUM(N9:N17)</f>
        <v/>
      </c>
      <c r="O6" s="16">
        <f>SUM(O9:O17)</f>
        <v/>
      </c>
      <c r="P6" s="16">
        <f>SUM(P9:P17)</f>
        <v/>
      </c>
      <c r="Q6" s="16">
        <f>SUM(Q9:Q17)</f>
        <v/>
      </c>
      <c r="R6" s="16">
        <f>SUM(R9:R17)</f>
        <v/>
      </c>
      <c r="S6" s="16">
        <f>SUM(S9:S17)</f>
        <v/>
      </c>
      <c r="T6" s="16">
        <f>SUM(T9:T17)</f>
        <v/>
      </c>
      <c r="U6" s="17">
        <f>SUM(U9:U17)</f>
        <v/>
      </c>
    </row>
    <row r="7" customFormat="1" s="11">
      <c r="E7" s="15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7" t="n"/>
    </row>
    <row r="8" customFormat="1" s="11">
      <c r="A8" s="18" t="n"/>
      <c r="E8" s="15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7" t="n"/>
    </row>
    <row r="9" customFormat="1" s="11">
      <c r="A9" s="10" t="n"/>
      <c r="B9" s="11">
        <f>'Pakistan-L'!B8</f>
        <v/>
      </c>
      <c r="C9" s="11">
        <f>'Pakistan EE'!D10</f>
        <v/>
      </c>
      <c r="E9" s="15">
        <f>F9+G9+I9+Q9+T9</f>
        <v/>
      </c>
      <c r="F9" s="16">
        <f>18.75*PN!$B$33+6.7933*PN!$B$33</f>
        <v/>
      </c>
      <c r="G9" s="16">
        <f>SUM(H9:H9)</f>
        <v/>
      </c>
      <c r="H9" s="16">
        <f>(150*PN!$B$33)</f>
        <v/>
      </c>
      <c r="I9" s="16">
        <f>SUM(J9:P9)</f>
        <v/>
      </c>
      <c r="J9" s="16">
        <f>'Pakistan-L'!C8</f>
        <v/>
      </c>
      <c r="K9" s="16">
        <f>'Pakistan-L'!D8</f>
        <v/>
      </c>
      <c r="L9" s="16">
        <f>'Pakistan-L'!E8</f>
        <v/>
      </c>
      <c r="M9" s="16">
        <f>'Pakistan-L'!F8</f>
        <v/>
      </c>
      <c r="N9" s="16">
        <f>'Pakistan-L'!G8</f>
        <v/>
      </c>
      <c r="O9" s="16">
        <f>'Pakistan-L'!H8</f>
        <v/>
      </c>
      <c r="P9" s="16">
        <f>'Pakistan-L'!I8</f>
        <v/>
      </c>
      <c r="Q9" s="16">
        <f>SUM(R9:S9)</f>
        <v/>
      </c>
      <c r="R9" s="16">
        <f>'Pakistan-L'!O8</f>
        <v/>
      </c>
      <c r="S9" s="16">
        <f>'Pakistan-L'!P8</f>
        <v/>
      </c>
      <c r="T9" s="16">
        <f>SUM(U9:U9)</f>
        <v/>
      </c>
      <c r="U9" s="17">
        <f>'Pakistan-L'!K8</f>
        <v/>
      </c>
    </row>
    <row r="10" customFormat="1" s="11">
      <c r="A10" s="10" t="n"/>
      <c r="B10" s="11">
        <f>'Pakistan-L'!B9</f>
        <v/>
      </c>
      <c r="C10" s="11">
        <f>'Pakistan EE'!D11</f>
        <v/>
      </c>
      <c r="E10" s="15">
        <f>F10+G10+I10+Q10+T10</f>
        <v/>
      </c>
      <c r="F10" s="16">
        <f>18.75*PN!$B$33+6.7933*PN!$B$33</f>
        <v/>
      </c>
      <c r="G10" s="16">
        <f>SUM(H10:H10)</f>
        <v/>
      </c>
      <c r="H10" s="16">
        <f>(150*PN!$B$33)</f>
        <v/>
      </c>
      <c r="I10" s="16">
        <f>SUM(J10:P10)</f>
        <v/>
      </c>
      <c r="J10" s="16">
        <f>'Pakistan-L'!C9</f>
        <v/>
      </c>
      <c r="K10" s="16">
        <f>'Pakistan-L'!D9</f>
        <v/>
      </c>
      <c r="L10" s="16">
        <f>'Pakistan-L'!E9</f>
        <v/>
      </c>
      <c r="M10" s="16">
        <f>'Pakistan-L'!F9</f>
        <v/>
      </c>
      <c r="N10" s="16">
        <f>'Pakistan-L'!G9</f>
        <v/>
      </c>
      <c r="O10" s="16">
        <f>'Pakistan-L'!H9</f>
        <v/>
      </c>
      <c r="P10" s="16">
        <f>'Pakistan-L'!I9</f>
        <v/>
      </c>
      <c r="Q10" s="16">
        <f>SUM(R10:S10)</f>
        <v/>
      </c>
      <c r="R10" s="16">
        <f>'Pakistan-L'!O9</f>
        <v/>
      </c>
      <c r="S10" s="16">
        <f>'Pakistan-L'!P9</f>
        <v/>
      </c>
      <c r="T10" s="16">
        <f>SUM(U10:U10)</f>
        <v/>
      </c>
      <c r="U10" s="17">
        <f>'Pakistan-L'!K9</f>
        <v/>
      </c>
    </row>
    <row r="11" customFormat="1" s="11">
      <c r="A11" s="10" t="n"/>
      <c r="B11" s="11">
        <f>'Pakistan-L'!B10</f>
        <v/>
      </c>
      <c r="C11" s="11">
        <f>'Pakistan EE'!D12</f>
        <v/>
      </c>
      <c r="E11" s="15">
        <f>F11+G11+I11+Q11+T11</f>
        <v/>
      </c>
      <c r="F11" s="16">
        <f>18.75*PN!$B$33+6.7933*PN!$B$33</f>
        <v/>
      </c>
      <c r="G11" s="16">
        <f>SUM(H11:H11)</f>
        <v/>
      </c>
      <c r="H11" s="16">
        <f>(150*PN!$B$33)</f>
        <v/>
      </c>
      <c r="I11" s="16">
        <f>SUM(J11:P11)</f>
        <v/>
      </c>
      <c r="J11" s="16">
        <f>'Pakistan-L'!C10</f>
        <v/>
      </c>
      <c r="K11" s="16">
        <f>'Pakistan-L'!D10</f>
        <v/>
      </c>
      <c r="L11" s="16">
        <f>'Pakistan-L'!E10</f>
        <v/>
      </c>
      <c r="M11" s="16">
        <f>'Pakistan-L'!F10</f>
        <v/>
      </c>
      <c r="N11" s="16">
        <f>'Pakistan-L'!G10</f>
        <v/>
      </c>
      <c r="O11" s="16">
        <f>'Pakistan-L'!H10</f>
        <v/>
      </c>
      <c r="P11" s="16">
        <f>'Pakistan-L'!I10</f>
        <v/>
      </c>
      <c r="Q11" s="16">
        <f>SUM(R11:S11)</f>
        <v/>
      </c>
      <c r="R11" s="16">
        <f>'Pakistan-L'!O10</f>
        <v/>
      </c>
      <c r="S11" s="16">
        <f>'Pakistan-L'!P10</f>
        <v/>
      </c>
      <c r="T11" s="16">
        <f>SUM(U11:U11)</f>
        <v/>
      </c>
      <c r="U11" s="17">
        <f>'Pakistan-L'!K10</f>
        <v/>
      </c>
    </row>
    <row r="12" customFormat="1" s="11">
      <c r="A12" s="10" t="n"/>
      <c r="B12" s="11">
        <f>'Pakistan-L'!B11</f>
        <v/>
      </c>
      <c r="C12" s="11">
        <f>'Pakistan EE'!D13</f>
        <v/>
      </c>
      <c r="E12" s="15">
        <f>F12+G12+I12+Q12+T12</f>
        <v/>
      </c>
      <c r="F12" s="16">
        <f>18.75*PN!$B$33+7.72*PN!$B$33</f>
        <v/>
      </c>
      <c r="G12" s="16">
        <f>SUM(H12:H12)</f>
        <v/>
      </c>
      <c r="H12" s="16">
        <f>(150*PN!$B$33)</f>
        <v/>
      </c>
      <c r="I12" s="16">
        <f>SUM(J12:P12)</f>
        <v/>
      </c>
      <c r="J12" s="16">
        <f>'Pakistan-L'!C11</f>
        <v/>
      </c>
      <c r="K12" s="16">
        <f>'Pakistan-L'!D11</f>
        <v/>
      </c>
      <c r="L12" s="16">
        <f>'Pakistan-L'!E11</f>
        <v/>
      </c>
      <c r="M12" s="16">
        <f>'Pakistan-L'!F11</f>
        <v/>
      </c>
      <c r="N12" s="16">
        <f>'Pakistan-L'!G11</f>
        <v/>
      </c>
      <c r="O12" s="16">
        <f>'Pakistan-L'!H11</f>
        <v/>
      </c>
      <c r="P12" s="16">
        <f>'Pakistan-L'!I11</f>
        <v/>
      </c>
      <c r="Q12" s="16">
        <f>SUM(R12:S12)</f>
        <v/>
      </c>
      <c r="R12" s="16">
        <f>'Pakistan-L'!O11</f>
        <v/>
      </c>
      <c r="S12" s="16">
        <f>'Pakistan-L'!P11</f>
        <v/>
      </c>
      <c r="T12" s="16">
        <f>SUM(U12:U12)</f>
        <v/>
      </c>
      <c r="U12" s="17">
        <f>'Pakistan-L'!K11</f>
        <v/>
      </c>
    </row>
    <row r="13" customFormat="1" s="11">
      <c r="A13" s="10" t="n"/>
      <c r="B13" s="11">
        <f>'Pakistan-L'!B12</f>
        <v/>
      </c>
      <c r="C13" s="11">
        <f>'Pakistan EE'!D14</f>
        <v/>
      </c>
      <c r="E13" s="15">
        <f>F13+G13+I13+Q13+T13</f>
        <v/>
      </c>
      <c r="F13" s="16">
        <f>18.75*PN!$B$33+7.72*PN!$B$33</f>
        <v/>
      </c>
      <c r="G13" s="16">
        <f>SUM(H13:H13)</f>
        <v/>
      </c>
      <c r="H13" s="16">
        <f>(150*PN!$B$33)</f>
        <v/>
      </c>
      <c r="I13" s="16">
        <f>SUM(J13:P13)</f>
        <v/>
      </c>
      <c r="J13" s="16">
        <f>'Pakistan-L'!C12</f>
        <v/>
      </c>
      <c r="K13" s="16">
        <f>'Pakistan-L'!D12</f>
        <v/>
      </c>
      <c r="L13" s="16">
        <f>'Pakistan-L'!E12</f>
        <v/>
      </c>
      <c r="M13" s="16">
        <f>'Pakistan-L'!F12</f>
        <v/>
      </c>
      <c r="N13" s="16">
        <f>'Pakistan-L'!G12</f>
        <v/>
      </c>
      <c r="O13" s="16">
        <f>'Pakistan-L'!H12</f>
        <v/>
      </c>
      <c r="P13" s="16">
        <f>'Pakistan-L'!I12</f>
        <v/>
      </c>
      <c r="Q13" s="16">
        <f>SUM(R13:S13)</f>
        <v/>
      </c>
      <c r="R13" s="16">
        <f>'Pakistan-L'!O12</f>
        <v/>
      </c>
      <c r="S13" s="16">
        <f>'Pakistan-L'!P12</f>
        <v/>
      </c>
      <c r="T13" s="16">
        <f>SUM(U13:U13)</f>
        <v/>
      </c>
      <c r="U13" s="17">
        <f>'Pakistan-L'!K12</f>
        <v/>
      </c>
    </row>
    <row r="14" customFormat="1" s="11">
      <c r="A14" s="10" t="n"/>
      <c r="B14" s="11">
        <f>'Pakistan-L'!B13</f>
        <v/>
      </c>
      <c r="C14" s="11">
        <f>'Pakistan EE'!D15</f>
        <v/>
      </c>
      <c r="E14" s="15">
        <f>F14+G14+I14+Q14+T14</f>
        <v/>
      </c>
      <c r="F14" s="16">
        <f>18.75*PN!$B$33+7.72*PN!$B$33</f>
        <v/>
      </c>
      <c r="G14" s="16">
        <f>SUM(H14:H14)</f>
        <v/>
      </c>
      <c r="H14" s="16">
        <f>(150*PN!$B$33)</f>
        <v/>
      </c>
      <c r="I14" s="16">
        <f>SUM(J14:P14)</f>
        <v/>
      </c>
      <c r="J14" s="16">
        <f>'Pakistan-L'!C13</f>
        <v/>
      </c>
      <c r="K14" s="16">
        <f>'Pakistan-L'!D13</f>
        <v/>
      </c>
      <c r="L14" s="16">
        <f>'Pakistan-L'!E13</f>
        <v/>
      </c>
      <c r="M14" s="16">
        <f>'Pakistan-L'!F13</f>
        <v/>
      </c>
      <c r="N14" s="16">
        <f>'Pakistan-L'!G13</f>
        <v/>
      </c>
      <c r="O14" s="16">
        <f>'Pakistan-L'!H13</f>
        <v/>
      </c>
      <c r="P14" s="16">
        <f>'Pakistan-L'!I13</f>
        <v/>
      </c>
      <c r="Q14" s="16">
        <f>SUM(R14:S14)</f>
        <v/>
      </c>
      <c r="R14" s="16">
        <f>'Pakistan-L'!O13</f>
        <v/>
      </c>
      <c r="S14" s="16">
        <f>'Pakistan-L'!P13</f>
        <v/>
      </c>
      <c r="T14" s="16">
        <f>SUM(U14:U14)</f>
        <v/>
      </c>
      <c r="U14" s="17">
        <f>'Pakistan-L'!K13</f>
        <v/>
      </c>
    </row>
    <row r="15" customFormat="1" s="11">
      <c r="A15" s="10" t="n"/>
      <c r="E15" s="15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7" t="n"/>
    </row>
    <row r="16" customFormat="1" s="11">
      <c r="A16" s="10" t="n"/>
      <c r="E16" s="15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7" t="n"/>
    </row>
    <row r="17" ht="13.5" customFormat="1" customHeight="1" s="11" thickBot="1">
      <c r="A17" s="10" t="n"/>
      <c r="E17" s="19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1" t="n"/>
    </row>
    <row r="19">
      <c r="J19" s="35" t="n"/>
    </row>
    <row r="20" ht="15" customFormat="1" customHeight="1" s="30" thickBot="1">
      <c r="A20" s="29" t="n"/>
    </row>
    <row r="21" ht="14.5" customFormat="1" customHeight="1" s="30">
      <c r="A21" s="29" t="inlineStr">
        <is>
          <t>Other Fee</t>
        </is>
      </c>
      <c r="B21" s="42" t="n"/>
      <c r="C21" s="42" t="n"/>
      <c r="D21" s="42" t="n"/>
      <c r="E21" s="43">
        <f>SUM(E22:E26)</f>
        <v/>
      </c>
      <c r="F21" s="44" t="n">
        <v>0</v>
      </c>
      <c r="G21" s="33" t="n"/>
    </row>
    <row r="22" ht="14.5" customFormat="1" customHeight="1" s="30">
      <c r="A22" s="29" t="n"/>
      <c r="B22" s="42" t="inlineStr">
        <is>
          <t xml:space="preserve">Outstanding payment </t>
        </is>
      </c>
      <c r="C22" s="42" t="n"/>
      <c r="D22" s="42" t="n"/>
      <c r="E22" s="45" t="n">
        <v>0</v>
      </c>
      <c r="F22" s="46" t="n"/>
    </row>
    <row r="23" ht="14.5" customFormat="1" customHeight="1" s="30">
      <c r="A23" s="29" t="n"/>
      <c r="B23" s="42" t="inlineStr">
        <is>
          <t xml:space="preserve">FX difference </t>
        </is>
      </c>
      <c r="C23" s="42" t="n"/>
      <c r="D23" s="42" t="n"/>
      <c r="E23" s="45" t="n"/>
      <c r="F23" s="46" t="n">
        <v>0</v>
      </c>
    </row>
    <row r="24" ht="14.5" customFormat="1" customHeight="1" s="30">
      <c r="A24" s="29" t="n"/>
      <c r="B24" s="42" t="inlineStr">
        <is>
          <t>Interests of delay</t>
        </is>
      </c>
      <c r="C24" s="42" t="n"/>
      <c r="D24" s="42" t="n"/>
      <c r="E24" s="45" t="n"/>
      <c r="F24" s="46" t="n">
        <v>0</v>
      </c>
    </row>
    <row r="25" ht="14.5" customFormat="1" customHeight="1" s="30">
      <c r="A25" s="29" t="n"/>
      <c r="B25" s="42" t="inlineStr">
        <is>
          <t>Bank Charges</t>
        </is>
      </c>
      <c r="C25" s="42" t="n"/>
      <c r="D25" s="42" t="n"/>
      <c r="E25" s="45">
        <f>35+35+10+10</f>
        <v/>
      </c>
      <c r="F25" s="46" t="n"/>
    </row>
    <row r="26" ht="15" customFormat="1" customHeight="1" s="30" thickBot="1">
      <c r="A26" s="29" t="n"/>
      <c r="B26" s="42" t="inlineStr">
        <is>
          <t xml:space="preserve">Invoice adjustment </t>
        </is>
      </c>
      <c r="C26" s="42" t="n"/>
      <c r="D26" s="42" t="n"/>
      <c r="E26" s="47" t="n">
        <v>0</v>
      </c>
      <c r="F26" s="48" t="n"/>
    </row>
  </sheetData>
  <mergeCells count="6">
    <mergeCell ref="I3:P3"/>
    <mergeCell ref="E3:E4"/>
    <mergeCell ref="F3:F4"/>
    <mergeCell ref="T3:U3"/>
    <mergeCell ref="G3:H3"/>
    <mergeCell ref="Q3:S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zoomScale="120" zoomScaleNormal="120" workbookViewId="0">
      <selection activeCell="K26" sqref="K26"/>
    </sheetView>
  </sheetViews>
  <sheetFormatPr baseColWidth="8" defaultColWidth="9.1796875" defaultRowHeight="13"/>
  <cols>
    <col width="12.1796875" bestFit="1" customWidth="1" style="1" min="1" max="1"/>
    <col width="9.36328125" bestFit="1" customWidth="1" style="2" min="2" max="2"/>
    <col width="10.6328125" bestFit="1" customWidth="1" style="2" min="3" max="3"/>
    <col width="10.36328125" bestFit="1" customWidth="1" style="2" min="4" max="4"/>
    <col width="19.81640625" bestFit="1" customWidth="1" style="2" min="5" max="5"/>
    <col width="8.453125" bestFit="1" customWidth="1" style="2" min="6" max="6"/>
    <col width="9.453125" bestFit="1" customWidth="1" style="2" min="7" max="7"/>
    <col width="9.1796875" bestFit="1" customWidth="1" style="2" min="8" max="8"/>
    <col width="9.1796875" customWidth="1" style="2" min="9" max="9"/>
    <col width="9.1796875" bestFit="1" customWidth="1" style="2" min="10" max="10"/>
    <col width="8.36328125" bestFit="1" customWidth="1" style="2" min="11" max="11"/>
    <col width="4.6328125" bestFit="1" customWidth="1" style="2" min="12" max="12"/>
    <col width="6.81640625" bestFit="1" customWidth="1" style="2" min="13" max="13"/>
    <col width="5.1796875" bestFit="1" customWidth="1" style="2" min="14" max="14"/>
    <col width="11.453125" bestFit="1" customWidth="1" style="2" min="15" max="15"/>
    <col width="5" bestFit="1" customWidth="1" style="2" min="16" max="16"/>
    <col width="6.6328125" bestFit="1" customWidth="1" style="2" min="17" max="18"/>
    <col width="9.1796875" bestFit="1" customWidth="1" style="2" min="19" max="19"/>
    <col width="6.36328125" bestFit="1" customWidth="1" style="2" min="20" max="20"/>
    <col width="9.1796875" bestFit="1" customWidth="1" style="2" min="21" max="21"/>
    <col width="9.1796875" customWidth="1" style="2" min="22" max="16384"/>
  </cols>
  <sheetData>
    <row r="1" ht="13.5" customHeight="1" thickBot="1">
      <c r="A1" s="1">
        <f>MID(CELL("filename",A1),FIND("]",CELL("filename",A1))+1,256)</f>
        <v/>
      </c>
      <c r="C1" s="203" t="n"/>
      <c r="D1" s="203" t="n"/>
      <c r="E1" s="203" t="n"/>
      <c r="F1" s="203" t="n"/>
      <c r="H1" s="28" t="n"/>
    </row>
    <row r="2" ht="13.5" customHeight="1" thickBot="1">
      <c r="A2" s="3" t="n"/>
      <c r="B2" s="203" t="n"/>
      <c r="C2" s="203" t="n"/>
      <c r="D2" s="203" t="n"/>
      <c r="E2" s="203" t="n"/>
      <c r="F2" s="203" t="n"/>
      <c r="H2" s="27" t="inlineStr">
        <is>
          <t>EE</t>
        </is>
      </c>
    </row>
    <row r="3" ht="14" customFormat="1" customHeight="1" s="5" thickBot="1">
      <c r="A3" s="36" t="n"/>
      <c r="B3" s="169" t="inlineStr">
        <is>
          <t>Client Code</t>
        </is>
      </c>
      <c r="C3" s="169" t="inlineStr">
        <is>
          <t>Client Name</t>
        </is>
      </c>
      <c r="D3" s="169" t="inlineStr">
        <is>
          <t>EE Code</t>
        </is>
      </c>
      <c r="E3" s="169" t="inlineStr">
        <is>
          <t>EE Name</t>
        </is>
      </c>
      <c r="F3" s="170" t="inlineStr">
        <is>
          <t>Pay Period</t>
        </is>
      </c>
      <c r="G3" s="204" t="n"/>
      <c r="H3" s="165" t="inlineStr">
        <is>
          <t>Net
Income</t>
        </is>
      </c>
      <c r="I3" s="163" t="inlineStr">
        <is>
          <t>Gross Salary</t>
        </is>
      </c>
      <c r="J3" s="204" t="n"/>
      <c r="K3" s="204" t="n"/>
      <c r="L3" s="204" t="n"/>
      <c r="M3" s="204" t="n"/>
      <c r="N3" s="204" t="n"/>
      <c r="O3" s="204" t="n"/>
      <c r="P3" s="205" t="n"/>
      <c r="Q3" s="163" t="inlineStr">
        <is>
          <t>Expense Claim</t>
        </is>
      </c>
      <c r="R3" s="205" t="n"/>
      <c r="S3" s="163" t="inlineStr">
        <is>
          <t>Mandatory Contribution</t>
        </is>
      </c>
      <c r="T3" s="204" t="n"/>
      <c r="U3" s="205" t="n"/>
    </row>
    <row r="4" ht="39.5" customFormat="1" customHeight="1" s="5" thickBot="1">
      <c r="A4" s="36" t="n"/>
      <c r="B4" s="206" t="n"/>
      <c r="C4" s="206" t="n"/>
      <c r="D4" s="206" t="n"/>
      <c r="E4" s="206" t="n"/>
      <c r="F4" s="37" t="inlineStr">
        <is>
          <t>From</t>
        </is>
      </c>
      <c r="G4" s="37" t="inlineStr">
        <is>
          <t>To</t>
        </is>
      </c>
      <c r="H4" s="206" t="n"/>
      <c r="I4" s="82" t="inlineStr">
        <is>
          <t>Subtotal</t>
        </is>
      </c>
      <c r="J4" s="83">
        <f>'Pakistan-L'!C7</f>
        <v/>
      </c>
      <c r="K4" s="83">
        <f>'Pakistan-L'!D7</f>
        <v/>
      </c>
      <c r="L4" s="83">
        <f>'Pakistan-L'!E7</f>
        <v/>
      </c>
      <c r="M4" s="83">
        <f>'Pakistan-L'!F7</f>
        <v/>
      </c>
      <c r="N4" s="83">
        <f>'Pakistan-L'!G7</f>
        <v/>
      </c>
      <c r="O4" s="83">
        <f>'Pakistan-L'!H7</f>
        <v/>
      </c>
      <c r="P4" s="83">
        <f>'Pakistan-L'!I7</f>
        <v/>
      </c>
      <c r="Q4" s="82" t="inlineStr">
        <is>
          <t>Subtotal</t>
        </is>
      </c>
      <c r="R4" s="83" t="inlineStr">
        <is>
          <t>Expense
Claim</t>
        </is>
      </c>
      <c r="S4" s="82" t="inlineStr">
        <is>
          <t>Subtotal</t>
        </is>
      </c>
      <c r="T4" s="115">
        <f>'Pakistan-L'!L7</f>
        <v/>
      </c>
      <c r="U4" s="116">
        <f>'Pakistan-L'!M7</f>
        <v/>
      </c>
    </row>
    <row r="5" ht="15" customFormat="1" customHeight="1" s="5" thickBot="1">
      <c r="A5" s="29" t="n"/>
      <c r="B5" s="38" t="n"/>
      <c r="C5" s="38" t="n"/>
      <c r="D5" s="38" t="n"/>
      <c r="E5" s="38" t="n"/>
      <c r="F5" s="38" t="n"/>
      <c r="G5" s="38" t="n"/>
      <c r="H5" s="7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9" t="n"/>
    </row>
    <row r="6" ht="14.5" customFormat="1" customHeight="1" s="11">
      <c r="A6" s="31" t="inlineStr">
        <is>
          <t>EOR/PEO(PKR)</t>
        </is>
      </c>
      <c r="B6" s="39" t="n"/>
      <c r="C6" s="39" t="n"/>
      <c r="D6" s="39" t="n"/>
      <c r="E6" s="39" t="n"/>
      <c r="F6" s="39" t="n"/>
      <c r="G6" s="39" t="n"/>
      <c r="H6" s="12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4" t="n"/>
    </row>
    <row r="7" ht="14.5" customFormat="1" customHeight="1" s="11">
      <c r="A7" s="31" t="n"/>
      <c r="B7" s="39" t="n"/>
      <c r="C7" s="39" t="n"/>
      <c r="D7" s="39" t="n"/>
      <c r="E7" s="39" t="n"/>
      <c r="F7" s="39" t="n"/>
      <c r="G7" s="39" t="n"/>
      <c r="H7" s="15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7" t="n"/>
    </row>
    <row r="8" ht="14.5" customFormat="1" customHeight="1" s="11">
      <c r="A8" s="40" t="n"/>
      <c r="B8" s="41" t="n"/>
      <c r="C8" s="41" t="n"/>
      <c r="D8" s="41" t="n"/>
      <c r="E8" s="41" t="n"/>
      <c r="F8" s="41" t="n"/>
      <c r="G8" s="41" t="n"/>
      <c r="H8" s="15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7" t="n"/>
    </row>
    <row r="9" ht="14.5" customFormat="1" customHeight="1" s="11">
      <c r="A9" s="40" t="n"/>
      <c r="B9" s="32" t="n"/>
      <c r="C9" s="32" t="n"/>
      <c r="D9" s="32" t="n"/>
      <c r="E9" s="32" t="n"/>
      <c r="F9" s="32" t="n"/>
      <c r="G9" s="32" t="n"/>
      <c r="H9" s="15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7" t="n"/>
    </row>
    <row r="10" ht="14.5" customFormat="1" customHeight="1" s="11">
      <c r="A10" s="31" t="n"/>
      <c r="B10" s="32">
        <f>PN!$B$9</f>
        <v/>
      </c>
      <c r="C10" s="32">
        <f>'Pakistan-L'!$C$1</f>
        <v/>
      </c>
      <c r="D10" s="32">
        <f>PN!$B$9&amp;" - "&amp;1</f>
        <v/>
      </c>
      <c r="E10" s="32">
        <f>'Pakistan-L'!B8</f>
        <v/>
      </c>
      <c r="F10" s="41">
        <f>'Pakistan-L'!$C$2</f>
        <v/>
      </c>
      <c r="G10" s="41">
        <f>'Pakistan-L'!$E$2</f>
        <v/>
      </c>
      <c r="H10" s="15">
        <f>I10+Q10-S10</f>
        <v/>
      </c>
      <c r="I10" s="16">
        <f>SUM(J10:P10)</f>
        <v/>
      </c>
      <c r="J10" s="16">
        <f>'Pakistan-L'!C8</f>
        <v/>
      </c>
      <c r="K10" s="16">
        <f>'Pakistan-L'!D8</f>
        <v/>
      </c>
      <c r="L10" s="16">
        <f>'Pakistan-L'!E8</f>
        <v/>
      </c>
      <c r="M10" s="16">
        <f>'Pakistan-L'!F8</f>
        <v/>
      </c>
      <c r="N10" s="16">
        <f>'Pakistan-L'!G8</f>
        <v/>
      </c>
      <c r="O10" s="16">
        <f>'Pakistan-L'!H8</f>
        <v/>
      </c>
      <c r="P10" s="16">
        <f>'Pakistan-L'!I8</f>
        <v/>
      </c>
      <c r="Q10" s="16">
        <f>SUM(R10:R10)</f>
        <v/>
      </c>
      <c r="R10" s="16">
        <f>'Pakistan-L'!K8</f>
        <v/>
      </c>
      <c r="S10" s="16">
        <f>SUM(T10:U10)</f>
        <v/>
      </c>
      <c r="T10" s="16">
        <f>'Pakistan-L'!L8</f>
        <v/>
      </c>
      <c r="U10" s="17">
        <f>'Pakistan-L'!M8</f>
        <v/>
      </c>
    </row>
    <row r="11" ht="14.5" customFormat="1" customHeight="1" s="11">
      <c r="A11" s="10" t="n"/>
      <c r="B11" s="32">
        <f>PN!$B$9</f>
        <v/>
      </c>
      <c r="C11" s="32">
        <f>'Pakistan-L'!$C$1</f>
        <v/>
      </c>
      <c r="D11" s="32">
        <f>PN!$B$9&amp;" - "&amp;1</f>
        <v/>
      </c>
      <c r="E11" s="32">
        <f>'Pakistan-L'!B9</f>
        <v/>
      </c>
      <c r="F11" s="41">
        <f>'Pakistan-L'!$C$2</f>
        <v/>
      </c>
      <c r="G11" s="41">
        <f>'Pakistan-L'!$E$2</f>
        <v/>
      </c>
      <c r="H11" s="15">
        <f>I11+Q11-S11</f>
        <v/>
      </c>
      <c r="I11" s="16">
        <f>SUM(J11:P11)</f>
        <v/>
      </c>
      <c r="J11" s="16">
        <f>'Pakistan-L'!C9</f>
        <v/>
      </c>
      <c r="K11" s="16">
        <f>'Pakistan-L'!D9</f>
        <v/>
      </c>
      <c r="L11" s="16">
        <f>'Pakistan-L'!E9</f>
        <v/>
      </c>
      <c r="M11" s="16">
        <f>'Pakistan-L'!F9</f>
        <v/>
      </c>
      <c r="N11" s="16">
        <f>'Pakistan-L'!G9</f>
        <v/>
      </c>
      <c r="O11" s="16">
        <f>'Pakistan-L'!H9</f>
        <v/>
      </c>
      <c r="P11" s="16">
        <f>'Pakistan-L'!I9</f>
        <v/>
      </c>
      <c r="Q11" s="16">
        <f>SUM(R11:R11)</f>
        <v/>
      </c>
      <c r="R11" s="16">
        <f>'Pakistan-L'!K9</f>
        <v/>
      </c>
      <c r="S11" s="16">
        <f>SUM(T11:U11)</f>
        <v/>
      </c>
      <c r="T11" s="16">
        <f>'Pakistan-L'!L9</f>
        <v/>
      </c>
      <c r="U11" s="17">
        <f>'Pakistan-L'!M9</f>
        <v/>
      </c>
    </row>
    <row r="12" ht="14.5" customFormat="1" customHeight="1" s="11">
      <c r="A12" s="10" t="n"/>
      <c r="B12" s="32">
        <f>PN!$B$9</f>
        <v/>
      </c>
      <c r="C12" s="32">
        <f>'Pakistan-L'!$C$1</f>
        <v/>
      </c>
      <c r="D12" s="32">
        <f>PN!$B$9&amp;" - "&amp;1</f>
        <v/>
      </c>
      <c r="E12" s="32">
        <f>'Pakistan-L'!B10</f>
        <v/>
      </c>
      <c r="F12" s="41">
        <f>'Pakistan-L'!$C$2</f>
        <v/>
      </c>
      <c r="G12" s="41">
        <f>'Pakistan-L'!$E$2</f>
        <v/>
      </c>
      <c r="H12" s="15">
        <f>I12+Q12-S12</f>
        <v/>
      </c>
      <c r="I12" s="16">
        <f>SUM(J12:P12)</f>
        <v/>
      </c>
      <c r="J12" s="16">
        <f>'Pakistan-L'!C10</f>
        <v/>
      </c>
      <c r="K12" s="16">
        <f>'Pakistan-L'!D10</f>
        <v/>
      </c>
      <c r="L12" s="16">
        <f>'Pakistan-L'!E10</f>
        <v/>
      </c>
      <c r="M12" s="16">
        <f>'Pakistan-L'!F10</f>
        <v/>
      </c>
      <c r="N12" s="16">
        <f>'Pakistan-L'!G10</f>
        <v/>
      </c>
      <c r="O12" s="16">
        <f>'Pakistan-L'!H10</f>
        <v/>
      </c>
      <c r="P12" s="16">
        <f>'Pakistan-L'!I10</f>
        <v/>
      </c>
      <c r="Q12" s="16">
        <f>SUM(R12:R12)</f>
        <v/>
      </c>
      <c r="R12" s="16">
        <f>'Pakistan-L'!K10</f>
        <v/>
      </c>
      <c r="S12" s="16">
        <f>SUM(T12:U12)</f>
        <v/>
      </c>
      <c r="T12" s="16">
        <f>'Pakistan-L'!L10</f>
        <v/>
      </c>
      <c r="U12" s="17">
        <f>'Pakistan-L'!M10</f>
        <v/>
      </c>
    </row>
    <row r="13" ht="14.5" customFormat="1" customHeight="1" s="11">
      <c r="A13" s="10" t="n"/>
      <c r="B13" s="32">
        <f>PN!$B$9</f>
        <v/>
      </c>
      <c r="C13" s="32">
        <f>'Pakistan-L'!$C$1</f>
        <v/>
      </c>
      <c r="D13" s="32">
        <f>PN!$B$9&amp;" - "&amp;2</f>
        <v/>
      </c>
      <c r="E13" s="32">
        <f>'Pakistan-L'!B11</f>
        <v/>
      </c>
      <c r="F13" s="41">
        <f>'Pakistan-L'!$C$2</f>
        <v/>
      </c>
      <c r="G13" s="41">
        <f>'Pakistan-L'!$E$2</f>
        <v/>
      </c>
      <c r="H13" s="15">
        <f>I13+Q13-S13</f>
        <v/>
      </c>
      <c r="I13" s="16">
        <f>SUM(J13:P13)</f>
        <v/>
      </c>
      <c r="J13" s="16">
        <f>'Pakistan-L'!C11</f>
        <v/>
      </c>
      <c r="K13" s="16">
        <f>'Pakistan-L'!D11</f>
        <v/>
      </c>
      <c r="L13" s="16">
        <f>'Pakistan-L'!E11</f>
        <v/>
      </c>
      <c r="M13" s="16">
        <f>'Pakistan-L'!F11</f>
        <v/>
      </c>
      <c r="N13" s="16">
        <f>'Pakistan-L'!G11</f>
        <v/>
      </c>
      <c r="O13" s="16">
        <f>'Pakistan-L'!H11</f>
        <v/>
      </c>
      <c r="P13" s="16">
        <f>'Pakistan-L'!I11</f>
        <v/>
      </c>
      <c r="Q13" s="16">
        <f>SUM(R13:R13)</f>
        <v/>
      </c>
      <c r="R13" s="16">
        <f>'Pakistan-L'!K11</f>
        <v/>
      </c>
      <c r="S13" s="16">
        <f>SUM(T13:U13)</f>
        <v/>
      </c>
      <c r="T13" s="16">
        <f>'Pakistan-L'!L11</f>
        <v/>
      </c>
      <c r="U13" s="17">
        <f>'Pakistan-L'!M11</f>
        <v/>
      </c>
    </row>
    <row r="14" ht="14.5" customFormat="1" customHeight="1" s="11">
      <c r="A14" s="10" t="n"/>
      <c r="B14" s="32">
        <f>PN!$B$9</f>
        <v/>
      </c>
      <c r="C14" s="32">
        <f>'Pakistan-L'!$C$1</f>
        <v/>
      </c>
      <c r="D14" s="32">
        <f>PN!$B$9&amp;" - "&amp;2</f>
        <v/>
      </c>
      <c r="E14" s="32">
        <f>'Pakistan-L'!B12</f>
        <v/>
      </c>
      <c r="F14" s="41">
        <f>'Pakistan-L'!$C$2</f>
        <v/>
      </c>
      <c r="G14" s="41">
        <f>'Pakistan-L'!$E$2</f>
        <v/>
      </c>
      <c r="H14" s="15">
        <f>I14+Q14-S14</f>
        <v/>
      </c>
      <c r="I14" s="16">
        <f>SUM(J14:P14)</f>
        <v/>
      </c>
      <c r="J14" s="16">
        <f>'Pakistan-L'!C12</f>
        <v/>
      </c>
      <c r="K14" s="16">
        <f>'Pakistan-L'!D12</f>
        <v/>
      </c>
      <c r="L14" s="16">
        <f>'Pakistan-L'!E12</f>
        <v/>
      </c>
      <c r="M14" s="16">
        <f>'Pakistan-L'!F12</f>
        <v/>
      </c>
      <c r="N14" s="16">
        <f>'Pakistan-L'!G12</f>
        <v/>
      </c>
      <c r="O14" s="16">
        <f>'Pakistan-L'!H12</f>
        <v/>
      </c>
      <c r="P14" s="16">
        <f>'Pakistan-L'!I12</f>
        <v/>
      </c>
      <c r="Q14" s="16">
        <f>SUM(R14:R14)</f>
        <v/>
      </c>
      <c r="R14" s="16">
        <f>'Pakistan-L'!K12</f>
        <v/>
      </c>
      <c r="S14" s="16">
        <f>SUM(T14:U14)</f>
        <v/>
      </c>
      <c r="T14" s="16">
        <f>'Pakistan-L'!L12</f>
        <v/>
      </c>
      <c r="U14" s="17">
        <f>'Pakistan-L'!M12</f>
        <v/>
      </c>
    </row>
    <row r="15" ht="14.5" customFormat="1" customHeight="1" s="11">
      <c r="A15" s="10" t="n"/>
      <c r="B15" s="32">
        <f>PN!$B$9</f>
        <v/>
      </c>
      <c r="C15" s="32">
        <f>'Pakistan-L'!$C$1</f>
        <v/>
      </c>
      <c r="D15" s="32">
        <f>PN!$B$9&amp;" - "&amp;2</f>
        <v/>
      </c>
      <c r="E15" s="32">
        <f>'Pakistan-L'!B13</f>
        <v/>
      </c>
      <c r="F15" s="41">
        <f>'Pakistan-L'!$C$2</f>
        <v/>
      </c>
      <c r="G15" s="41">
        <f>'Pakistan-L'!$E$2</f>
        <v/>
      </c>
      <c r="H15" s="15">
        <f>I15+Q15-S15</f>
        <v/>
      </c>
      <c r="I15" s="16">
        <f>SUM(J15:P15)</f>
        <v/>
      </c>
      <c r="J15" s="16">
        <f>'Pakistan-L'!C13</f>
        <v/>
      </c>
      <c r="K15" s="16">
        <f>'Pakistan-L'!D13</f>
        <v/>
      </c>
      <c r="L15" s="16">
        <f>'Pakistan-L'!E13</f>
        <v/>
      </c>
      <c r="M15" s="16">
        <f>'Pakistan-L'!F13</f>
        <v/>
      </c>
      <c r="N15" s="16">
        <f>'Pakistan-L'!G13</f>
        <v/>
      </c>
      <c r="O15" s="16">
        <f>'Pakistan-L'!H13</f>
        <v/>
      </c>
      <c r="P15" s="16">
        <f>'Pakistan-L'!I13</f>
        <v/>
      </c>
      <c r="Q15" s="16">
        <f>SUM(R15:R15)</f>
        <v/>
      </c>
      <c r="R15" s="16">
        <f>'Pakistan-L'!K13</f>
        <v/>
      </c>
      <c r="S15" s="16">
        <f>SUM(T15:U15)</f>
        <v/>
      </c>
      <c r="T15" s="16">
        <f>'Pakistan-L'!L13</f>
        <v/>
      </c>
      <c r="U15" s="17">
        <f>'Pakistan-L'!M13</f>
        <v/>
      </c>
    </row>
    <row r="16" customFormat="1" s="11">
      <c r="A16" s="10" t="n"/>
      <c r="H16" s="15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7" t="n"/>
    </row>
    <row r="17" customFormat="1" s="11">
      <c r="A17" s="10" t="n"/>
      <c r="H17" s="15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7" t="n"/>
    </row>
    <row r="18" ht="13.5" customFormat="1" customHeight="1" s="11" thickBot="1">
      <c r="A18" s="10" t="n"/>
      <c r="H18" s="19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1" t="n"/>
    </row>
  </sheetData>
  <mergeCells count="9">
    <mergeCell ref="F3:G3"/>
    <mergeCell ref="Q3:R3"/>
    <mergeCell ref="I3:P3"/>
    <mergeCell ref="C3:C4"/>
    <mergeCell ref="B3:B4"/>
    <mergeCell ref="E3:E4"/>
    <mergeCell ref="H3:H4"/>
    <mergeCell ref="D3:D4"/>
    <mergeCell ref="S3:U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zoomScale="99" workbookViewId="0">
      <selection activeCell="M22" sqref="M22"/>
    </sheetView>
  </sheetViews>
  <sheetFormatPr baseColWidth="8" defaultColWidth="8.81640625" defaultRowHeight="14.5"/>
  <cols>
    <col width="5.6328125" bestFit="1" customWidth="1" min="1" max="1"/>
    <col width="24.7265625" customWidth="1" min="2" max="2"/>
    <col width="14.453125" customWidth="1" min="3" max="3"/>
    <col width="9.453125" bestFit="1" customWidth="1" min="4" max="4"/>
    <col width="9.6328125" bestFit="1" customWidth="1" min="5" max="5"/>
    <col width="7" bestFit="1" customWidth="1" min="6" max="6"/>
    <col width="5.81640625" bestFit="1" customWidth="1" min="7" max="7"/>
    <col width="7.81640625" bestFit="1" customWidth="1" min="8" max="8"/>
    <col width="5.453125" bestFit="1" customWidth="1" min="9" max="9"/>
    <col width="10.36328125" bestFit="1" customWidth="1" min="10" max="10"/>
    <col width="12.453125" bestFit="1" customWidth="1" min="11" max="11"/>
    <col width="6.1796875" bestFit="1" customWidth="1" min="12" max="12"/>
    <col width="11.36328125" bestFit="1" customWidth="1" min="13" max="13"/>
    <col width="10.36328125" bestFit="1" customWidth="1" min="14" max="14"/>
    <col width="11.453125" bestFit="1" customWidth="1" min="15" max="15"/>
    <col width="8.6328125" bestFit="1" customWidth="1" min="16" max="16"/>
    <col width="11.1796875" bestFit="1" customWidth="1" min="17" max="17"/>
    <col width="10.36328125" bestFit="1" customWidth="1" min="18" max="18"/>
    <col width="9.453125" bestFit="1" customWidth="1" min="20" max="20"/>
  </cols>
  <sheetData>
    <row r="1">
      <c r="A1" s="171" t="inlineStr">
        <is>
          <t>Company name:</t>
        </is>
      </c>
      <c r="C1" s="23" t="n"/>
    </row>
    <row r="2">
      <c r="A2" s="171" t="inlineStr">
        <is>
          <t>Payroll period:</t>
        </is>
      </c>
      <c r="C2" s="34" t="n"/>
      <c r="D2" s="171" t="inlineStr">
        <is>
          <t>to</t>
        </is>
      </c>
      <c r="E2" s="34" t="n"/>
    </row>
    <row r="3">
      <c r="A3" s="171" t="inlineStr">
        <is>
          <t xml:space="preserve">Currency: </t>
        </is>
      </c>
      <c r="C3" s="23" t="inlineStr">
        <is>
          <t>PKR</t>
        </is>
      </c>
    </row>
    <row r="6" ht="15" customHeight="1" thickBot="1"/>
    <row r="7" ht="43.5" customFormat="1" customHeight="1" s="22">
      <c r="A7" s="107" t="inlineStr">
        <is>
          <t>No. of EE</t>
        </is>
      </c>
      <c r="B7" s="108" t="inlineStr">
        <is>
          <t>Name of Employee</t>
        </is>
      </c>
      <c r="C7" s="108" t="inlineStr">
        <is>
          <t>Base Salary</t>
        </is>
      </c>
      <c r="D7" s="108" t="inlineStr">
        <is>
          <t>Salary Adjusment</t>
        </is>
      </c>
      <c r="E7" s="108" t="inlineStr">
        <is>
          <t>OT</t>
        </is>
      </c>
      <c r="F7" s="108" t="inlineStr">
        <is>
          <t>Monthly Bonus</t>
        </is>
      </c>
      <c r="G7" s="108" t="inlineStr">
        <is>
          <t>Other Bonus</t>
        </is>
      </c>
      <c r="H7" s="108" t="inlineStr">
        <is>
          <t>Leave Payment</t>
        </is>
      </c>
      <c r="I7" s="108" t="inlineStr">
        <is>
          <t xml:space="preserve">Other </t>
        </is>
      </c>
      <c r="J7" s="108" t="inlineStr">
        <is>
          <t>Gross Salary</t>
        </is>
      </c>
      <c r="K7" s="108" t="inlineStr">
        <is>
          <t>Expense Reimbursment</t>
        </is>
      </c>
      <c r="L7" s="109" t="inlineStr">
        <is>
          <t>E.O.B.I</t>
        </is>
      </c>
      <c r="M7" s="108" t="inlineStr">
        <is>
          <t>IT</t>
        </is>
      </c>
      <c r="N7" s="108" t="inlineStr">
        <is>
          <t>Net Salary</t>
        </is>
      </c>
      <c r="O7" s="108" t="inlineStr">
        <is>
          <t>Social Benefit</t>
        </is>
      </c>
      <c r="P7" s="108" t="inlineStr">
        <is>
          <t>Medical Insurance</t>
        </is>
      </c>
      <c r="Q7" s="108" t="inlineStr">
        <is>
          <t>Bank Charges</t>
        </is>
      </c>
      <c r="R7" s="110" t="inlineStr">
        <is>
          <t>Total Cost</t>
        </is>
      </c>
    </row>
    <row r="8" ht="26.25" customHeight="1">
      <c r="A8" s="111" t="n"/>
      <c r="B8" s="112" t="n"/>
      <c r="C8" s="113" t="n"/>
      <c r="D8" s="112" t="n"/>
      <c r="E8" s="112" t="n"/>
      <c r="F8" s="112" t="n"/>
      <c r="G8" s="114" t="n"/>
      <c r="H8" s="112" t="n"/>
      <c r="I8" s="112" t="n"/>
      <c r="J8" s="113">
        <f>SUM(C8:I8)</f>
        <v/>
      </c>
      <c r="K8" s="113" t="n"/>
      <c r="L8" s="112" t="n"/>
      <c r="M8" s="117" t="n"/>
      <c r="N8" s="113">
        <f>J8+K8-L8-M8</f>
        <v/>
      </c>
      <c r="O8" s="112" t="n"/>
      <c r="P8" s="112" t="n"/>
      <c r="Q8" s="112" t="n"/>
      <c r="R8" s="113">
        <f>J8+K8+O8+P8+Q8</f>
        <v/>
      </c>
      <c r="S8" s="208" t="n"/>
      <c r="T8" s="208" t="n"/>
      <c r="U8" s="81" t="n"/>
      <c r="V8" s="81" t="n"/>
      <c r="W8" s="81" t="n"/>
      <c r="X8" s="81" t="n"/>
      <c r="Y8" s="81" t="n"/>
      <c r="Z8" s="81" t="n"/>
      <c r="AA8" s="81" t="n"/>
    </row>
    <row r="9">
      <c r="A9" s="111" t="n"/>
      <c r="B9" s="112" t="n"/>
      <c r="C9" s="113" t="n"/>
      <c r="D9" s="112" t="n"/>
      <c r="E9" s="112" t="n"/>
      <c r="F9" s="112" t="n"/>
      <c r="G9" s="114" t="n"/>
      <c r="H9" s="112" t="n"/>
      <c r="I9" s="112" t="n"/>
      <c r="J9" s="113" t="n"/>
      <c r="K9" s="113" t="n"/>
      <c r="L9" s="112" t="n"/>
      <c r="M9" s="117" t="n"/>
      <c r="N9" s="113" t="n"/>
      <c r="O9" s="112" t="n"/>
      <c r="P9" s="112" t="n"/>
      <c r="Q9" s="112" t="n"/>
      <c r="R9" s="113" t="n"/>
      <c r="T9" s="24" t="n"/>
    </row>
    <row r="10">
      <c r="A10" s="111" t="n"/>
      <c r="B10" s="112" t="n"/>
      <c r="C10" s="113" t="n"/>
      <c r="D10" s="112" t="n"/>
      <c r="E10" s="112" t="n"/>
      <c r="F10" s="112" t="n"/>
      <c r="G10" s="112" t="n"/>
      <c r="H10" s="112" t="n"/>
      <c r="I10" s="112" t="n"/>
      <c r="J10" s="113" t="n"/>
      <c r="K10" s="113" t="n"/>
      <c r="L10" s="112" t="n"/>
      <c r="M10" s="117" t="n"/>
      <c r="N10" s="113" t="n"/>
      <c r="O10" s="112" t="n"/>
      <c r="P10" s="112" t="n"/>
      <c r="Q10" s="112" t="n"/>
      <c r="R10" s="113" t="n"/>
    </row>
    <row r="11">
      <c r="A11" s="111" t="n"/>
      <c r="B11" s="118" t="n"/>
      <c r="C11" s="113" t="n"/>
      <c r="D11" s="112" t="n"/>
      <c r="E11" s="112" t="n"/>
      <c r="F11" s="112" t="n"/>
      <c r="G11" s="112" t="n"/>
      <c r="H11" s="112" t="n"/>
      <c r="I11" s="112" t="n"/>
      <c r="J11" s="113" t="n"/>
      <c r="K11" s="113" t="n"/>
      <c r="L11" s="112" t="n"/>
      <c r="M11" s="117" t="n"/>
      <c r="N11" s="113" t="n"/>
      <c r="O11" s="112" t="n"/>
      <c r="P11" s="112" t="n"/>
      <c r="Q11" s="112" t="n"/>
      <c r="R11" s="113" t="n"/>
    </row>
    <row r="12">
      <c r="A12" s="111" t="n"/>
      <c r="B12" s="118" t="n"/>
      <c r="C12" s="113" t="n"/>
      <c r="D12" s="112" t="n"/>
      <c r="E12" s="112" t="n"/>
      <c r="F12" s="112" t="n"/>
      <c r="G12" s="112" t="n"/>
      <c r="H12" s="112" t="n"/>
      <c r="I12" s="112" t="n"/>
      <c r="J12" s="113" t="n"/>
      <c r="K12" s="113" t="n"/>
      <c r="L12" s="112" t="n"/>
      <c r="M12" s="117" t="n"/>
      <c r="N12" s="113" t="n"/>
      <c r="O12" s="112" t="n"/>
      <c r="P12" s="112" t="n"/>
      <c r="Q12" s="112" t="n"/>
      <c r="R12" s="113" t="n"/>
    </row>
    <row r="13">
      <c r="A13" s="111" t="n"/>
      <c r="B13" s="118" t="n"/>
      <c r="C13" s="113" t="n"/>
      <c r="D13" s="112" t="n"/>
      <c r="E13" s="112" t="n"/>
      <c r="F13" s="112" t="n"/>
      <c r="G13" s="112" t="n"/>
      <c r="H13" s="112" t="n"/>
      <c r="I13" s="112" t="n"/>
      <c r="J13" s="113" t="n"/>
      <c r="K13" s="113" t="n"/>
      <c r="L13" s="112" t="n"/>
      <c r="M13" s="117" t="n"/>
      <c r="N13" s="113" t="n"/>
      <c r="O13" s="112" t="n"/>
      <c r="P13" s="112" t="n"/>
      <c r="Q13" s="112" t="n"/>
      <c r="R13" s="113" t="n"/>
    </row>
    <row r="14">
      <c r="A14" s="111" t="n"/>
      <c r="B14" s="112" t="n"/>
      <c r="C14" s="113" t="n"/>
      <c r="D14" s="112" t="n"/>
      <c r="E14" s="112" t="n"/>
      <c r="F14" s="112" t="n"/>
      <c r="G14" s="112" t="n"/>
      <c r="H14" s="112" t="n"/>
      <c r="I14" s="112" t="n"/>
      <c r="J14" s="113" t="n"/>
      <c r="K14" s="113" t="n"/>
      <c r="L14" s="112" t="n"/>
      <c r="M14" s="117" t="n"/>
      <c r="N14" s="113" t="n"/>
      <c r="O14" s="112" t="n"/>
      <c r="P14" s="112" t="n"/>
      <c r="Q14" s="112" t="n"/>
      <c r="R14" s="113" t="n"/>
    </row>
    <row r="15"/>
    <row r="16"/>
    <row r="17"/>
    <row r="18"/>
    <row r="19"/>
    <row r="20"/>
  </sheetData>
  <mergeCells count="3">
    <mergeCell ref="A3:B3"/>
    <mergeCell ref="A2:B2"/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Miguel</dc:creator>
  <dcterms:created xmlns:dcterms="http://purl.org/dc/terms/" xmlns:xsi="http://www.w3.org/2001/XMLSchema-instance" xsi:type="dcterms:W3CDTF">2019-04-02T09:07:35Z</dcterms:created>
  <dcterms:modified xmlns:dcterms="http://purl.org/dc/terms/" xmlns:xsi="http://www.w3.org/2001/XMLSchema-instance" xsi:type="dcterms:W3CDTF">2026-08-04T07:03:03Z</dcterms:modified>
  <cp:lastModifiedBy>LIU, SiYu</cp:lastModifiedBy>
  <cp:lastPrinted>2024-12-12T22:42:57Z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a8ef3fbe-4e27-48f7-a0b1-3e7729cc8ae0</vt:lpwstr>
  </property>
  <property name="MediaServiceImageTags" fmtid="{D5CDD505-2E9C-101B-9397-08002B2CF9AE}" pid="4">
    <vt:lpwstr xmlns:vt="http://schemas.openxmlformats.org/officeDocument/2006/docPropsVTypes"/>
  </property>
</Properties>
</file>