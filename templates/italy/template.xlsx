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Italy" sheetId="2" state="visible" r:id="rId2"/>
    <sheet xmlns:r="http://schemas.openxmlformats.org/officeDocument/2006/relationships" name="Italy EE" sheetId="3" state="visible" r:id="rId3"/>
    <sheet xmlns:r="http://schemas.openxmlformats.org/officeDocument/2006/relationships" name="Italy-L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#,##0.00_ "/>
    <numFmt numFmtId="165" formatCode="_(&quot;$&quot;* #,##0.00_);_(&quot;$&quot;* \(#,##0.00\);_(&quot;$&quot;* &quot;-&quot;??_);_(@_)"/>
    <numFmt numFmtId="166" formatCode="0.0000"/>
  </numFmts>
  <fonts count="49">
    <font>
      <name val="Calibri"/>
      <family val="2"/>
      <color theme="1"/>
      <sz val="11"/>
      <scheme val="minor"/>
    </font>
    <font>
      <name val="Calibri"/>
      <charset val="134"/>
      <family val="3"/>
      <b val="1"/>
      <color theme="1"/>
      <sz val="10"/>
      <scheme val="minor"/>
    </font>
    <font>
      <name val="Calibri"/>
      <charset val="134"/>
      <family val="3"/>
      <color theme="1"/>
      <sz val="10"/>
      <scheme val="minor"/>
    </font>
    <font>
      <name val="Calibri"/>
      <charset val="134"/>
      <family val="3"/>
      <sz val="9"/>
      <scheme val="minor"/>
    </font>
    <font>
      <name val="Calibri"/>
      <charset val="134"/>
      <family val="2"/>
      <color theme="1"/>
      <sz val="11"/>
      <scheme val="minor"/>
    </font>
    <font>
      <name val="Calibri"/>
      <charset val="134"/>
      <family val="3"/>
      <b val="1"/>
      <color theme="1"/>
      <sz val="11"/>
      <scheme val="minor"/>
    </font>
    <font>
      <name val="Calibri"/>
      <charset val="134"/>
      <family val="2"/>
      <sz val="9"/>
      <scheme val="minor"/>
    </font>
    <font>
      <name val="Calibri"/>
      <family val="2"/>
      <color rgb="FFFA7D00"/>
      <sz val="12"/>
      <scheme val="minor"/>
    </font>
    <font>
      <name val="Calibri"/>
      <charset val="134"/>
      <family val="3"/>
      <color theme="1"/>
      <sz val="11"/>
      <scheme val="minor"/>
    </font>
    <font>
      <name val="Calibri"/>
      <charset val="134"/>
      <family val="4"/>
      <color rgb="FF000000"/>
      <sz val="11"/>
      <scheme val="minor"/>
    </font>
    <font>
      <name val="Calibri"/>
      <charset val="134"/>
      <family val="4"/>
      <color rgb="FF000000"/>
      <sz val="10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rgb="FF0066B3"/>
      <sz val="12"/>
      <scheme val="minor"/>
    </font>
    <font>
      <name val="Calibri"/>
      <family val="2"/>
      <b val="1"/>
      <color rgb="FF8DC63F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color theme="0" tint="-0.49998474074526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.5"/>
      <scheme val="minor"/>
    </font>
    <font>
      <name val="Calibri"/>
      <family val="2"/>
      <sz val="10.5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2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8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color theme="0" tint="-0.499984740745262"/>
      <sz val="9"/>
      <scheme val="minor"/>
    </font>
    <font>
      <name val="Calibri"/>
      <family val="2"/>
      <color rgb="FF000000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i val="1"/>
      <color theme="1"/>
      <sz val="8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i val="1"/>
      <color theme="1"/>
      <sz val="10"/>
      <scheme val="minor"/>
    </font>
    <font>
      <name val="Cambria"/>
      <family val="1"/>
      <sz val="11"/>
    </font>
    <font>
      <name val="Cambria"/>
      <family val="1"/>
      <b val="1"/>
      <color theme="1"/>
      <sz val="11"/>
    </font>
    <font>
      <name val="Cambria"/>
      <family val="1"/>
      <b val="1"/>
      <sz val="9"/>
    </font>
    <font>
      <name val="Cambria"/>
      <family val="1"/>
      <b val="1"/>
      <sz val="9"/>
      <u val="single"/>
    </font>
    <font>
      <name val="Cambria"/>
      <family val="1"/>
      <b val="1"/>
      <sz val="10"/>
      <u val="single"/>
    </font>
    <font>
      <name val="Cambria"/>
      <family val="1"/>
      <b val="1"/>
      <color theme="1"/>
      <sz val="10"/>
    </font>
    <font>
      <name val="Cambria"/>
      <family val="1"/>
      <sz val="9"/>
    </font>
    <font>
      <name val="Cambria"/>
      <family val="1"/>
      <b val="1"/>
      <sz val="8"/>
    </font>
    <font>
      <name val="Arial"/>
      <family val="2"/>
      <sz val="10"/>
    </font>
    <font>
      <name val="Cambria"/>
      <family val="1"/>
      <b val="1"/>
      <color rgb="FF002060"/>
      <sz val="14"/>
    </font>
    <font>
      <name val="Cambria"/>
      <family val="1"/>
      <color rgb="FF002060"/>
      <sz val="10"/>
    </font>
    <font>
      <name val="Cambria"/>
      <family val="1"/>
      <b val="1"/>
      <color rgb="FF002060"/>
      <sz val="10"/>
    </font>
  </fonts>
  <fills count="8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2"/>
        <bgColor indexed="64"/>
      </patternFill>
    </fill>
  </fills>
  <borders count="84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medium">
        <color theme="8" tint="0.5999633777886288"/>
      </left>
      <right/>
      <top/>
      <bottom/>
      <diagonal/>
    </border>
    <border>
      <left/>
      <right style="medium">
        <color theme="8" tint="0.5999633777886288"/>
      </right>
      <top/>
      <bottom/>
      <diagonal/>
    </border>
    <border>
      <left/>
      <right/>
      <top style="medium">
        <color theme="8" tint="0.5999633777886288"/>
      </top>
      <bottom/>
      <diagonal/>
    </border>
    <border>
      <left style="medium">
        <color theme="8" tint="0.5999633777886288"/>
      </left>
      <right/>
      <top style="medium">
        <color theme="8" tint="0.5999633777886288"/>
      </top>
      <bottom/>
      <diagonal/>
    </border>
    <border>
      <left/>
      <right style="medium">
        <color theme="8" tint="0.5999633777886288"/>
      </right>
      <top style="medium">
        <color theme="8" tint="0.5999633777886288"/>
      </top>
      <bottom/>
      <diagonal/>
    </border>
    <border>
      <left style="medium">
        <color theme="8" tint="0.5999633777886288"/>
      </left>
      <right/>
      <top style="hair">
        <color theme="8" tint="0.5999633777886288"/>
      </top>
      <bottom style="medium">
        <color theme="8" tint="0.5999633777886288"/>
      </bottom>
      <diagonal/>
    </border>
    <border>
      <left/>
      <right/>
      <top style="hair">
        <color theme="8" tint="0.5999633777886288"/>
      </top>
      <bottom style="medium">
        <color theme="8" tint="0.5999633777886288"/>
      </bottom>
      <diagonal/>
    </border>
    <border>
      <left/>
      <right style="medium">
        <color theme="8" tint="0.5999633777886288"/>
      </right>
      <top style="hair">
        <color theme="8" tint="0.5999633777886288"/>
      </top>
      <bottom style="medium">
        <color theme="8" tint="0.599963377788628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9BC2E7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double">
        <color rgb="FF002060"/>
      </left>
      <right/>
      <top style="double">
        <color rgb="FF002060"/>
      </top>
      <bottom style="double">
        <color rgb="FF002060"/>
      </bottom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/>
      <top style="hair">
        <color theme="8" tint="0.5999633777886288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rgb="FF002060"/>
      </top>
      <bottom/>
      <diagonal/>
    </border>
    <border>
      <left/>
      <right style="double">
        <color rgb="FF002060"/>
      </right>
      <top style="double">
        <color rgb="FF002060"/>
      </top>
      <bottom/>
      <diagonal/>
    </border>
  </borders>
  <cellStyleXfs count="5">
    <xf numFmtId="0" fontId="11" fillId="0" borderId="0"/>
    <xf numFmtId="0" fontId="4" fillId="0" borderId="0" applyAlignment="1">
      <alignment vertical="center"/>
    </xf>
    <xf numFmtId="9" fontId="11" fillId="0" borderId="0"/>
    <xf numFmtId="43" fontId="11" fillId="0" borderId="0"/>
    <xf numFmtId="43" fontId="45" fillId="0" borderId="0"/>
  </cellStyleXfs>
  <cellXfs count="2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40" fontId="2" fillId="2" borderId="7" applyAlignment="1" pivotButton="0" quotePrefix="0" xfId="0">
      <alignment vertical="center"/>
    </xf>
    <xf numFmtId="40" fontId="2" fillId="2" borderId="16" applyAlignment="1" pivotButton="0" quotePrefix="0" xfId="0">
      <alignment vertical="center"/>
    </xf>
    <xf numFmtId="40" fontId="2" fillId="2" borderId="8" applyAlignment="1" pivotButton="0" quotePrefix="0" xfId="0">
      <alignment vertical="center"/>
    </xf>
    <xf numFmtId="40" fontId="2" fillId="2" borderId="9" applyAlignment="1" pivotButton="0" quotePrefix="0" xfId="0">
      <alignment vertical="center"/>
    </xf>
    <xf numFmtId="40" fontId="2" fillId="2" borderId="17" applyAlignment="1" pivotButton="0" quotePrefix="0" xfId="0">
      <alignment vertical="center"/>
    </xf>
    <xf numFmtId="40" fontId="2" fillId="2" borderId="1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40" fontId="2" fillId="2" borderId="11" applyAlignment="1" pivotButton="0" quotePrefix="0" xfId="0">
      <alignment vertical="center"/>
    </xf>
    <xf numFmtId="40" fontId="2" fillId="2" borderId="18" applyAlignment="1" pivotButton="0" quotePrefix="0" xfId="0">
      <alignment vertical="center"/>
    </xf>
    <xf numFmtId="40" fontId="2" fillId="2" borderId="12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5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40" fontId="2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3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vertical="center"/>
    </xf>
    <xf numFmtId="0" fontId="8" fillId="2" borderId="0" applyAlignment="1" pivotButton="0" quotePrefix="0" xfId="0">
      <alignment horizontal="left" vertical="center"/>
    </xf>
    <xf numFmtId="49" fontId="0" fillId="2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40" fontId="10" fillId="0" borderId="24" applyAlignment="1" pivotButton="0" quotePrefix="0" xfId="0">
      <alignment vertical="center"/>
    </xf>
    <xf numFmtId="40" fontId="10" fillId="0" borderId="25" applyAlignment="1" pivotButton="0" quotePrefix="0" xfId="0">
      <alignment vertical="center"/>
    </xf>
    <xf numFmtId="40" fontId="10" fillId="0" borderId="26" applyAlignment="1" pivotButton="0" quotePrefix="0" xfId="0">
      <alignment vertical="center"/>
    </xf>
    <xf numFmtId="40" fontId="10" fillId="0" borderId="27" applyAlignment="1" pivotButton="0" quotePrefix="0" xfId="0">
      <alignment vertical="center"/>
    </xf>
    <xf numFmtId="40" fontId="10" fillId="0" borderId="28" applyAlignment="1" pivotButton="0" quotePrefix="0" xfId="0">
      <alignment vertical="center"/>
    </xf>
    <xf numFmtId="40" fontId="10" fillId="0" borderId="29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right" vertical="center"/>
    </xf>
    <xf numFmtId="164" fontId="14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vertical="center"/>
    </xf>
    <xf numFmtId="164" fontId="16" fillId="0" borderId="0" applyAlignment="1" pivotButton="0" quotePrefix="0" xfId="0">
      <alignment horizontal="right" vertical="center"/>
    </xf>
    <xf numFmtId="0" fontId="22" fillId="0" borderId="0" applyAlignment="1" pivotButton="0" quotePrefix="0" xfId="0">
      <alignment vertical="center"/>
    </xf>
    <xf numFmtId="14" fontId="22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 indent="1"/>
    </xf>
    <xf numFmtId="40" fontId="26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43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0" fillId="0" borderId="0" applyAlignment="1" pivotButton="0" quotePrefix="0" xfId="0">
      <alignment horizontal="right" vertical="center"/>
    </xf>
    <xf numFmtId="14" fontId="30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right" vertical="center"/>
    </xf>
    <xf numFmtId="164" fontId="33" fillId="0" borderId="0" applyAlignment="1" pivotButton="0" quotePrefix="0" xfId="0">
      <alignment horizontal="right" vertical="center"/>
    </xf>
    <xf numFmtId="0" fontId="33" fillId="0" borderId="0" applyAlignment="1" pivotButton="0" quotePrefix="0" xfId="0">
      <alignment vertical="center"/>
    </xf>
    <xf numFmtId="164" fontId="27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/>
    </xf>
    <xf numFmtId="0" fontId="30" fillId="0" borderId="0" applyAlignment="1" pivotButton="0" quotePrefix="0" xfId="0">
      <alignment vertical="top" wrapText="1"/>
    </xf>
    <xf numFmtId="165" fontId="16" fillId="0" borderId="0" applyAlignment="1" pivotButton="0" quotePrefix="0" xfId="0">
      <alignment vertical="center"/>
    </xf>
    <xf numFmtId="165" fontId="26" fillId="0" borderId="0" applyAlignment="1" pivotButton="0" quotePrefix="0" xfId="0">
      <alignment horizontal="right" vertical="center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center" vertical="center"/>
    </xf>
    <xf numFmtId="0" fontId="25" fillId="5" borderId="34" applyAlignment="1" pivotButton="0" quotePrefix="0" xfId="0">
      <alignment horizontal="center" vertical="center"/>
    </xf>
    <xf numFmtId="0" fontId="25" fillId="5" borderId="36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 wrapText="1"/>
    </xf>
    <xf numFmtId="0" fontId="12" fillId="0" borderId="0" pivotButton="0" quotePrefix="0" xfId="0"/>
    <xf numFmtId="0" fontId="2" fillId="0" borderId="6" applyAlignment="1" pivotButton="0" quotePrefix="0" xfId="0">
      <alignment horizontal="center" vertical="center" shrinkToFit="1"/>
    </xf>
    <xf numFmtId="0" fontId="2" fillId="0" borderId="6" applyAlignment="1" pivotButton="0" quotePrefix="0" xfId="0">
      <alignment horizontal="center" vertical="center" wrapText="1" shrinkToFit="1"/>
    </xf>
    <xf numFmtId="0" fontId="2" fillId="0" borderId="4" applyAlignment="1" pivotButton="0" quotePrefix="0" xfId="0">
      <alignment horizontal="center" vertical="center" wrapText="1"/>
    </xf>
    <xf numFmtId="0" fontId="1" fillId="0" borderId="40" applyAlignment="1" pivotButton="0" quotePrefix="0" xfId="0">
      <alignment vertical="center"/>
    </xf>
    <xf numFmtId="0" fontId="34" fillId="0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left" vertical="center" indent="3"/>
    </xf>
    <xf numFmtId="0" fontId="19" fillId="0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indent="2"/>
    </xf>
    <xf numFmtId="43" fontId="19" fillId="0" borderId="0" applyAlignment="1" pivotButton="0" quotePrefix="0" xfId="0">
      <alignment horizontal="left" vertical="center" indent="1"/>
    </xf>
    <xf numFmtId="43" fontId="34" fillId="0" borderId="0" applyAlignment="1" pivotButton="0" quotePrefix="0" xfId="0">
      <alignment horizontal="left" vertical="center"/>
    </xf>
    <xf numFmtId="165" fontId="35" fillId="0" borderId="33" applyAlignment="1" pivotButton="0" quotePrefix="0" xfId="0">
      <alignment horizontal="left" vertical="center"/>
    </xf>
    <xf numFmtId="165" fontId="19" fillId="0" borderId="33" applyAlignment="1" pivotButton="0" quotePrefix="0" xfId="0">
      <alignment horizontal="left" vertical="center"/>
    </xf>
    <xf numFmtId="43" fontId="19" fillId="0" borderId="0" applyAlignment="1" pivotButton="0" quotePrefix="0" xfId="0">
      <alignment horizontal="left" vertical="center"/>
    </xf>
    <xf numFmtId="165" fontId="34" fillId="0" borderId="33" applyAlignment="1" pivotButton="0" quotePrefix="0" xfId="0">
      <alignment horizontal="left" vertical="center"/>
    </xf>
    <xf numFmtId="43" fontId="16" fillId="0" borderId="0" applyAlignment="1" pivotButton="0" quotePrefix="0" xfId="0">
      <alignment horizontal="left" vertical="center"/>
    </xf>
    <xf numFmtId="165" fontId="16" fillId="0" borderId="33" applyAlignment="1" pivotButton="0" quotePrefix="0" xfId="0">
      <alignment horizontal="left" vertical="center"/>
    </xf>
    <xf numFmtId="43" fontId="26" fillId="0" borderId="38" applyAlignment="1" pivotButton="0" quotePrefix="0" xfId="0">
      <alignment horizontal="left" vertical="center"/>
    </xf>
    <xf numFmtId="165" fontId="26" fillId="0" borderId="39" applyAlignment="1" pivotButton="0" quotePrefix="0" xfId="0">
      <alignment horizontal="left" vertical="center"/>
    </xf>
    <xf numFmtId="166" fontId="28" fillId="0" borderId="0" applyAlignment="1" pivotButton="0" quotePrefix="0" xfId="0">
      <alignment horizontal="left" vertical="center" indent="1"/>
    </xf>
    <xf numFmtId="165" fontId="36" fillId="0" borderId="44" applyAlignment="1" pivotButton="0" quotePrefix="0" xfId="0">
      <alignment horizontal="right" vertical="center"/>
    </xf>
    <xf numFmtId="165" fontId="36" fillId="0" borderId="46" applyAlignment="1" pivotButton="0" quotePrefix="0" xfId="0">
      <alignment horizontal="right" vertical="center"/>
    </xf>
    <xf numFmtId="165" fontId="36" fillId="0" borderId="48" applyAlignment="1" pivotButton="0" quotePrefix="0" xfId="0">
      <alignment horizontal="right" vertical="center"/>
    </xf>
    <xf numFmtId="165" fontId="21" fillId="0" borderId="46" applyAlignment="1" pivotButton="0" quotePrefix="0" xfId="0">
      <alignment horizontal="right" vertical="center"/>
    </xf>
    <xf numFmtId="165" fontId="21" fillId="0" borderId="51" applyAlignment="1" pivotButton="0" quotePrefix="0" xfId="0">
      <alignment horizontal="right" vertical="center"/>
    </xf>
    <xf numFmtId="0" fontId="37" fillId="0" borderId="0" applyAlignment="1" applyProtection="1" pivotButton="0" quotePrefix="0" xfId="0">
      <alignment vertical="center"/>
      <protection locked="0" hidden="0"/>
    </xf>
    <xf numFmtId="0" fontId="38" fillId="6" borderId="52" applyAlignment="1" applyProtection="1" pivotButton="0" quotePrefix="0" xfId="0">
      <alignment vertical="center"/>
      <protection locked="0" hidden="0"/>
    </xf>
    <xf numFmtId="0" fontId="39" fillId="0" borderId="0" applyAlignment="1" applyProtection="1" pivotButton="0" quotePrefix="0" xfId="0">
      <alignment vertical="center"/>
      <protection locked="0" hidden="0"/>
    </xf>
    <xf numFmtId="0" fontId="40" fillId="0" borderId="0" applyAlignment="1" applyProtection="1" pivotButton="0" quotePrefix="0" xfId="0">
      <alignment vertical="center"/>
      <protection locked="0" hidden="0"/>
    </xf>
    <xf numFmtId="0" fontId="41" fillId="0" borderId="0" applyAlignment="1" applyProtection="1" pivotButton="0" quotePrefix="0" xfId="0">
      <alignment vertical="center"/>
      <protection locked="0" hidden="0"/>
    </xf>
    <xf numFmtId="0" fontId="42" fillId="6" borderId="52" applyAlignment="1" applyProtection="1" pivotButton="0" quotePrefix="0" xfId="0">
      <alignment horizontal="center" vertical="center"/>
      <protection locked="0" hidden="0"/>
    </xf>
    <xf numFmtId="0" fontId="39" fillId="0" borderId="0" applyAlignment="1" applyProtection="1" pivotButton="0" quotePrefix="0" xfId="0">
      <alignment horizontal="center" vertical="center"/>
      <protection locked="0" hidden="0"/>
    </xf>
    <xf numFmtId="0" fontId="39" fillId="0" borderId="0" applyAlignment="1" applyProtection="1" pivotButton="0" quotePrefix="0" xfId="0">
      <alignment horizontal="left" vertical="center"/>
      <protection locked="0" hidden="0"/>
    </xf>
    <xf numFmtId="0" fontId="43" fillId="0" borderId="56" applyAlignment="1" applyProtection="1" pivotButton="0" quotePrefix="0" xfId="0">
      <alignment horizontal="center" vertical="center"/>
      <protection locked="0" hidden="0"/>
    </xf>
    <xf numFmtId="0" fontId="43" fillId="0" borderId="57" applyAlignment="1" applyProtection="1" pivotButton="0" quotePrefix="0" xfId="0">
      <alignment horizontal="center" vertical="center"/>
      <protection locked="0" hidden="0"/>
    </xf>
    <xf numFmtId="0" fontId="43" fillId="0" borderId="58" applyAlignment="1" applyProtection="1" pivotButton="0" quotePrefix="0" xfId="0">
      <alignment horizontal="center" vertical="center"/>
      <protection locked="0" hidden="0"/>
    </xf>
    <xf numFmtId="0" fontId="39" fillId="0" borderId="59" applyAlignment="1" applyProtection="1" pivotButton="0" quotePrefix="0" xfId="0">
      <alignment horizontal="center" vertical="center"/>
      <protection locked="0" hidden="0"/>
    </xf>
    <xf numFmtId="0" fontId="39" fillId="0" borderId="60" applyAlignment="1" applyProtection="1" pivotButton="0" quotePrefix="0" xfId="0">
      <alignment horizontal="center" vertical="center" wrapText="1"/>
      <protection locked="0" hidden="0"/>
    </xf>
    <xf numFmtId="0" fontId="44" fillId="0" borderId="60" applyAlignment="1" applyProtection="1" pivotButton="0" quotePrefix="0" xfId="0">
      <alignment horizontal="center" vertical="center" wrapText="1"/>
      <protection locked="0" hidden="0"/>
    </xf>
    <xf numFmtId="0" fontId="39" fillId="0" borderId="61" applyAlignment="1" applyProtection="1" pivotButton="0" quotePrefix="0" xfId="0">
      <alignment horizontal="center" vertical="center"/>
      <protection locked="0" hidden="0"/>
    </xf>
    <xf numFmtId="0" fontId="39" fillId="0" borderId="62" applyAlignment="1" applyProtection="1" pivotButton="0" quotePrefix="0" xfId="0">
      <alignment horizontal="center" vertical="center" wrapText="1"/>
      <protection locked="0" hidden="0"/>
    </xf>
    <xf numFmtId="0" fontId="39" fillId="0" borderId="63" applyAlignment="1" applyProtection="1" pivotButton="0" quotePrefix="0" xfId="0">
      <alignment horizontal="center" vertical="center" wrapText="1"/>
      <protection locked="0" hidden="0"/>
    </xf>
    <xf numFmtId="0" fontId="39" fillId="7" borderId="63" applyAlignment="1" applyProtection="1" pivotButton="0" quotePrefix="0" xfId="0">
      <alignment horizontal="center" vertical="center" wrapText="1"/>
      <protection locked="0" hidden="0"/>
    </xf>
    <xf numFmtId="0" fontId="39" fillId="7" borderId="64" applyAlignment="1" applyProtection="1" pivotButton="0" quotePrefix="0" xfId="0">
      <alignment horizontal="center" vertical="center" wrapText="1"/>
      <protection locked="0" hidden="0"/>
    </xf>
    <xf numFmtId="0" fontId="39" fillId="7" borderId="40" applyAlignment="1" applyProtection="1" pivotButton="0" quotePrefix="0" xfId="0">
      <alignment horizontal="center" vertical="center" wrapText="1"/>
      <protection locked="0" hidden="0"/>
    </xf>
    <xf numFmtId="0" fontId="44" fillId="0" borderId="65" applyAlignment="1" applyProtection="1" pivotButton="0" quotePrefix="0" xfId="0">
      <alignment vertical="center"/>
      <protection locked="0" hidden="0"/>
    </xf>
    <xf numFmtId="0" fontId="43" fillId="0" borderId="66" applyAlignment="1" applyProtection="1" pivotButton="0" quotePrefix="0" xfId="0">
      <alignment horizontal="center" vertical="center"/>
      <protection locked="0" hidden="0"/>
    </xf>
    <xf numFmtId="9" fontId="43" fillId="0" borderId="66" applyAlignment="1" applyProtection="1" pivotButton="0" quotePrefix="0" xfId="2">
      <alignment horizontal="center" vertical="center"/>
      <protection locked="0" hidden="0"/>
    </xf>
    <xf numFmtId="2" fontId="43" fillId="0" borderId="66" applyAlignment="1" applyProtection="1" pivotButton="0" quotePrefix="0" xfId="0">
      <alignment vertical="center"/>
      <protection locked="0" hidden="0"/>
    </xf>
    <xf numFmtId="0" fontId="39" fillId="0" borderId="67" applyAlignment="1" applyProtection="1" pivotButton="0" quotePrefix="0" xfId="0">
      <alignment horizontal="center" vertical="center"/>
      <protection locked="0" hidden="0"/>
    </xf>
    <xf numFmtId="0" fontId="39" fillId="0" borderId="68" applyAlignment="1" applyProtection="1" pivotButton="0" quotePrefix="0" xfId="0">
      <alignment horizontal="center" vertical="center"/>
      <protection locked="0" hidden="0"/>
    </xf>
    <xf numFmtId="43" fontId="43" fillId="0" borderId="65" applyAlignment="1" applyProtection="1" pivotButton="0" quotePrefix="0" xfId="3">
      <alignment horizontal="right" vertical="center"/>
      <protection locked="0" hidden="0"/>
    </xf>
    <xf numFmtId="43" fontId="43" fillId="0" borderId="66" applyAlignment="1" applyProtection="1" pivotButton="0" quotePrefix="0" xfId="3">
      <alignment horizontal="right" vertical="center"/>
      <protection locked="0" hidden="0"/>
    </xf>
    <xf numFmtId="2" fontId="39" fillId="0" borderId="66" applyAlignment="1" applyProtection="1" pivotButton="0" quotePrefix="0" xfId="4">
      <alignment horizontal="center" vertical="center"/>
      <protection locked="0" hidden="0"/>
    </xf>
    <xf numFmtId="2" fontId="43" fillId="0" borderId="66" applyAlignment="1" applyProtection="1" pivotButton="0" quotePrefix="0" xfId="4">
      <alignment horizontal="center" vertical="center"/>
      <protection locked="0" hidden="0"/>
    </xf>
    <xf numFmtId="2" fontId="39" fillId="0" borderId="67" applyAlignment="1" applyProtection="1" pivotButton="0" quotePrefix="0" xfId="0">
      <alignment vertical="center"/>
      <protection locked="0" hidden="0"/>
    </xf>
    <xf numFmtId="0" fontId="43" fillId="0" borderId="0" applyAlignment="1" applyProtection="1" pivotButton="0" quotePrefix="0" xfId="0">
      <alignment vertical="center"/>
      <protection locked="1" hidden="1"/>
    </xf>
    <xf numFmtId="0" fontId="43" fillId="0" borderId="0" applyAlignment="1" applyProtection="1" pivotButton="0" quotePrefix="0" xfId="0">
      <alignment vertical="center"/>
      <protection locked="0" hidden="0"/>
    </xf>
    <xf numFmtId="2" fontId="43" fillId="0" borderId="0" applyAlignment="1" applyProtection="1" pivotButton="0" quotePrefix="0" xfId="0">
      <alignment vertical="center"/>
      <protection locked="0" hidden="0"/>
    </xf>
    <xf numFmtId="0" fontId="39" fillId="0" borderId="40" applyAlignment="1" applyProtection="1" pivotButton="0" quotePrefix="0" xfId="0">
      <alignment horizontal="center" vertical="center"/>
      <protection locked="0" hidden="0"/>
    </xf>
    <xf numFmtId="43" fontId="47" fillId="0" borderId="62" applyAlignment="1" applyProtection="1" pivotButton="0" quotePrefix="0" xfId="0">
      <alignment vertical="center"/>
      <protection locked="0" hidden="0"/>
    </xf>
    <xf numFmtId="43" fontId="47" fillId="0" borderId="63" applyAlignment="1" applyProtection="1" pivotButton="0" quotePrefix="0" xfId="0">
      <alignment vertical="center"/>
      <protection locked="0" hidden="0"/>
    </xf>
    <xf numFmtId="43" fontId="48" fillId="0" borderId="63" applyAlignment="1" applyProtection="1" pivotButton="0" quotePrefix="0" xfId="0">
      <alignment vertical="center"/>
      <protection locked="0" hidden="0"/>
    </xf>
    <xf numFmtId="43" fontId="47" fillId="0" borderId="64" applyAlignment="1" applyProtection="1" pivotButton="0" quotePrefix="0" xfId="0">
      <alignment vertical="center"/>
      <protection locked="0" hidden="0"/>
    </xf>
    <xf numFmtId="43" fontId="48" fillId="0" borderId="71" applyAlignment="1" applyProtection="1" pivotButton="0" quotePrefix="0" xfId="0">
      <alignment vertical="center"/>
      <protection locked="0" hidden="0"/>
    </xf>
    <xf numFmtId="14" fontId="2" fillId="0" borderId="0" applyAlignment="1" pivotButton="0" quotePrefix="0" xfId="0">
      <alignment vertical="center"/>
    </xf>
    <xf numFmtId="14" fontId="0" fillId="2" borderId="0" applyAlignment="1" pivotButton="0" quotePrefix="0" xfId="0">
      <alignment vertical="center"/>
    </xf>
    <xf numFmtId="0" fontId="21" fillId="0" borderId="32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19" fillId="0" borderId="32" applyAlignment="1" pivotButton="0" quotePrefix="0" xfId="0">
      <alignment horizontal="left" vertical="center" indent="2"/>
    </xf>
    <xf numFmtId="0" fontId="19" fillId="0" borderId="0" applyAlignment="1" pivotButton="0" quotePrefix="0" xfId="0">
      <alignment horizontal="left" vertical="center" indent="2"/>
    </xf>
    <xf numFmtId="0" fontId="21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right" vertical="top" wrapText="1"/>
    </xf>
    <xf numFmtId="0" fontId="34" fillId="0" borderId="32" applyAlignment="1" pivotButton="0" quotePrefix="0" xfId="0">
      <alignment horizontal="left" vertical="center" indent="1"/>
    </xf>
    <xf numFmtId="0" fontId="34" fillId="0" borderId="0" applyAlignment="1" pivotButton="0" quotePrefix="0" xfId="0">
      <alignment horizontal="left" vertical="center" indent="1"/>
    </xf>
    <xf numFmtId="0" fontId="19" fillId="0" borderId="3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32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left" vertical="center" indent="1"/>
    </xf>
    <xf numFmtId="0" fontId="26" fillId="0" borderId="37" applyAlignment="1" pivotButton="0" quotePrefix="0" xfId="0">
      <alignment horizontal="left" vertical="center" indent="1"/>
    </xf>
    <xf numFmtId="0" fontId="26" fillId="0" borderId="38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right" vertical="center"/>
    </xf>
    <xf numFmtId="0" fontId="23" fillId="0" borderId="0" applyAlignment="1" pivotButton="0" quotePrefix="0" xfId="0">
      <alignment horizontal="right" vertical="center"/>
    </xf>
    <xf numFmtId="0" fontId="19" fillId="0" borderId="32" applyAlignment="1" pivotButton="0" quotePrefix="0" xfId="0">
      <alignment horizontal="left" vertical="center" indent="3"/>
    </xf>
    <xf numFmtId="0" fontId="19" fillId="0" borderId="0" applyAlignment="1" pivotButton="0" quotePrefix="0" xfId="0">
      <alignment horizontal="left" vertical="center" indent="3"/>
    </xf>
    <xf numFmtId="0" fontId="25" fillId="5" borderId="35" applyAlignment="1" pivotButton="0" quotePrefix="0" xfId="0">
      <alignment horizontal="center" vertical="center"/>
    </xf>
    <xf numFmtId="0" fontId="25" fillId="5" borderId="34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164" fontId="16" fillId="3" borderId="0" applyAlignment="1" pivotButton="0" quotePrefix="0" xfId="0">
      <alignment horizontal="left" vertical="center" wrapText="1" indent="2"/>
    </xf>
    <xf numFmtId="164" fontId="16" fillId="3" borderId="30" applyAlignment="1" pivotButton="0" quotePrefix="0" xfId="0">
      <alignment horizontal="left" vertical="center" wrapText="1" indent="2"/>
    </xf>
    <xf numFmtId="164" fontId="16" fillId="3" borderId="31" applyAlignment="1" pivotButton="0" quotePrefix="0" xfId="0">
      <alignment horizontal="left" vertical="center" wrapText="1" indent="2"/>
    </xf>
    <xf numFmtId="43" fontId="36" fillId="0" borderId="42" applyAlignment="1" pivotButton="0" quotePrefix="0" xfId="0">
      <alignment horizontal="right" vertical="center"/>
    </xf>
    <xf numFmtId="43" fontId="36" fillId="0" borderId="43" applyAlignment="1" pivotButton="0" quotePrefix="0" xfId="0">
      <alignment horizontal="right" vertical="center"/>
    </xf>
    <xf numFmtId="43" fontId="36" fillId="0" borderId="45" applyAlignment="1" pivotButton="0" quotePrefix="0" xfId="0">
      <alignment horizontal="right" vertical="center"/>
    </xf>
    <xf numFmtId="43" fontId="36" fillId="0" borderId="0" applyAlignment="1" pivotButton="0" quotePrefix="0" xfId="0">
      <alignment horizontal="right" vertical="center"/>
    </xf>
    <xf numFmtId="40" fontId="36" fillId="0" borderId="47" applyAlignment="1" pivotButton="0" quotePrefix="0" xfId="0">
      <alignment horizontal="right" vertical="center"/>
    </xf>
    <xf numFmtId="40" fontId="36" fillId="0" borderId="41" applyAlignment="1" pivotButton="0" quotePrefix="0" xfId="0">
      <alignment horizontal="right" vertical="center"/>
    </xf>
    <xf numFmtId="43" fontId="21" fillId="0" borderId="45" applyAlignment="1" pivotButton="0" quotePrefix="0" xfId="0">
      <alignment horizontal="right" vertical="center"/>
    </xf>
    <xf numFmtId="43" fontId="21" fillId="0" borderId="0" applyAlignment="1" pivotButton="0" quotePrefix="0" xfId="0">
      <alignment horizontal="right" vertical="center"/>
    </xf>
    <xf numFmtId="43" fontId="21" fillId="0" borderId="45" applyAlignment="1" pivotButton="0" quotePrefix="0" xfId="0">
      <alignment horizontal="right" vertical="center" indent="1"/>
    </xf>
    <xf numFmtId="43" fontId="21" fillId="0" borderId="0" applyAlignment="1" pivotButton="0" quotePrefix="0" xfId="0">
      <alignment horizontal="right" vertical="center" indent="1"/>
    </xf>
    <xf numFmtId="43" fontId="21" fillId="0" borderId="49" applyAlignment="1" pivotButton="0" quotePrefix="0" xfId="0">
      <alignment horizontal="right" vertical="center"/>
    </xf>
    <xf numFmtId="43" fontId="21" fillId="0" borderId="50" applyAlignment="1" pivotButton="0" quotePrefix="0" xfId="0">
      <alignment horizontal="right" vertical="center"/>
    </xf>
    <xf numFmtId="0" fontId="2" fillId="0" borderId="5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20" applyAlignment="1" pivotButton="0" quotePrefix="0" xfId="0">
      <alignment horizontal="center" vertical="center" wrapText="1"/>
    </xf>
    <xf numFmtId="0" fontId="2" fillId="0" borderId="7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23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 shrinkToFit="1"/>
    </xf>
    <xf numFmtId="0" fontId="2" fillId="0" borderId="4" applyAlignment="1" pivotButton="0" quotePrefix="0" xfId="0">
      <alignment horizontal="center" vertical="center" shrinkToFit="1"/>
    </xf>
    <xf numFmtId="0" fontId="2" fillId="0" borderId="19" applyAlignment="1" pivotButton="0" quotePrefix="0" xfId="0">
      <alignment horizontal="center" vertical="center" shrinkToFit="1"/>
    </xf>
    <xf numFmtId="0" fontId="2" fillId="0" borderId="20" applyAlignment="1" pivotButton="0" quotePrefix="0" xfId="0">
      <alignment horizontal="center" vertical="center" shrinkToFit="1"/>
    </xf>
    <xf numFmtId="0" fontId="2" fillId="0" borderId="72" applyAlignment="1" pivotButton="0" quotePrefix="0" xfId="0">
      <alignment horizontal="center" vertical="center" shrinkToFit="1"/>
    </xf>
    <xf numFmtId="0" fontId="39" fillId="0" borderId="0" applyAlignment="1" applyProtection="1" pivotButton="0" quotePrefix="0" xfId="0">
      <alignment horizontal="center" vertical="center"/>
      <protection locked="0" hidden="0"/>
    </xf>
    <xf numFmtId="0" fontId="46" fillId="0" borderId="69" applyAlignment="1" applyProtection="1" pivotButton="0" quotePrefix="0" xfId="0">
      <alignment horizontal="center" vertical="center"/>
      <protection locked="0" hidden="0"/>
    </xf>
    <xf numFmtId="0" fontId="46" fillId="0" borderId="70" applyAlignment="1" applyProtection="1" pivotButton="0" quotePrefix="0" xfId="0">
      <alignment horizontal="center" vertical="center"/>
      <protection locked="0" hidden="0"/>
    </xf>
    <xf numFmtId="0" fontId="38" fillId="6" borderId="53" applyAlignment="1" applyProtection="1" pivotButton="0" quotePrefix="0" xfId="0">
      <alignment horizontal="center" vertical="center"/>
      <protection locked="0" hidden="0"/>
    </xf>
    <xf numFmtId="0" fontId="38" fillId="6" borderId="54" applyAlignment="1" applyProtection="1" pivotButton="0" quotePrefix="0" xfId="0">
      <alignment horizontal="center" vertical="center"/>
      <protection locked="0" hidden="0"/>
    </xf>
    <xf numFmtId="0" fontId="38" fillId="6" borderId="55" applyAlignment="1" applyProtection="1" pivotButton="0" quotePrefix="0" xfId="0">
      <alignment horizontal="center" vertical="center"/>
      <protection locked="0" hidden="0"/>
    </xf>
    <xf numFmtId="0" fontId="42" fillId="6" borderId="53" applyAlignment="1" applyProtection="1" pivotButton="0" quotePrefix="0" xfId="0">
      <alignment horizontal="center" vertical="center"/>
      <protection locked="0" hidden="0"/>
    </xf>
    <xf numFmtId="0" fontId="42" fillId="6" borderId="54" applyAlignment="1" applyProtection="1" pivotButton="0" quotePrefix="0" xfId="0">
      <alignment horizontal="center" vertical="center"/>
      <protection locked="0" hidden="0"/>
    </xf>
    <xf numFmtId="0" fontId="42" fillId="6" borderId="55" applyAlignment="1" applyProtection="1" pivotButton="0" quotePrefix="0" xfId="0">
      <alignment horizontal="center" vertical="center"/>
      <protection locked="0" hidden="0"/>
    </xf>
    <xf numFmtId="0" fontId="0" fillId="0" borderId="34" pivotButton="0" quotePrefix="0" xfId="0"/>
    <xf numFmtId="165" fontId="35" fillId="0" borderId="33" applyAlignment="1" pivotButton="0" quotePrefix="0" xfId="0">
      <alignment horizontal="left" vertical="center"/>
    </xf>
    <xf numFmtId="165" fontId="19" fillId="0" borderId="33" applyAlignment="1" pivotButton="0" quotePrefix="0" xfId="0">
      <alignment horizontal="left" vertical="center"/>
    </xf>
    <xf numFmtId="165" fontId="34" fillId="0" borderId="33" applyAlignment="1" pivotButton="0" quotePrefix="0" xfId="0">
      <alignment horizontal="left" vertical="center"/>
    </xf>
    <xf numFmtId="165" fontId="16" fillId="0" borderId="33" applyAlignment="1" pivotButton="0" quotePrefix="0" xfId="0">
      <alignment horizontal="left" vertical="center"/>
    </xf>
    <xf numFmtId="0" fontId="0" fillId="0" borderId="38" pivotButton="0" quotePrefix="0" xfId="0"/>
    <xf numFmtId="165" fontId="26" fillId="0" borderId="39" applyAlignment="1" pivotButton="0" quotePrefix="0" xfId="0">
      <alignment horizontal="left" vertical="center"/>
    </xf>
    <xf numFmtId="165" fontId="26" fillId="0" borderId="0" applyAlignment="1" pivotButton="0" quotePrefix="0" xfId="0">
      <alignment horizontal="right" vertical="center"/>
    </xf>
    <xf numFmtId="166" fontId="28" fillId="0" borderId="0" applyAlignment="1" pivotButton="0" quotePrefix="0" xfId="0">
      <alignment horizontal="left" vertical="center" indent="1"/>
    </xf>
    <xf numFmtId="0" fontId="0" fillId="0" borderId="43" pivotButton="0" quotePrefix="0" xfId="0"/>
    <xf numFmtId="165" fontId="36" fillId="0" borderId="44" applyAlignment="1" pivotButton="0" quotePrefix="0" xfId="0">
      <alignment horizontal="right" vertical="center"/>
    </xf>
    <xf numFmtId="165" fontId="36" fillId="0" borderId="46" applyAlignment="1" pivotButton="0" quotePrefix="0" xfId="0">
      <alignment horizontal="right" vertical="center"/>
    </xf>
    <xf numFmtId="0" fontId="0" fillId="0" borderId="41" pivotButton="0" quotePrefix="0" xfId="0"/>
    <xf numFmtId="165" fontId="36" fillId="0" borderId="48" applyAlignment="1" pivotButton="0" quotePrefix="0" xfId="0">
      <alignment horizontal="right" vertical="center"/>
    </xf>
    <xf numFmtId="165" fontId="21" fillId="0" borderId="46" applyAlignment="1" pivotButton="0" quotePrefix="0" xfId="0">
      <alignment horizontal="right" vertical="center"/>
    </xf>
    <xf numFmtId="0" fontId="0" fillId="0" borderId="50" pivotButton="0" quotePrefix="0" xfId="0"/>
    <xf numFmtId="165" fontId="21" fillId="0" borderId="51" applyAlignment="1" pivotButton="0" quotePrefix="0" xfId="0">
      <alignment horizontal="right" vertical="center"/>
    </xf>
    <xf numFmtId="165" fontId="16" fillId="0" borderId="0" applyAlignment="1" pivotButton="0" quotePrefix="0" xfId="0">
      <alignment vertical="center"/>
    </xf>
    <xf numFmtId="0" fontId="0" fillId="0" borderId="30" pivotButton="0" quotePrefix="0" xfId="0"/>
    <xf numFmtId="0" fontId="0" fillId="0" borderId="20" pivotButton="0" quotePrefix="0" xfId="0"/>
    <xf numFmtId="0" fontId="0" fillId="0" borderId="72" pivotButton="0" quotePrefix="0" xfId="0"/>
    <xf numFmtId="0" fontId="0" fillId="0" borderId="77" pivotButton="0" quotePrefix="0" xfId="0"/>
    <xf numFmtId="0" fontId="0" fillId="0" borderId="79" pivotButton="0" quotePrefix="0" xfId="0"/>
    <xf numFmtId="0" fontId="0" fillId="0" borderId="80" pivotButton="0" quotePrefix="0" xfId="0"/>
    <xf numFmtId="0" fontId="38" fillId="6" borderId="52" applyAlignment="1" applyProtection="1" pivotButton="0" quotePrefix="0" xfId="0">
      <alignment horizontal="center" vertical="center"/>
      <protection locked="0" hidden="0"/>
    </xf>
    <xf numFmtId="0" fontId="0" fillId="0" borderId="54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70" applyProtection="1" pivotButton="0" quotePrefix="0" xfId="0">
      <protection locked="0" hidden="0"/>
    </xf>
  </cellXfs>
  <cellStyles count="5">
    <cellStyle name="Normal" xfId="0" builtinId="0"/>
    <cellStyle name="常规 2" xfId="1"/>
    <cellStyle name="Percent" xfId="2" builtinId="5"/>
    <cellStyle name="Comma 3" xfId="3"/>
    <cellStyle name="Comma 2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1129695</colOff>
      <row>2</row>
      <rowOff>109286</rowOff>
    </to>
    <pic>
      <nvPicPr>
        <cNvPr id="4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67857" cy="5356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tabSelected="1" topLeftCell="A19" zoomScale="130" zoomScaleNormal="130" workbookViewId="0">
      <selection activeCell="B29" sqref="B29"/>
    </sheetView>
  </sheetViews>
  <sheetFormatPr baseColWidth="8" defaultColWidth="9.140625" defaultRowHeight="10.5"/>
  <cols>
    <col width="14.85546875" customWidth="1" style="46" min="1" max="1"/>
    <col width="23.42578125" customWidth="1" style="46" min="2" max="2"/>
    <col width="5.42578125" customWidth="1" style="46" min="3" max="3"/>
    <col width="15.140625" customWidth="1" style="46" min="4" max="4"/>
    <col width="11.85546875" customWidth="1" style="46" min="5" max="5"/>
    <col width="14.42578125" customWidth="1" style="48" min="6" max="6"/>
    <col width="9.140625" customWidth="1" style="48" min="7" max="7"/>
    <col width="9.140625" customWidth="1" style="46" min="8" max="8"/>
    <col width="9.140625" customWidth="1" style="46" min="9" max="9"/>
    <col width="9.140625" customWidth="1" style="46" min="10" max="16384"/>
  </cols>
  <sheetData>
    <row r="1" ht="18.95" customHeight="1">
      <c r="B1" s="164" t="inlineStr">
        <is>
          <t>NNRoad – Employer of Record, Payroll Worldwide</t>
        </is>
      </c>
      <c r="G1" s="47" t="n"/>
      <c r="H1" s="48" t="n"/>
    </row>
    <row r="2" ht="14.25" customHeight="1">
      <c r="B2" s="165" t="inlineStr">
        <is>
          <t>333 W San Carlos St., Suite 600, San Jose, CA 95113, USA</t>
        </is>
      </c>
      <c r="G2" s="47" t="n"/>
      <c r="H2" s="48" t="n"/>
    </row>
    <row r="3" ht="18" customFormat="1" customHeight="1" s="49">
      <c r="B3" s="165" t="inlineStr">
        <is>
          <t>USA: +1 (669) 377-5080 | www.NNRoad.com</t>
        </is>
      </c>
      <c r="G3" s="47" t="n"/>
      <c r="H3" s="47" t="n"/>
    </row>
    <row r="4" ht="14.1" customFormat="1" customHeight="1" s="49">
      <c r="G4" s="47" t="n"/>
      <c r="H4" s="47" t="n"/>
    </row>
    <row r="5" ht="32.1" customFormat="1" customHeight="1" s="49">
      <c r="A5" s="170" t="inlineStr">
        <is>
          <t>INVOICE</t>
        </is>
      </c>
      <c r="G5" s="47" t="n"/>
      <c r="H5" s="47" t="n"/>
    </row>
    <row r="6" ht="12" customFormat="1" customHeight="1" s="49">
      <c r="A6" s="44" t="n"/>
      <c r="B6" s="44" t="n"/>
      <c r="C6" s="44" t="n"/>
      <c r="D6" s="44" t="n"/>
      <c r="E6" s="44" t="n"/>
      <c r="F6" s="44" t="n"/>
      <c r="G6" s="47" t="n"/>
      <c r="H6" s="47" t="n"/>
    </row>
    <row r="7" ht="12.95" customFormat="1" customHeight="1" s="49">
      <c r="A7" s="45" t="inlineStr">
        <is>
          <t>Bill to:</t>
        </is>
      </c>
      <c r="B7" s="45" t="n"/>
      <c r="C7" s="45" t="n"/>
      <c r="D7" s="45" t="n"/>
      <c r="E7" s="45" t="n"/>
      <c r="G7" s="47" t="n"/>
      <c r="H7" s="47" t="n"/>
    </row>
    <row r="8" ht="12.95" customFormat="1" customHeight="1" s="50">
      <c r="A8" s="63" t="inlineStr">
        <is>
          <t>Company name:</t>
        </is>
      </c>
      <c r="B8" s="64" t="inlineStr">
        <is>
          <t>Animal Equality</t>
        </is>
      </c>
      <c r="C8" s="72" t="n"/>
      <c r="D8" s="63" t="inlineStr">
        <is>
          <t>Currency</t>
        </is>
      </c>
      <c r="E8" s="63" t="n"/>
      <c r="F8" s="64" t="inlineStr">
        <is>
          <t>USD</t>
        </is>
      </c>
      <c r="G8" s="51" t="n"/>
    </row>
    <row r="9" ht="12.95" customFormat="1" customHeight="1" s="50">
      <c r="A9" s="63" t="inlineStr">
        <is>
          <t>Client ID:</t>
        </is>
      </c>
      <c r="B9" s="64" t="inlineStr">
        <is>
          <t>CUS1513</t>
        </is>
      </c>
      <c r="C9" s="73" t="n"/>
      <c r="D9" s="63" t="inlineStr">
        <is>
          <t>Invoice number</t>
        </is>
      </c>
      <c r="E9" s="63" t="n"/>
      <c r="F9" s="64" t="inlineStr">
        <is>
          <t>PN-CUS1513-052120261</t>
        </is>
      </c>
      <c r="G9" s="51" t="n"/>
    </row>
    <row r="10" ht="12.95" customFormat="1" customHeight="1" s="49">
      <c r="A10" s="63" t="inlineStr">
        <is>
          <t>Address:</t>
        </is>
      </c>
      <c r="B10" s="155" t="inlineStr">
        <is>
          <t>8581 Santa Monica Blvd. Ste. 350 Los Angeles, CA 90069</t>
        </is>
      </c>
      <c r="C10" s="73" t="n"/>
      <c r="D10" s="63" t="inlineStr">
        <is>
          <t>Invoice date</t>
        </is>
      </c>
      <c r="E10" s="63" t="n"/>
      <c r="F10" s="65">
        <f>TODAY()</f>
        <v/>
      </c>
      <c r="G10" s="47" t="n"/>
    </row>
    <row r="11" ht="12" customFormat="1" customHeight="1" s="50">
      <c r="A11" s="66" t="n"/>
      <c r="D11" s="63" t="inlineStr">
        <is>
          <t>Due date</t>
        </is>
      </c>
      <c r="E11" s="63" t="n"/>
      <c r="F11" s="65" t="n">
        <v>46164</v>
      </c>
      <c r="G11" s="51" t="n"/>
    </row>
    <row r="12" ht="12" customFormat="1" customHeight="1" s="49">
      <c r="A12" s="55" t="n"/>
      <c r="B12" s="55" t="n"/>
      <c r="C12" s="55" t="n"/>
      <c r="D12" s="55" t="n"/>
      <c r="E12" s="56" t="n"/>
      <c r="G12" s="47" t="n"/>
    </row>
    <row r="13" ht="11.1" customHeight="1" thickBot="1"/>
    <row r="14" ht="27.95" customFormat="1" customHeight="1" s="58">
      <c r="A14" s="168" t="inlineStr">
        <is>
          <t>Description</t>
        </is>
      </c>
      <c r="B14" s="211" t="n"/>
      <c r="C14" s="211" t="n"/>
      <c r="D14" s="169" t="n"/>
      <c r="E14" s="169">
        <f>"Amount "&amp;Italy!C6</f>
        <v/>
      </c>
      <c r="F14" s="79" t="inlineStr">
        <is>
          <t>Approx. In USD*</t>
        </is>
      </c>
      <c r="G14" s="57" t="n"/>
    </row>
    <row r="15" ht="15.95" customFormat="1" customHeight="1" s="61">
      <c r="A15" s="156" t="inlineStr">
        <is>
          <t>EOR/PEO Cost</t>
        </is>
      </c>
      <c r="D15" s="157" t="n"/>
      <c r="E15" s="93">
        <f>SUM(E16:E17)</f>
        <v/>
      </c>
      <c r="F15" s="212">
        <f>SUM(F16:F17)</f>
        <v/>
      </c>
      <c r="G15" s="69" t="n"/>
    </row>
    <row r="16" ht="12.95" customFormat="1" customHeight="1" s="53">
      <c r="A16" s="166">
        <f>"- Labor cost for "&amp;Italy!B9&amp;"  -  "&amp;MONTH(Italy!B2) &amp;"-"&amp; YEAR(Italy!B2)</f>
        <v/>
      </c>
      <c r="D16" s="167" t="n"/>
      <c r="E16" s="92">
        <f>Italy!I9+Italy!Q9</f>
        <v/>
      </c>
      <c r="F16" s="213">
        <f>E16/$B$28</f>
        <v/>
      </c>
      <c r="G16" s="52" t="n"/>
    </row>
    <row r="17" ht="12.95" customHeight="1">
      <c r="A17" s="166">
        <f>"- "&amp;+"Expense claim for "&amp;Italy!B9</f>
        <v/>
      </c>
      <c r="D17" s="167" t="n"/>
      <c r="E17" s="92">
        <f>Italy!W9</f>
        <v/>
      </c>
      <c r="F17" s="213">
        <f>E17/$B$28</f>
        <v/>
      </c>
      <c r="G17" s="54" t="n"/>
    </row>
    <row r="18" ht="12.95" customHeight="1">
      <c r="A18" s="160" t="n"/>
      <c r="D18" s="161" t="n"/>
      <c r="E18" s="92" t="n"/>
      <c r="F18" s="213" t="n"/>
      <c r="G18" s="54" t="n"/>
    </row>
    <row r="19" ht="12.95" customHeight="1">
      <c r="A19" s="158" t="n"/>
      <c r="D19" s="159" t="n"/>
      <c r="E19" s="96" t="n"/>
      <c r="F19" s="213" t="n"/>
      <c r="G19" s="54" t="n"/>
    </row>
    <row r="20" ht="15.95" customFormat="1" customHeight="1" s="68">
      <c r="A20" s="156" t="inlineStr">
        <is>
          <t>Service Fee</t>
        </is>
      </c>
      <c r="D20" s="157" t="n"/>
      <c r="E20" s="93">
        <f>SUM(E21:E22)</f>
        <v/>
      </c>
      <c r="F20" s="214">
        <f>SUM(F21:F22)</f>
        <v/>
      </c>
      <c r="G20" s="67" t="n"/>
    </row>
    <row r="21" ht="12.95" customHeight="1">
      <c r="A21" s="152">
        <f>"- "&amp;+"Management Fee - "&amp;MONTH(Italy!B2) &amp;"-"&amp; YEAR(Italy!B2)</f>
        <v/>
      </c>
      <c r="D21" s="153" t="n"/>
      <c r="E21" s="96">
        <f>Italy!H9</f>
        <v/>
      </c>
      <c r="F21" s="213">
        <f>E21/$B$28</f>
        <v/>
      </c>
      <c r="G21" s="54" t="n"/>
    </row>
    <row r="22" ht="12.95" customHeight="1">
      <c r="A22" s="152" t="n"/>
      <c r="D22" s="153" t="n"/>
      <c r="E22" s="96" t="n"/>
      <c r="F22" s="213" t="n"/>
      <c r="G22" s="54" t="n"/>
    </row>
    <row r="23" ht="12.95" customHeight="1">
      <c r="A23" s="152" t="n"/>
      <c r="D23" s="153" t="n"/>
      <c r="E23" s="96" t="n"/>
      <c r="F23" s="213" t="n"/>
      <c r="G23" s="54" t="n"/>
    </row>
    <row r="24" ht="14.45" customHeight="1">
      <c r="A24" s="150" t="n"/>
      <c r="D24" s="151" t="n"/>
      <c r="E24" s="98" t="n"/>
      <c r="F24" s="215" t="n"/>
      <c r="G24" s="54" t="n"/>
    </row>
    <row r="25" ht="15" customFormat="1" customHeight="1" s="61" thickBot="1">
      <c r="A25" s="162" t="inlineStr">
        <is>
          <t xml:space="preserve">EOR/PEO Service Cost		</t>
        </is>
      </c>
      <c r="B25" s="216" t="n"/>
      <c r="C25" s="216" t="n"/>
      <c r="D25" s="216" t="n"/>
      <c r="E25" s="100">
        <f>E15+E20</f>
        <v/>
      </c>
      <c r="F25" s="217">
        <f>F15+F20</f>
        <v/>
      </c>
      <c r="G25" s="69" t="n"/>
    </row>
    <row r="26" ht="14.45" customFormat="1" customHeight="1" s="61">
      <c r="A26" s="76" t="n"/>
      <c r="B26" s="76" t="n"/>
      <c r="C26" s="77" t="n"/>
      <c r="D26" s="77" t="n"/>
      <c r="E26" s="62" t="n"/>
      <c r="F26" s="218" t="n"/>
      <c r="G26" s="69" t="n"/>
    </row>
    <row r="27" ht="15" customFormat="1" customHeight="1" s="61" thickBot="1">
      <c r="A27" s="71" t="n"/>
      <c r="B27" s="71" t="n"/>
      <c r="C27" s="71" t="n"/>
      <c r="D27" s="71" t="n"/>
      <c r="E27" s="62" t="n"/>
      <c r="F27" s="218" t="n"/>
      <c r="G27" s="69" t="n"/>
    </row>
    <row r="28" ht="26.1" customHeight="1">
      <c r="A28" s="81">
        <f>"*FX rate  USD:  "&amp;Italy!C6</f>
        <v/>
      </c>
      <c r="B28" s="219">
        <f>0.86051971*0.97</f>
        <v/>
      </c>
      <c r="C28" s="62" t="n"/>
      <c r="D28" s="174" t="inlineStr">
        <is>
          <t>EOR/PEO Service Cost</t>
        </is>
      </c>
      <c r="E28" s="220" t="n"/>
      <c r="F28" s="221">
        <f>F25</f>
        <v/>
      </c>
      <c r="G28" s="54" t="n"/>
    </row>
    <row r="29" ht="15.95" customFormat="1" customHeight="1" s="53">
      <c r="A29" s="80" t="n"/>
      <c r="B29" s="80" t="n"/>
      <c r="C29" s="62" t="n"/>
      <c r="D29" s="176" t="inlineStr">
        <is>
          <t xml:space="preserve">Outstanding payment </t>
        </is>
      </c>
      <c r="F29" s="222">
        <f>Italy!E22</f>
        <v/>
      </c>
      <c r="G29" s="52" t="n"/>
    </row>
    <row r="30" ht="14.45" customFormat="1" customHeight="1" s="53">
      <c r="A30" s="80" t="n"/>
      <c r="B30" s="80" t="n"/>
      <c r="C30" s="62" t="n"/>
      <c r="D30" s="176" t="inlineStr">
        <is>
          <t xml:space="preserve">FX difference </t>
        </is>
      </c>
      <c r="F30" s="222">
        <f>Italy!E23</f>
        <v/>
      </c>
      <c r="G30" s="52" t="n"/>
    </row>
    <row r="31" ht="14.45" customHeight="1">
      <c r="A31" s="80" t="n"/>
      <c r="B31" s="80" t="n"/>
      <c r="C31" s="62" t="n"/>
      <c r="D31" s="176" t="inlineStr">
        <is>
          <t xml:space="preserve">Interests of delay </t>
        </is>
      </c>
      <c r="F31" s="222">
        <f>Italy!E24</f>
        <v/>
      </c>
      <c r="G31" s="54" t="n"/>
    </row>
    <row r="32" ht="15" customHeight="1" thickBot="1">
      <c r="A32" s="80" t="n"/>
      <c r="B32" s="80" t="n"/>
      <c r="C32" s="60" t="n"/>
      <c r="D32" s="178" t="inlineStr">
        <is>
          <t xml:space="preserve">Bank Charges </t>
        </is>
      </c>
      <c r="E32" s="223" t="n"/>
      <c r="F32" s="224">
        <f>Italy!E25</f>
        <v/>
      </c>
      <c r="G32" s="54" t="n"/>
    </row>
    <row r="33" ht="14.45" customHeight="1">
      <c r="A33" s="80" t="n"/>
      <c r="B33" s="80" t="n"/>
      <c r="C33" s="62" t="n"/>
      <c r="D33" s="180" t="inlineStr">
        <is>
          <t xml:space="preserve">Sub Total (Excluding Tax)		</t>
        </is>
      </c>
      <c r="F33" s="225">
        <f>SUM(F28:F32)</f>
        <v/>
      </c>
      <c r="G33" s="54" t="n"/>
    </row>
    <row r="34" ht="14.45" customHeight="1">
      <c r="A34" s="80" t="n"/>
      <c r="B34" s="80" t="n"/>
      <c r="C34" s="62" t="n"/>
      <c r="D34" s="182" t="inlineStr">
        <is>
          <t>Tax</t>
        </is>
      </c>
      <c r="F34" s="225">
        <f>Italy!F6/B28</f>
        <v/>
      </c>
      <c r="G34" s="54" t="n"/>
    </row>
    <row r="35" ht="15" customHeight="1" thickBot="1">
      <c r="A35" s="70" t="n"/>
      <c r="B35" s="70" t="n"/>
      <c r="C35" s="62" t="n"/>
      <c r="D35" s="184" t="inlineStr">
        <is>
          <t xml:space="preserve">Total		</t>
        </is>
      </c>
      <c r="E35" s="226" t="n"/>
      <c r="F35" s="227">
        <f>SUM(F33:F34)</f>
        <v/>
      </c>
      <c r="G35" s="54" t="n"/>
      <c r="H35" s="228" t="n"/>
    </row>
    <row r="36" ht="14.45" customHeight="1">
      <c r="A36" s="151" t="n"/>
      <c r="B36" s="151" t="n"/>
      <c r="C36" s="151" t="n"/>
      <c r="D36" s="151" t="n"/>
      <c r="E36" s="60" t="n"/>
      <c r="F36" s="60" t="n"/>
      <c r="G36" s="54" t="n"/>
    </row>
    <row r="37" ht="14.45" customHeight="1">
      <c r="A37" s="151" t="n"/>
      <c r="B37" s="151" t="n"/>
      <c r="C37" s="151" t="n"/>
      <c r="D37" s="151" t="n"/>
      <c r="E37" s="60" t="n"/>
      <c r="F37" s="60" t="n"/>
      <c r="G37" s="54" t="n"/>
    </row>
    <row r="38">
      <c r="G38" s="54" t="n"/>
    </row>
    <row r="39" ht="18.95" customHeight="1">
      <c r="A39" s="154" t="inlineStr">
        <is>
          <t xml:space="preserve">Please pay the Invoice in FULL AMOUNT </t>
        </is>
      </c>
    </row>
    <row r="40" ht="60.95" customHeight="1">
      <c r="A40" s="172" t="inlineStr">
        <is>
          <t>Beneficiary: NNROAD, INC.
Bank Name: Chase Bank
Bank Account: 132827913
Bank Add.: 690 River Oaks Parkway Ste A, San Jose, CA 95134, USA</t>
        </is>
      </c>
      <c r="C40" s="229" t="n"/>
      <c r="D40" s="173" t="inlineStr">
        <is>
          <t xml:space="preserve">
SWIFT BIC (international transfer): CHASUS33XXX
Routing Number (domestic wire transfer): 021000021
Routing Number (domestic ACH and direct deposit): 322271627</t>
        </is>
      </c>
    </row>
    <row r="41">
      <c r="A41" s="46" t="inlineStr">
        <is>
          <t>Notes:</t>
        </is>
      </c>
    </row>
    <row r="42" ht="11.1" customHeight="1">
      <c r="A42" s="61" t="inlineStr">
        <is>
          <t>1. Please ensure that you include the Invoice Number when making your payment. This will help us accurately process and allocate your payment .</t>
        </is>
      </c>
      <c r="B42" s="61" t="n"/>
      <c r="C42" s="61" t="n"/>
      <c r="D42" s="61" t="n"/>
      <c r="E42" s="61" t="n"/>
      <c r="F42" s="61" t="n"/>
    </row>
    <row r="43">
      <c r="A43" s="61" t="inlineStr">
        <is>
          <t>2. This document becomes a Tax Invoice/Receipt upon payment. Please retain a copy for your records.</t>
        </is>
      </c>
    </row>
    <row r="44">
      <c r="A44" s="61" t="inlineStr">
        <is>
          <t>3. This is a computer generated document.  No Signature required.</t>
        </is>
      </c>
    </row>
  </sheetData>
  <mergeCells count="28">
    <mergeCell ref="D34:E34"/>
    <mergeCell ref="B3:F3"/>
    <mergeCell ref="A18:C18"/>
    <mergeCell ref="A21:C21"/>
    <mergeCell ref="D31:E31"/>
    <mergeCell ref="B2:F2"/>
    <mergeCell ref="A23:C23"/>
    <mergeCell ref="A14:C14"/>
    <mergeCell ref="A5:F5"/>
    <mergeCell ref="A22:C22"/>
    <mergeCell ref="A17:C17"/>
    <mergeCell ref="D32:E32"/>
    <mergeCell ref="B1:F1"/>
    <mergeCell ref="B10:B11"/>
    <mergeCell ref="A20:C20"/>
    <mergeCell ref="A19:C19"/>
    <mergeCell ref="A40:C40"/>
    <mergeCell ref="D28:E28"/>
    <mergeCell ref="A25:D25"/>
    <mergeCell ref="A15:C15"/>
    <mergeCell ref="A39:F39"/>
    <mergeCell ref="A24:C24"/>
    <mergeCell ref="D30:E30"/>
    <mergeCell ref="D33:E33"/>
    <mergeCell ref="D29:E29"/>
    <mergeCell ref="D40:F40"/>
    <mergeCell ref="A16:C16"/>
    <mergeCell ref="D35:E35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topLeftCell="A8" zoomScale="130" zoomScaleNormal="130" workbookViewId="0">
      <selection activeCell="L21" sqref="L21"/>
    </sheetView>
  </sheetViews>
  <sheetFormatPr baseColWidth="8" defaultColWidth="9.140625" defaultRowHeight="12.95"/>
  <cols>
    <col width="8.85546875" bestFit="1" customWidth="1" style="1" min="1" max="1"/>
    <col width="18" bestFit="1" customWidth="1" style="2" min="2" max="2"/>
    <col width="11" bestFit="1" customWidth="1" style="2" min="3" max="3"/>
    <col width="7.42578125" customWidth="1" style="2" min="4" max="4"/>
    <col width="8.140625" bestFit="1" customWidth="1" style="2" min="5" max="5"/>
    <col width="6.85546875" bestFit="1" customWidth="1" style="2" min="6" max="6"/>
    <col width="7" bestFit="1" customWidth="1" style="2" min="7" max="7"/>
    <col width="7.42578125" bestFit="1" customWidth="1" style="2" min="8" max="10"/>
    <col width="7.42578125" customWidth="1" style="2" min="11" max="12"/>
    <col width="7" bestFit="1" customWidth="1" style="2" min="13" max="14"/>
    <col width="10.140625" customWidth="1" style="2" min="15" max="15"/>
    <col width="8.140625" bestFit="1" customWidth="1" style="2" min="16" max="16"/>
    <col width="7.42578125" bestFit="1" customWidth="1" style="2" min="17" max="17"/>
    <col width="8.140625" customWidth="1" style="2" min="18" max="19"/>
    <col width="11.42578125" bestFit="1" customWidth="1" style="2" min="20" max="20"/>
    <col width="8.42578125" bestFit="1" customWidth="1" style="2" min="21" max="21"/>
    <col width="8.42578125" customWidth="1" style="2" min="22" max="22"/>
    <col width="6.5703125" bestFit="1" customWidth="1" style="2" min="23" max="24"/>
    <col width="9.140625" customWidth="1" style="2" min="25" max="16384"/>
  </cols>
  <sheetData>
    <row r="1" ht="13.5" customHeight="1" thickBot="1">
      <c r="A1" s="1">
        <f>MID(CELL("filename",A1),FIND("]",CELL("filename",A1))+1,256)</f>
        <v/>
      </c>
    </row>
    <row r="2" ht="13.5" customHeight="1" thickBot="1">
      <c r="A2" s="3" t="inlineStr">
        <is>
          <t>Pay Period</t>
        </is>
      </c>
      <c r="B2" s="148">
        <f>EOMONTH(TODAY(),-1)+1</f>
        <v/>
      </c>
      <c r="C2" s="148">
        <f>EOMONTH(TODAY(),0)</f>
        <v/>
      </c>
      <c r="E2" s="86" t="inlineStr">
        <is>
          <t>ER</t>
        </is>
      </c>
    </row>
    <row r="3" ht="14.1" customFormat="1" customHeight="1" s="5">
      <c r="A3" s="3" t="n"/>
      <c r="B3" s="4" t="n"/>
      <c r="E3" s="188" t="inlineStr">
        <is>
          <t>Sum</t>
        </is>
      </c>
      <c r="F3" s="186" t="inlineStr">
        <is>
          <t>Business
Tax</t>
        </is>
      </c>
      <c r="G3" s="191" t="inlineStr">
        <is>
          <t>Management Fee</t>
        </is>
      </c>
      <c r="H3" s="230" t="n"/>
      <c r="I3" s="191" t="inlineStr">
        <is>
          <t>Gross Salary</t>
        </is>
      </c>
      <c r="J3" s="230" t="n"/>
      <c r="K3" s="230" t="n"/>
      <c r="L3" s="230" t="n"/>
      <c r="M3" s="230" t="n"/>
      <c r="N3" s="230" t="n"/>
      <c r="O3" s="230" t="n"/>
      <c r="P3" s="230" t="n"/>
      <c r="Q3" s="186" t="inlineStr">
        <is>
          <t>Mandatory Contribution</t>
        </is>
      </c>
      <c r="R3" s="230" t="n"/>
      <c r="S3" s="230" t="n"/>
      <c r="T3" s="230" t="n"/>
      <c r="U3" s="230" t="n"/>
      <c r="V3" s="231" t="n"/>
      <c r="W3" s="186" t="inlineStr">
        <is>
          <t>Expense Claim</t>
        </is>
      </c>
      <c r="X3" s="231" t="n"/>
    </row>
    <row r="4" ht="65.45" customFormat="1" customHeight="1" s="5" thickBot="1">
      <c r="E4" s="232" t="n"/>
      <c r="F4" s="233" t="n"/>
      <c r="G4" s="190" t="inlineStr">
        <is>
          <t>Subtotal</t>
        </is>
      </c>
      <c r="H4" s="190" t="inlineStr">
        <is>
          <t>Recurring
Fee</t>
        </is>
      </c>
      <c r="I4" s="190" t="inlineStr">
        <is>
          <t>Subtotal</t>
        </is>
      </c>
      <c r="J4" s="190">
        <f>'Italy-L'!K10</f>
        <v/>
      </c>
      <c r="K4" s="190">
        <f>'Italy-L'!N10</f>
        <v/>
      </c>
      <c r="L4" s="190" t="inlineStr">
        <is>
          <t>Bonus</t>
        </is>
      </c>
      <c r="M4" s="190">
        <f>'Italy-L'!O10</f>
        <v/>
      </c>
      <c r="N4" s="190">
        <f>'Italy-L'!P10</f>
        <v/>
      </c>
      <c r="O4" s="190">
        <f>'Italy-L'!Q10</f>
        <v/>
      </c>
      <c r="P4" s="190">
        <f>'Italy-L'!R10</f>
        <v/>
      </c>
      <c r="Q4" s="190" t="inlineStr">
        <is>
          <t>Subtotal</t>
        </is>
      </c>
      <c r="R4" s="190">
        <f>'Italy-L'!L10</f>
        <v/>
      </c>
      <c r="S4" s="190">
        <f>'Italy-L'!M10</f>
        <v/>
      </c>
      <c r="T4" s="190">
        <f>'Italy-L'!S10</f>
        <v/>
      </c>
      <c r="U4" s="190">
        <f>'Italy-L'!T10</f>
        <v/>
      </c>
      <c r="V4" s="190">
        <f>'Italy-L'!U10</f>
        <v/>
      </c>
      <c r="W4" s="190" t="inlineStr">
        <is>
          <t>Subtotal</t>
        </is>
      </c>
      <c r="X4" s="85" t="inlineStr">
        <is>
          <t>Expense
Claim</t>
        </is>
      </c>
    </row>
    <row r="5" ht="13.5" customFormat="1" customHeight="1" s="5" thickBot="1">
      <c r="A5" s="1" t="n"/>
      <c r="E5" s="7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9" t="n"/>
    </row>
    <row r="6" customFormat="1" s="11">
      <c r="A6" s="10" t="n"/>
      <c r="B6" s="11" t="inlineStr">
        <is>
          <t>Sum</t>
        </is>
      </c>
      <c r="C6" s="11" t="inlineStr">
        <is>
          <t>EUR</t>
        </is>
      </c>
      <c r="E6" s="15">
        <f>SUM(E9:E17)</f>
        <v/>
      </c>
      <c r="F6" s="16">
        <f>SUM(F9:F17)</f>
        <v/>
      </c>
      <c r="G6" s="16">
        <f>SUM(G9:G17)</f>
        <v/>
      </c>
      <c r="H6" s="16">
        <f>SUM(H9:H17)</f>
        <v/>
      </c>
      <c r="I6" s="16">
        <f>SUM(I9:I17)</f>
        <v/>
      </c>
      <c r="J6" s="16">
        <f>SUM(J9:J17)</f>
        <v/>
      </c>
      <c r="K6" s="16">
        <f>SUM(K9:K17)</f>
        <v/>
      </c>
      <c r="L6" s="16">
        <f>SUM(L9:L17)</f>
        <v/>
      </c>
      <c r="M6" s="16">
        <f>SUM(M9:M17)</f>
        <v/>
      </c>
      <c r="N6" s="16">
        <f>SUM(N9:N17)</f>
        <v/>
      </c>
      <c r="O6" s="16">
        <f>SUM(O9:O17)</f>
        <v/>
      </c>
      <c r="P6" s="16">
        <f>SUM(P9:P17)</f>
        <v/>
      </c>
      <c r="Q6" s="16">
        <f>SUM(Q9:Q17)</f>
        <v/>
      </c>
      <c r="R6" s="16">
        <f>SUM(R9:R17)</f>
        <v/>
      </c>
      <c r="S6" s="16">
        <f>SUM(S9:S17)</f>
        <v/>
      </c>
      <c r="T6" s="16">
        <f>SUM(T9:T17)</f>
        <v/>
      </c>
      <c r="U6" s="16">
        <f>SUM(U9:U17)</f>
        <v/>
      </c>
      <c r="V6" s="16">
        <f>SUM(V9:V17)</f>
        <v/>
      </c>
      <c r="W6" s="16">
        <f>SUM(W9:W17)</f>
        <v/>
      </c>
      <c r="X6" s="17">
        <f>SUM(X9:X17)</f>
        <v/>
      </c>
    </row>
    <row r="7" customFormat="1" s="11">
      <c r="E7" s="15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7" t="n"/>
    </row>
    <row r="8" customFormat="1" s="11">
      <c r="A8" s="18" t="n"/>
      <c r="E8" s="15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7" t="n"/>
    </row>
    <row r="9" customFormat="1" s="11">
      <c r="A9" s="10" t="n"/>
      <c r="B9" s="11">
        <f>'Italy-L'!B11</f>
        <v/>
      </c>
      <c r="C9" s="11">
        <f>'Italy EE'!D10</f>
        <v/>
      </c>
      <c r="E9" s="15">
        <f>F9+G9+I9+Q9+W9</f>
        <v/>
      </c>
      <c r="F9" s="16" t="n">
        <v>0</v>
      </c>
      <c r="G9" s="16">
        <f>SUM(H9:H9)</f>
        <v/>
      </c>
      <c r="H9" s="16">
        <f>MAX(750,(I9+Q9+X9)*10.5%)</f>
        <v/>
      </c>
      <c r="I9" s="16">
        <f>SUM(J9:P9)</f>
        <v/>
      </c>
      <c r="J9" s="16">
        <f>'Italy-L'!K11</f>
        <v/>
      </c>
      <c r="K9" s="16">
        <f>'Italy-L'!N11</f>
        <v/>
      </c>
      <c r="L9" s="16">
        <f>0</f>
        <v/>
      </c>
      <c r="M9" s="16">
        <f>'Italy-L'!O11</f>
        <v/>
      </c>
      <c r="N9" s="16">
        <f>'Italy-L'!P11</f>
        <v/>
      </c>
      <c r="O9" s="16">
        <f>'Italy-L'!Q11</f>
        <v/>
      </c>
      <c r="P9" s="16">
        <f>'Italy-L'!R11</f>
        <v/>
      </c>
      <c r="Q9" s="16">
        <f>SUM(R9:V9)</f>
        <v/>
      </c>
      <c r="R9" s="16">
        <f>'Italy-L'!L11</f>
        <v/>
      </c>
      <c r="S9" s="16">
        <f>'Italy-L'!M11+'Italy-L'!V11</f>
        <v/>
      </c>
      <c r="T9" s="16">
        <f>'Italy-L'!S11+'Italy-L'!W11</f>
        <v/>
      </c>
      <c r="U9" s="16">
        <f>'Italy-L'!T11</f>
        <v/>
      </c>
      <c r="V9" s="16">
        <f>'Italy-L'!U11</f>
        <v/>
      </c>
      <c r="W9" s="16">
        <f>SUM(X9:X9)</f>
        <v/>
      </c>
      <c r="X9" s="17" t="n">
        <v>0</v>
      </c>
    </row>
    <row r="10" customFormat="1" s="11">
      <c r="A10" s="10" t="n"/>
      <c r="E10" s="15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7" t="n"/>
    </row>
    <row r="11" customFormat="1" s="11">
      <c r="A11" s="10" t="n"/>
      <c r="E11" s="15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7" t="n"/>
    </row>
    <row r="12" customFormat="1" s="11">
      <c r="A12" s="10" t="n"/>
      <c r="E12" s="15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7" t="n"/>
    </row>
    <row r="13" customFormat="1" s="11">
      <c r="A13" s="10" t="n"/>
      <c r="E13" s="15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7" t="n"/>
    </row>
    <row r="14" customFormat="1" s="11">
      <c r="A14" s="10" t="n"/>
      <c r="E14" s="15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7" t="n"/>
    </row>
    <row r="15" customFormat="1" s="11">
      <c r="A15" s="10" t="n"/>
      <c r="E15" s="15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7" t="n"/>
    </row>
    <row r="16" customFormat="1" s="11">
      <c r="A16" s="10" t="n"/>
      <c r="E16" s="15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7" t="n"/>
    </row>
    <row r="17" ht="13.5" customFormat="1" customHeight="1" s="11" thickBot="1">
      <c r="A17" s="10" t="n"/>
      <c r="E17" s="19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1" t="n"/>
    </row>
    <row r="18">
      <c r="E18" s="30" t="n"/>
    </row>
    <row r="19">
      <c r="J19" s="30" t="n"/>
      <c r="K19" s="30" t="n"/>
      <c r="L19" s="30" t="n"/>
    </row>
    <row r="20" ht="15" customFormat="1" customHeight="1" s="26" thickBot="1">
      <c r="A20" s="25" t="n"/>
    </row>
    <row r="21" ht="14.45" customFormat="1" customHeight="1" s="26">
      <c r="A21" s="25" t="inlineStr">
        <is>
          <t>Other Fee</t>
        </is>
      </c>
      <c r="B21" s="37" t="n"/>
      <c r="C21" s="37" t="n"/>
      <c r="D21" s="37" t="n"/>
      <c r="E21" s="38">
        <f>SUM(E22:E26)</f>
        <v/>
      </c>
      <c r="F21" s="39" t="n">
        <v>0</v>
      </c>
      <c r="G21" s="29" t="n"/>
    </row>
    <row r="22" ht="14.45" customFormat="1" customHeight="1" s="26">
      <c r="A22" s="25" t="n"/>
      <c r="B22" s="37" t="inlineStr">
        <is>
          <t xml:space="preserve">Outstanding payment </t>
        </is>
      </c>
      <c r="C22" s="37" t="n"/>
      <c r="D22" s="37" t="n"/>
      <c r="E22" s="40" t="n"/>
      <c r="F22" s="41" t="n"/>
    </row>
    <row r="23" ht="14.45" customFormat="1" customHeight="1" s="26">
      <c r="A23" s="25" t="n"/>
      <c r="B23" s="37" t="inlineStr">
        <is>
          <t xml:space="preserve">FX difference </t>
        </is>
      </c>
      <c r="C23" s="37" t="n"/>
      <c r="D23" s="37" t="n"/>
      <c r="E23" s="40" t="n"/>
      <c r="F23" s="41" t="n">
        <v>0</v>
      </c>
    </row>
    <row r="24" ht="14.45" customFormat="1" customHeight="1" s="26">
      <c r="A24" s="25" t="n"/>
      <c r="B24" s="37" t="inlineStr">
        <is>
          <t>Interests of delay</t>
        </is>
      </c>
      <c r="C24" s="37" t="n"/>
      <c r="D24" s="37" t="n"/>
      <c r="E24" s="40" t="n"/>
      <c r="F24" s="41" t="n">
        <v>0</v>
      </c>
    </row>
    <row r="25" ht="14.45" customFormat="1" customHeight="1" s="26">
      <c r="A25" s="25" t="n"/>
      <c r="B25" s="37" t="inlineStr">
        <is>
          <t>Bank Charges</t>
        </is>
      </c>
      <c r="C25" s="37" t="n"/>
      <c r="D25" s="37" t="n"/>
      <c r="E25" s="40">
        <f>10</f>
        <v/>
      </c>
      <c r="F25" s="41" t="n"/>
    </row>
    <row r="26" ht="15" customFormat="1" customHeight="1" s="26" thickBot="1">
      <c r="A26" s="25" t="n"/>
      <c r="B26" s="37" t="inlineStr">
        <is>
          <t xml:space="preserve">Invoice adjustment </t>
        </is>
      </c>
      <c r="C26" s="37" t="n"/>
      <c r="D26" s="37" t="n"/>
      <c r="E26" s="42" t="n">
        <v>0</v>
      </c>
      <c r="F26" s="43" t="n"/>
    </row>
  </sheetData>
  <mergeCells count="6">
    <mergeCell ref="G3:H3"/>
    <mergeCell ref="I3:P3"/>
    <mergeCell ref="E3:E4"/>
    <mergeCell ref="F3:F4"/>
    <mergeCell ref="W3:X3"/>
    <mergeCell ref="Q3:V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zoomScale="120" zoomScaleNormal="120" workbookViewId="0">
      <selection activeCell="F23" sqref="F23"/>
    </sheetView>
  </sheetViews>
  <sheetFormatPr baseColWidth="8" defaultColWidth="9.140625" defaultRowHeight="12.95"/>
  <cols>
    <col width="12.140625" bestFit="1" customWidth="1" style="1" min="1" max="1"/>
    <col width="9.42578125" bestFit="1" customWidth="1" style="2" min="2" max="2"/>
    <col width="6.5703125" bestFit="1" customWidth="1" style="2" min="3" max="3"/>
    <col width="12.5703125" bestFit="1" customWidth="1" style="2" min="4" max="4"/>
    <col width="12.85546875" bestFit="1" customWidth="1" style="2" min="5" max="5"/>
    <col width="9.42578125" bestFit="1" customWidth="1" style="2" min="6" max="6"/>
    <col width="10.42578125" bestFit="1" customWidth="1" style="2" min="7" max="7"/>
    <col width="8.42578125" bestFit="1" customWidth="1" style="2" min="8" max="8"/>
    <col width="9.140625" customWidth="1" style="2" min="9" max="10"/>
    <col width="9.42578125" customWidth="1" style="2" min="11" max="12"/>
    <col width="7.42578125" bestFit="1" customWidth="1" style="2" min="13" max="14"/>
    <col width="6.5703125" bestFit="1" customWidth="1" style="2" min="15" max="15"/>
    <col width="5" bestFit="1" customWidth="1" style="2" min="16" max="16"/>
    <col width="7.85546875" bestFit="1" customWidth="1" style="2" min="17" max="17"/>
    <col width="9.140625" customWidth="1" style="2" min="18" max="16384"/>
  </cols>
  <sheetData>
    <row r="1" ht="13.5" customHeight="1" thickBot="1">
      <c r="A1" s="1">
        <f>MID(CELL("filename",A1),FIND("]",CELL("filename",A1))+1,256)</f>
        <v/>
      </c>
      <c r="C1" s="4" t="n"/>
      <c r="D1" s="4" t="n"/>
      <c r="E1" s="4" t="n"/>
      <c r="F1" s="4" t="n"/>
      <c r="H1" s="24" t="n"/>
    </row>
    <row r="2" ht="13.5" customHeight="1" thickBot="1">
      <c r="A2" s="3" t="n"/>
      <c r="B2" s="4" t="n"/>
      <c r="C2" s="4" t="n"/>
      <c r="D2" s="4" t="n"/>
      <c r="E2" s="4" t="n"/>
      <c r="F2" s="4" t="n"/>
      <c r="H2" s="23" t="inlineStr">
        <is>
          <t>EE</t>
        </is>
      </c>
    </row>
    <row r="3" ht="14.1" customFormat="1" customHeight="1" s="5" thickBot="1">
      <c r="A3" s="31" t="n"/>
      <c r="B3" s="194" t="inlineStr">
        <is>
          <t>Client Code</t>
        </is>
      </c>
      <c r="C3" s="194" t="inlineStr">
        <is>
          <t>Client Name</t>
        </is>
      </c>
      <c r="D3" s="194" t="inlineStr">
        <is>
          <t>EE Code</t>
        </is>
      </c>
      <c r="E3" s="194" t="inlineStr">
        <is>
          <t>EE Name</t>
        </is>
      </c>
      <c r="F3" s="195" t="inlineStr">
        <is>
          <t>Pay Period</t>
        </is>
      </c>
      <c r="G3" s="230" t="n"/>
      <c r="H3" s="188" t="inlineStr">
        <is>
          <t>Net
Income</t>
        </is>
      </c>
      <c r="I3" s="196" t="inlineStr">
        <is>
          <t>Gross Salary</t>
        </is>
      </c>
      <c r="J3" s="230" t="n"/>
      <c r="K3" s="230" t="n"/>
      <c r="L3" s="231" t="n"/>
      <c r="M3" s="196" t="inlineStr">
        <is>
          <t>Expense Claim</t>
        </is>
      </c>
      <c r="N3" s="231" t="n"/>
      <c r="O3" s="196" t="inlineStr">
        <is>
          <t>Mandatory Contribution</t>
        </is>
      </c>
      <c r="P3" s="231" t="n"/>
      <c r="Q3" s="197" t="inlineStr">
        <is>
          <t>Deduction</t>
        </is>
      </c>
    </row>
    <row r="4" ht="26.45" customFormat="1" customHeight="1" s="5" thickBot="1">
      <c r="A4" s="31" t="n"/>
      <c r="B4" s="232" t="n"/>
      <c r="C4" s="232" t="n"/>
      <c r="D4" s="232" t="n"/>
      <c r="E4" s="232" t="n"/>
      <c r="F4" s="32" t="inlineStr">
        <is>
          <t>From</t>
        </is>
      </c>
      <c r="G4" s="32" t="inlineStr">
        <is>
          <t>To</t>
        </is>
      </c>
      <c r="H4" s="232" t="n"/>
      <c r="I4" s="83" t="inlineStr">
        <is>
          <t>Subtotal</t>
        </is>
      </c>
      <c r="J4" s="83">
        <f>'Italy-L'!K10</f>
        <v/>
      </c>
      <c r="K4" s="84">
        <f>'Italy-L'!N10</f>
        <v/>
      </c>
      <c r="L4" s="84" t="inlineStr">
        <is>
          <t>Bonus</t>
        </is>
      </c>
      <c r="M4" s="83" t="inlineStr">
        <is>
          <t>Subtotal</t>
        </is>
      </c>
      <c r="N4" s="84" t="inlineStr">
        <is>
          <t>Expense
Claim</t>
        </is>
      </c>
      <c r="O4" s="83" t="inlineStr">
        <is>
          <t>Subtotal</t>
        </is>
      </c>
      <c r="P4" s="84" t="inlineStr">
        <is>
          <t>Other</t>
        </is>
      </c>
      <c r="Q4" s="234" t="n"/>
    </row>
    <row r="5" ht="15" customFormat="1" customHeight="1" s="5" thickBot="1">
      <c r="A5" s="25" t="n"/>
      <c r="B5" s="33" t="n"/>
      <c r="C5" s="33" t="n"/>
      <c r="D5" s="33" t="n"/>
      <c r="E5" s="33" t="n"/>
      <c r="F5" s="33" t="n"/>
      <c r="G5" s="33" t="n"/>
      <c r="H5" s="7" t="n"/>
      <c r="I5" s="8" t="n"/>
      <c r="J5" s="8" t="n"/>
      <c r="K5" s="8" t="n"/>
      <c r="L5" s="8" t="n"/>
      <c r="M5" s="8" t="n"/>
      <c r="N5" s="8" t="n"/>
      <c r="O5" s="8" t="n"/>
      <c r="P5" s="8" t="n"/>
      <c r="Q5" s="9" t="n"/>
    </row>
    <row r="6" ht="14.45" customFormat="1" customHeight="1" s="11">
      <c r="A6" s="27" t="inlineStr">
        <is>
          <t>EOR/PEO(EUR)</t>
        </is>
      </c>
      <c r="B6" s="34" t="n"/>
      <c r="C6" s="34" t="n"/>
      <c r="D6" s="34" t="n"/>
      <c r="E6" s="34" t="n"/>
      <c r="F6" s="34" t="n"/>
      <c r="G6" s="34" t="n"/>
      <c r="H6" s="12" t="n"/>
      <c r="I6" s="13" t="n"/>
      <c r="J6" s="13" t="n"/>
      <c r="K6" s="13" t="n"/>
      <c r="L6" s="13" t="n"/>
      <c r="M6" s="13" t="n"/>
      <c r="N6" s="13" t="n"/>
      <c r="O6" s="13" t="n"/>
      <c r="P6" s="13" t="n"/>
      <c r="Q6" s="14" t="n"/>
    </row>
    <row r="7" ht="14.45" customFormat="1" customHeight="1" s="11">
      <c r="A7" s="27" t="n"/>
      <c r="B7" s="34" t="n"/>
      <c r="C7" s="34" t="n"/>
      <c r="D7" s="34" t="n"/>
      <c r="E7" s="34" t="n"/>
      <c r="F7" s="34" t="n"/>
      <c r="G7" s="34" t="n"/>
      <c r="H7" s="15" t="n"/>
      <c r="I7" s="16" t="n"/>
      <c r="J7" s="16" t="n"/>
      <c r="K7" s="16" t="n"/>
      <c r="L7" s="16" t="n"/>
      <c r="M7" s="16" t="n"/>
      <c r="N7" s="16" t="n"/>
      <c r="O7" s="16" t="n"/>
      <c r="P7" s="16" t="n"/>
      <c r="Q7" s="17" t="n"/>
    </row>
    <row r="8" ht="14.45" customFormat="1" customHeight="1" s="11">
      <c r="A8" s="35" t="n"/>
      <c r="B8" s="36" t="n"/>
      <c r="C8" s="36" t="n"/>
      <c r="D8" s="36" t="n"/>
      <c r="E8" s="36" t="n"/>
      <c r="F8" s="36" t="n"/>
      <c r="G8" s="36" t="n"/>
      <c r="H8" s="15" t="n"/>
      <c r="I8" s="16" t="n"/>
      <c r="J8" s="16" t="n"/>
      <c r="K8" s="16" t="n"/>
      <c r="L8" s="16" t="n"/>
      <c r="M8" s="16" t="n"/>
      <c r="N8" s="16" t="n"/>
      <c r="O8" s="16" t="n"/>
      <c r="P8" s="16" t="n"/>
      <c r="Q8" s="17" t="n"/>
    </row>
    <row r="9" ht="14.45" customFormat="1" customHeight="1" s="11">
      <c r="A9" s="35" t="n"/>
      <c r="B9" s="28" t="n"/>
      <c r="C9" s="28" t="n"/>
      <c r="D9" s="28" t="n"/>
      <c r="E9" s="28" t="n"/>
      <c r="F9" s="28" t="n"/>
      <c r="G9" s="28" t="n"/>
      <c r="H9" s="15" t="n"/>
      <c r="I9" s="16" t="n"/>
      <c r="J9" s="16" t="n"/>
      <c r="K9" s="16" t="n"/>
      <c r="L9" s="16" t="n"/>
      <c r="M9" s="16" t="n"/>
      <c r="N9" s="16" t="n"/>
      <c r="O9" s="16" t="n"/>
      <c r="P9" s="16" t="n"/>
      <c r="Q9" s="17" t="n"/>
    </row>
    <row r="10" ht="14.45" customFormat="1" customHeight="1" s="11">
      <c r="A10" s="27" t="n"/>
      <c r="B10" s="28" t="inlineStr">
        <is>
          <t>CUS1513</t>
        </is>
      </c>
      <c r="C10" s="28">
        <f>PN!B8</f>
        <v/>
      </c>
      <c r="D10" s="28" t="inlineStr">
        <is>
          <t>CUS1513-0001</t>
        </is>
      </c>
      <c r="E10" s="28">
        <f>'Italy-L'!B11</f>
        <v/>
      </c>
      <c r="F10" s="149">
        <f>Italy!B2</f>
        <v/>
      </c>
      <c r="G10" s="149">
        <f>Italy!C2</f>
        <v/>
      </c>
      <c r="H10" s="15">
        <f>I10+M10-O10-Q10</f>
        <v/>
      </c>
      <c r="I10" s="16">
        <f>SUM(J10:L10)</f>
        <v/>
      </c>
      <c r="J10" s="16">
        <f>'Italy-L'!K11</f>
        <v/>
      </c>
      <c r="K10" s="16">
        <f>'Italy-L'!N11</f>
        <v/>
      </c>
      <c r="L10" s="16">
        <f>0</f>
        <v/>
      </c>
      <c r="M10" s="16">
        <f>SUM(N10:N10)</f>
        <v/>
      </c>
      <c r="N10" s="16">
        <f>0</f>
        <v/>
      </c>
      <c r="O10" s="16">
        <f>SUM(P10:P10)</f>
        <v/>
      </c>
      <c r="P10" s="16" t="n">
        <v>0</v>
      </c>
      <c r="Q10" s="17" t="n">
        <v>0</v>
      </c>
    </row>
    <row r="11" customFormat="1" s="11">
      <c r="A11" s="10" t="n"/>
      <c r="H11" s="15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7" t="n"/>
    </row>
    <row r="12" customFormat="1" s="11">
      <c r="A12" s="10" t="n"/>
      <c r="H12" s="15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7" t="n"/>
    </row>
    <row r="13" customFormat="1" s="11">
      <c r="A13" s="10" t="n"/>
      <c r="H13" s="15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7" t="n"/>
    </row>
    <row r="14" customFormat="1" s="11">
      <c r="A14" s="10" t="n"/>
      <c r="H14" s="15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7" t="n"/>
    </row>
    <row r="15" customFormat="1" s="11">
      <c r="A15" s="10" t="n"/>
      <c r="H15" s="15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7" t="n"/>
    </row>
    <row r="16" customFormat="1" s="11">
      <c r="A16" s="10" t="n"/>
      <c r="H16" s="15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7" t="n"/>
    </row>
    <row r="17" customFormat="1" s="11">
      <c r="A17" s="10" t="n"/>
      <c r="H17" s="15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7" t="n"/>
    </row>
    <row r="18" ht="13.5" customFormat="1" customHeight="1" s="11" thickBot="1">
      <c r="A18" s="10" t="n"/>
      <c r="H18" s="19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1" t="n"/>
    </row>
  </sheetData>
  <mergeCells count="10">
    <mergeCell ref="F3:G3"/>
    <mergeCell ref="O3:P3"/>
    <mergeCell ref="I3:L3"/>
    <mergeCell ref="C3:C4"/>
    <mergeCell ref="B3:B4"/>
    <mergeCell ref="E3:E4"/>
    <mergeCell ref="Q3:Q4"/>
    <mergeCell ref="H3:H4"/>
    <mergeCell ref="D3:D4"/>
    <mergeCell ref="M3:N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topLeftCell="K1" zoomScale="125" workbookViewId="0">
      <selection activeCell="W17" sqref="W17"/>
    </sheetView>
  </sheetViews>
  <sheetFormatPr baseColWidth="8" defaultColWidth="8.85546875" defaultRowHeight="14.45"/>
  <cols>
    <col width="6.42578125" bestFit="1" customWidth="1" min="1" max="1"/>
    <col width="18.42578125" bestFit="1" customWidth="1" min="2" max="2"/>
    <col width="9.42578125" bestFit="1" customWidth="1" min="3" max="3"/>
    <col width="11.140625" bestFit="1" customWidth="1" min="4" max="4"/>
    <col width="11" bestFit="1" customWidth="1" min="5" max="5"/>
    <col width="7.42578125" bestFit="1" customWidth="1" min="6" max="6"/>
    <col width="10" bestFit="1" customWidth="1" min="7" max="7"/>
    <col width="9.42578125" bestFit="1" customWidth="1" min="8" max="8"/>
    <col width="11.42578125" bestFit="1" customWidth="1" min="9" max="9"/>
    <col hidden="1" width="10.140625" customWidth="1" min="10" max="10"/>
    <col width="13.140625" bestFit="1" customWidth="1" min="11" max="11"/>
    <col width="10.85546875" bestFit="1" customWidth="1" min="12" max="12"/>
    <col width="10.85546875" customWidth="1" min="13" max="13"/>
    <col width="9.42578125" bestFit="1" customWidth="1" min="14" max="14"/>
    <col width="8.42578125" bestFit="1" customWidth="1" min="15" max="15"/>
    <col width="12.85546875" bestFit="1" customWidth="1" min="16" max="16"/>
    <col width="14.5703125" bestFit="1" customWidth="1" min="17" max="17"/>
    <col width="14" bestFit="1" customWidth="1" min="18" max="18"/>
    <col width="12" bestFit="1" customWidth="1" min="19" max="19"/>
    <col width="10.5703125" bestFit="1" customWidth="1" min="20" max="20"/>
    <col width="9" bestFit="1" customWidth="1" min="21" max="21"/>
    <col width="9.5703125" bestFit="1" customWidth="1" min="22" max="22"/>
    <col width="9" bestFit="1" customWidth="1" min="23" max="23"/>
    <col width="11.5703125" customWidth="1" min="24" max="24"/>
    <col width="9" bestFit="1" customWidth="1" min="25" max="26"/>
    <col width="9.42578125" bestFit="1" customWidth="1" min="27" max="27"/>
  </cols>
  <sheetData>
    <row r="1" ht="15" customHeight="1" thickBot="1">
      <c r="A1" s="108" t="n"/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  <c r="N1" s="108" t="n"/>
      <c r="O1" s="108" t="n"/>
      <c r="P1" s="108" t="n"/>
      <c r="Q1" s="108" t="n"/>
      <c r="R1" s="108" t="n"/>
      <c r="S1" s="108" t="n"/>
      <c r="T1" s="108" t="n"/>
      <c r="U1" s="108" t="n"/>
      <c r="V1" s="108" t="n"/>
      <c r="W1" s="108" t="n"/>
      <c r="X1" s="108" t="n"/>
      <c r="Y1" s="108" t="n"/>
      <c r="Z1" s="108" t="n"/>
      <c r="AA1" s="108" t="n"/>
    </row>
    <row r="2" ht="15.6" customHeight="1" thickBot="1" thickTop="1">
      <c r="A2" s="108" t="n"/>
      <c r="B2" s="109" t="inlineStr">
        <is>
          <t>Customer</t>
        </is>
      </c>
      <c r="C2" s="235" t="inlineStr">
        <is>
          <t>Animal Equality</t>
        </is>
      </c>
      <c r="D2" s="236" t="n"/>
      <c r="E2" s="236" t="n"/>
      <c r="F2" s="237" t="n"/>
      <c r="G2" s="108" t="n"/>
      <c r="H2" s="108" t="n"/>
      <c r="I2" s="108" t="n"/>
      <c r="J2" s="108" t="n"/>
      <c r="K2" s="110" t="n"/>
      <c r="L2" s="110" t="n"/>
      <c r="M2" s="110" t="n"/>
      <c r="N2" s="110" t="n"/>
      <c r="O2" s="110" t="n"/>
      <c r="P2" s="110" t="n"/>
      <c r="Q2" s="110" t="n"/>
      <c r="R2" s="110" t="n"/>
      <c r="S2" s="110" t="n"/>
      <c r="T2" s="110" t="n"/>
      <c r="U2" s="110" t="n"/>
      <c r="V2" s="110" t="n"/>
      <c r="W2" s="110" t="n"/>
      <c r="X2" s="110" t="n"/>
      <c r="Y2" s="108" t="n"/>
      <c r="Z2" s="108" t="n"/>
      <c r="AA2" s="108" t="n"/>
    </row>
    <row r="3" ht="15.6" customHeight="1" thickBot="1" thickTop="1">
      <c r="A3" s="108" t="n"/>
      <c r="B3" s="109" t="inlineStr">
        <is>
          <t>Location</t>
        </is>
      </c>
      <c r="C3" s="235" t="inlineStr">
        <is>
          <t>Italy</t>
        </is>
      </c>
      <c r="D3" s="236" t="n"/>
      <c r="E3" s="236" t="n"/>
      <c r="F3" s="237" t="n"/>
      <c r="G3" s="108" t="n"/>
      <c r="H3" s="108" t="n"/>
      <c r="I3" s="108" t="n"/>
      <c r="J3" s="111" t="n"/>
      <c r="K3" s="112" t="n"/>
      <c r="L3" s="112" t="n"/>
      <c r="M3" s="112" t="n"/>
      <c r="N3" s="112" t="n"/>
      <c r="O3" s="112" t="n"/>
      <c r="P3" s="112" t="n"/>
      <c r="Q3" s="112" t="n"/>
      <c r="R3" s="112" t="n"/>
      <c r="S3" s="112" t="n"/>
      <c r="T3" s="112" t="n"/>
      <c r="U3" s="108" t="n"/>
      <c r="V3" s="108" t="n"/>
      <c r="W3" s="108" t="n"/>
      <c r="X3" s="108" t="n"/>
      <c r="Y3" s="108" t="n"/>
      <c r="Z3" s="108" t="n"/>
      <c r="AA3" s="108" t="n"/>
    </row>
    <row r="4" ht="15.6" customHeight="1" thickBot="1" thickTop="1">
      <c r="A4" s="108" t="n"/>
      <c r="B4" s="109" t="inlineStr">
        <is>
          <t>Workers</t>
        </is>
      </c>
      <c r="C4" s="113">
        <f>IF(COUNTA($B$11:$B$11)=0,"",COUNTA($B$11:$B$11))</f>
        <v/>
      </c>
      <c r="D4" s="236" t="n"/>
      <c r="E4" s="236" t="n"/>
      <c r="F4" s="237" t="n"/>
      <c r="G4" s="108" t="n"/>
      <c r="H4" s="108" t="n"/>
      <c r="I4" s="108" t="n"/>
      <c r="J4" s="111" t="n"/>
      <c r="K4" s="108" t="n"/>
      <c r="L4" s="108" t="n"/>
      <c r="M4" s="108" t="n"/>
      <c r="N4" s="108" t="n"/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8" t="n"/>
      <c r="Z4" s="108" t="n"/>
      <c r="AA4" s="108" t="n"/>
    </row>
    <row r="5" ht="15.6" customHeight="1" thickBot="1" thickTop="1">
      <c r="A5" s="108" t="n"/>
      <c r="B5" s="109" t="inlineStr">
        <is>
          <t>Pay Period</t>
        </is>
      </c>
      <c r="C5" s="235" t="inlineStr">
        <is>
          <t>May'26</t>
        </is>
      </c>
      <c r="D5" s="236" t="n"/>
      <c r="E5" s="236" t="n"/>
      <c r="F5" s="237" t="n"/>
      <c r="G5" s="108" t="n"/>
      <c r="H5" s="108" t="n"/>
      <c r="I5" s="108" t="n"/>
      <c r="J5" s="108" t="n"/>
      <c r="K5" s="108" t="n"/>
      <c r="L5" s="108" t="n"/>
      <c r="M5" s="108" t="n"/>
      <c r="N5" s="108" t="n"/>
      <c r="O5" s="108" t="n"/>
      <c r="P5" s="108" t="n"/>
      <c r="Q5" s="108" t="n"/>
      <c r="R5" s="108" t="n"/>
      <c r="S5" s="108" t="n"/>
      <c r="T5" s="108" t="n"/>
      <c r="U5" s="108" t="n"/>
      <c r="V5" s="108" t="n"/>
      <c r="W5" s="108" t="n"/>
      <c r="X5" s="108" t="n"/>
      <c r="Y5" s="108" t="n"/>
      <c r="Z5" s="108" t="n"/>
      <c r="AA5" s="108" t="n"/>
    </row>
    <row r="6" ht="15.6" customHeight="1" thickBot="1" thickTop="1">
      <c r="A6" s="108" t="n"/>
      <c r="B6" s="109" t="inlineStr">
        <is>
          <t>SGWI VAT Code</t>
        </is>
      </c>
      <c r="C6" s="109" t="inlineStr">
        <is>
          <t>V9</t>
        </is>
      </c>
      <c r="D6" s="113" t="inlineStr">
        <is>
          <t>ICE VAT Code</t>
        </is>
      </c>
      <c r="E6" s="237" t="n"/>
      <c r="F6" s="113" t="inlineStr">
        <is>
          <t>V6</t>
        </is>
      </c>
      <c r="G6" s="108" t="n"/>
      <c r="H6" s="108" t="n"/>
      <c r="I6" s="108" t="n"/>
      <c r="J6" s="108" t="n"/>
      <c r="K6" s="108" t="n"/>
      <c r="L6" s="108" t="n"/>
      <c r="M6" s="108" t="n"/>
      <c r="N6" s="108" t="n"/>
      <c r="O6" s="108" t="n"/>
      <c r="P6" s="108" t="n"/>
      <c r="Q6" s="108" t="n"/>
      <c r="R6" s="108" t="n"/>
      <c r="S6" s="108" t="n"/>
      <c r="T6" s="108" t="n"/>
      <c r="U6" s="108" t="n"/>
      <c r="V6" s="108" t="n"/>
      <c r="W6" s="108" t="n"/>
      <c r="X6" s="108" t="n"/>
      <c r="Y6" s="108" t="n"/>
      <c r="Z6" s="108" t="n"/>
      <c r="AA6" s="108" t="n"/>
    </row>
    <row r="7" ht="15" customFormat="1" customHeight="1" s="22" thickTop="1">
      <c r="A7" s="108" t="n"/>
      <c r="B7" s="108" t="n"/>
      <c r="C7" s="108" t="n"/>
      <c r="D7" s="108" t="n"/>
      <c r="E7" s="108" t="n"/>
      <c r="F7" s="108" t="n"/>
      <c r="G7" s="108" t="n"/>
      <c r="H7" s="108" t="n"/>
      <c r="I7" s="108" t="n"/>
      <c r="J7" s="108" t="n"/>
      <c r="K7" s="108" t="n"/>
      <c r="L7" s="108" t="n"/>
      <c r="M7" s="108" t="n"/>
      <c r="N7" s="108" t="n"/>
      <c r="O7" s="108" t="n"/>
      <c r="P7" s="108" t="n"/>
      <c r="Q7" s="108" t="n"/>
      <c r="R7" s="108" t="n"/>
      <c r="S7" s="108" t="n"/>
      <c r="T7" s="108" t="n"/>
      <c r="U7" s="108" t="n"/>
      <c r="V7" s="108" t="n"/>
      <c r="W7" s="108" t="n"/>
      <c r="X7" s="108" t="n"/>
      <c r="Y7" s="108" t="n"/>
      <c r="Z7" s="108" t="n"/>
      <c r="AA7" s="108" t="n"/>
    </row>
    <row r="8" ht="26.25" customHeight="1">
      <c r="A8" s="108" t="n"/>
      <c r="B8" s="108" t="n"/>
      <c r="C8" s="108" t="n"/>
      <c r="D8" s="110" t="n"/>
      <c r="E8" s="202" t="n"/>
      <c r="F8" s="238" t="n"/>
      <c r="G8" s="108" t="n"/>
      <c r="H8" s="108" t="n"/>
      <c r="I8" s="115" t="inlineStr">
        <is>
          <t>SGWI Chargable</t>
        </is>
      </c>
      <c r="J8" s="111" t="n"/>
      <c r="K8" s="116" t="inlineStr">
        <is>
          <t>Y</t>
        </is>
      </c>
      <c r="L8" s="116" t="inlineStr">
        <is>
          <t>Y</t>
        </is>
      </c>
      <c r="M8" s="116" t="inlineStr">
        <is>
          <t>Y</t>
        </is>
      </c>
      <c r="N8" s="116" t="inlineStr">
        <is>
          <t>N</t>
        </is>
      </c>
      <c r="O8" s="116" t="inlineStr">
        <is>
          <t>Y</t>
        </is>
      </c>
      <c r="P8" s="116" t="inlineStr">
        <is>
          <t>Y</t>
        </is>
      </c>
      <c r="Q8" s="116" t="inlineStr">
        <is>
          <t>Y</t>
        </is>
      </c>
      <c r="R8" s="116" t="inlineStr">
        <is>
          <t>Y</t>
        </is>
      </c>
      <c r="S8" s="116" t="inlineStr">
        <is>
          <t>Y</t>
        </is>
      </c>
      <c r="T8" s="116" t="inlineStr">
        <is>
          <t>Y</t>
        </is>
      </c>
      <c r="U8" s="116" t="inlineStr">
        <is>
          <t>Y</t>
        </is>
      </c>
      <c r="V8" s="117" t="n"/>
      <c r="W8" s="118" t="n"/>
      <c r="X8" s="108" t="n"/>
      <c r="Y8" s="108" t="n"/>
      <c r="Z8" s="108" t="n"/>
      <c r="AA8" s="108" t="n"/>
      <c r="AB8" s="82" t="n"/>
      <c r="AC8" s="82" t="n"/>
    </row>
    <row r="9" ht="15" customHeight="1" thickBot="1">
      <c r="A9" s="108" t="n"/>
      <c r="B9" s="108" t="n"/>
      <c r="C9" s="108" t="n"/>
      <c r="D9" s="108" t="n"/>
      <c r="E9" s="108" t="n"/>
      <c r="F9" s="108" t="n"/>
      <c r="G9" s="108" t="n"/>
      <c r="H9" s="108" t="n"/>
      <c r="I9" s="108" t="n"/>
      <c r="J9" s="108" t="n"/>
      <c r="K9" s="108" t="n"/>
      <c r="L9" s="108" t="n"/>
      <c r="M9" s="108" t="n"/>
      <c r="N9" s="108" t="n"/>
      <c r="O9" s="108" t="n"/>
      <c r="P9" s="108" t="n"/>
      <c r="Q9" s="108" t="n"/>
      <c r="R9" s="108" t="n"/>
      <c r="S9" s="108" t="n"/>
      <c r="T9" s="108" t="n"/>
      <c r="U9" s="108" t="n"/>
      <c r="V9" s="108" t="n"/>
      <c r="W9" s="108" t="n"/>
      <c r="X9" s="108" t="n"/>
      <c r="Y9" s="108" t="n"/>
      <c r="Z9" s="108" t="n"/>
      <c r="AA9" s="108" t="n"/>
    </row>
    <row r="10" ht="69.59999999999999" customHeight="1" thickBot="1">
      <c r="A10" s="108" t="n"/>
      <c r="B10" s="119" t="inlineStr">
        <is>
          <t>Employee Name</t>
        </is>
      </c>
      <c r="C10" s="120" t="inlineStr">
        <is>
          <t>PO Number</t>
        </is>
      </c>
      <c r="D10" s="120" t="inlineStr">
        <is>
          <t>Fee %age Markup</t>
        </is>
      </c>
      <c r="E10" s="120" t="inlineStr">
        <is>
          <t>Fee Min</t>
        </is>
      </c>
      <c r="F10" s="120" t="inlineStr">
        <is>
          <t>Fee Minimum Currency</t>
        </is>
      </c>
      <c r="G10" s="121" t="inlineStr">
        <is>
          <t>Applied SGWI Min</t>
        </is>
      </c>
      <c r="H10" s="120" t="inlineStr">
        <is>
          <t>Applied SGWI Minimum Currency</t>
        </is>
      </c>
      <c r="I10" s="122" t="inlineStr">
        <is>
          <t>Currency</t>
        </is>
      </c>
      <c r="J10" s="202" t="n"/>
      <c r="K10" s="123" t="inlineStr">
        <is>
          <t>May 2026 Salary</t>
        </is>
      </c>
      <c r="L10" s="124" t="inlineStr">
        <is>
          <t>Social Cost</t>
        </is>
      </c>
      <c r="M10" s="124" t="inlineStr">
        <is>
          <t>Social contributions for accruals</t>
        </is>
      </c>
      <c r="N10" s="124" t="inlineStr">
        <is>
          <t>Vacation Leave</t>
        </is>
      </c>
      <c r="O10" s="124" t="inlineStr">
        <is>
          <t>13th and 14th Accrual</t>
        </is>
      </c>
      <c r="P10" s="124" t="inlineStr">
        <is>
          <t>Vacation Accruals</t>
        </is>
      </c>
      <c r="Q10" s="124" t="inlineStr">
        <is>
          <t xml:space="preserve">Monthly Permitted Leave (Permessi Hours Ex-Fs) </t>
        </is>
      </c>
      <c r="R10" s="124" t="inlineStr">
        <is>
          <t>Monthly Permitted Leave ROL Accrual</t>
        </is>
      </c>
      <c r="S10" s="124" t="inlineStr">
        <is>
          <t>Unemployment Fund (TFR) Accrual</t>
        </is>
      </c>
      <c r="T10" s="124" t="inlineStr">
        <is>
          <t>Overheads</t>
        </is>
      </c>
      <c r="U10" s="124" t="inlineStr">
        <is>
          <t>Bilateral Trade Association</t>
        </is>
      </c>
      <c r="V10" s="124" t="inlineStr">
        <is>
          <t>Social Contributions Employer (INPS) April</t>
        </is>
      </c>
      <c r="W10" s="124" t="inlineStr">
        <is>
          <t>Unemployment Fund (TFR) Accrual April</t>
        </is>
      </c>
      <c r="X10" s="125" t="inlineStr">
        <is>
          <t>Cost Basis</t>
        </is>
      </c>
      <c r="Y10" s="125" t="n"/>
      <c r="Z10" s="126" t="inlineStr">
        <is>
          <t>VAT</t>
        </is>
      </c>
      <c r="AA10" s="127" t="inlineStr">
        <is>
          <t>Invoice Total</t>
        </is>
      </c>
    </row>
    <row r="11">
      <c r="A11" s="108" t="n"/>
      <c r="B11" s="128" t="inlineStr">
        <is>
          <t>CUPIMATTEO</t>
        </is>
      </c>
      <c r="C11" s="129" t="inlineStr">
        <is>
          <t>-</t>
        </is>
      </c>
      <c r="D11" s="130" t="n">
        <v>0</v>
      </c>
      <c r="E11" s="131" t="n">
        <v>750</v>
      </c>
      <c r="F11" s="129" t="inlineStr">
        <is>
          <t>EUR</t>
        </is>
      </c>
      <c r="G11" s="131">
        <f>IFERROR(IF($B11="",0,IF($I11&lt;&gt;$F11,$E11/$G$8,$E11)),0)</f>
        <v/>
      </c>
      <c r="H11" s="132">
        <f>IF($B11="","",IF($F11="","",$I11))</f>
        <v/>
      </c>
      <c r="I11" s="133" t="inlineStr">
        <is>
          <t>EUR</t>
        </is>
      </c>
      <c r="J11" s="202" t="n"/>
      <c r="K11" s="134" t="n">
        <v>6071.42</v>
      </c>
      <c r="L11" s="135" t="n">
        <v>2218.7</v>
      </c>
      <c r="M11" s="135" t="n">
        <v>560.92</v>
      </c>
      <c r="N11" s="135" t="n">
        <v>505.95</v>
      </c>
      <c r="O11" s="135" t="n">
        <v>1011.9</v>
      </c>
      <c r="P11" s="135" t="n">
        <v>0</v>
      </c>
      <c r="Q11" s="135" t="n">
        <v>96.37</v>
      </c>
      <c r="R11" s="135" t="n">
        <v>216.84</v>
      </c>
      <c r="S11" s="135" t="n">
        <v>293.39</v>
      </c>
      <c r="T11" s="135" t="n">
        <v>60.71</v>
      </c>
      <c r="U11" s="135" t="n">
        <v>2.73</v>
      </c>
      <c r="V11" s="135" t="n">
        <v>-116.56</v>
      </c>
      <c r="W11" s="135" t="n">
        <v>1690.39</v>
      </c>
      <c r="X11" s="136">
        <f>ROUND(SUM($K11:$W11),2)</f>
        <v/>
      </c>
      <c r="Y11" s="137">
        <f>ROUND(MAX(SUMIF($K$8:$W$8,"Y",$K11:$W11)*$D11,$G11),2)</f>
        <v/>
      </c>
      <c r="Z11" s="137">
        <f>ROUND(IF($C$6="V2",SUM($X11:$Y11)*20%,0),2)</f>
        <v/>
      </c>
      <c r="AA11" s="138">
        <f>ROUND(SUM($X11:$Z11),2)</f>
        <v/>
      </c>
    </row>
    <row r="12" ht="15" customHeight="1" thickBot="1">
      <c r="A12" s="108" t="n"/>
      <c r="B12" s="139" t="n"/>
      <c r="C12" s="139" t="n"/>
      <c r="D12" s="139" t="n"/>
      <c r="E12" s="139" t="n"/>
      <c r="F12" s="139" t="n"/>
      <c r="G12" s="139" t="n"/>
      <c r="H12" s="139" t="n"/>
      <c r="I12" s="140" t="n"/>
      <c r="J12" s="202" t="n"/>
      <c r="K12" s="141" t="n"/>
      <c r="L12" s="141" t="n"/>
      <c r="M12" s="141" t="n"/>
      <c r="N12" s="141" t="n"/>
      <c r="O12" s="141" t="n"/>
      <c r="P12" s="141" t="n"/>
      <c r="Q12" s="141" t="n"/>
      <c r="R12" s="141" t="n"/>
      <c r="S12" s="141" t="n"/>
      <c r="T12" s="141" t="n"/>
      <c r="U12" s="140" t="n"/>
      <c r="V12" s="140" t="n"/>
      <c r="W12" s="140" t="n"/>
      <c r="X12" s="140" t="n"/>
      <c r="Y12" s="140" t="n"/>
      <c r="Z12" s="140" t="n"/>
      <c r="AA12" s="108" t="n"/>
    </row>
    <row r="13" ht="18" customHeight="1" thickBot="1">
      <c r="A13" s="108" t="n"/>
      <c r="B13" s="203" t="inlineStr">
        <is>
          <t>Fee Invoice Total</t>
        </is>
      </c>
      <c r="C13" s="239" t="n"/>
      <c r="D13" s="239" t="n"/>
      <c r="E13" s="239" t="n"/>
      <c r="F13" s="239" t="n"/>
      <c r="G13" s="239" t="n"/>
      <c r="H13" s="239" t="n"/>
      <c r="I13" s="142">
        <f>IF($I$11="","",$I$11)</f>
        <v/>
      </c>
      <c r="J13" s="202" t="n"/>
      <c r="K13" s="143">
        <f>ROUND(SUM((K$11:K$11)),2)</f>
        <v/>
      </c>
      <c r="L13" s="144">
        <f>ROUND(SUM((L$11:L$11)),2)</f>
        <v/>
      </c>
      <c r="M13" s="144">
        <f>ROUND(SUM((M$11:M$11)),2)</f>
        <v/>
      </c>
      <c r="N13" s="144">
        <f>ROUND(SUM((N$11:N$11)),2)</f>
        <v/>
      </c>
      <c r="O13" s="144">
        <f>ROUND(SUM((O$11:O$11)),2)</f>
        <v/>
      </c>
      <c r="P13" s="144">
        <f>ROUND(SUM((P$11:P$11)),2)</f>
        <v/>
      </c>
      <c r="Q13" s="144">
        <f>ROUND(SUM((Q$11:Q$11)),2)</f>
        <v/>
      </c>
      <c r="R13" s="144">
        <f>ROUND(SUM((R$11:R$11)),2)</f>
        <v/>
      </c>
      <c r="S13" s="144">
        <f>ROUND(SUM((S$11:S$11)),2)</f>
        <v/>
      </c>
      <c r="T13" s="144">
        <f>ROUND(SUM((T$11:T$11)),2)</f>
        <v/>
      </c>
      <c r="U13" s="144">
        <f>ROUND(SUM((U$11:U$11)),2)</f>
        <v/>
      </c>
      <c r="V13" s="144">
        <f>ROUND(SUM((V$11:V$11)),2)</f>
        <v/>
      </c>
      <c r="W13" s="144">
        <f>ROUND(SUM((W$11:W$11)),2)</f>
        <v/>
      </c>
      <c r="X13" s="145">
        <f>ROUND(SUM($K13:$W13),2)</f>
        <v/>
      </c>
      <c r="Y13" s="144">
        <f>ROUND(SUM((Y$11:Y$11)),2)</f>
        <v/>
      </c>
      <c r="Z13" s="146">
        <f>ROUND(IF($C$6="V2",SUM($X13:$Y13)*20%,0),2)</f>
        <v/>
      </c>
      <c r="AA13" s="147">
        <f>ROUND(SUM($X13:$Z13),2)</f>
        <v/>
      </c>
    </row>
  </sheetData>
  <mergeCells count="7">
    <mergeCell ref="D6:E6"/>
    <mergeCell ref="C3:F3"/>
    <mergeCell ref="B13:H13"/>
    <mergeCell ref="C4:F4"/>
    <mergeCell ref="C2:F2"/>
    <mergeCell ref="C5:F5"/>
    <mergeCell ref="E8:F8"/>
  </mergeCells>
  <dataValidations count="2">
    <dataValidation sqref="K10:W10" showDropDown="0" showInputMessage="0" showErrorMessage="1" allowBlank="1" errorTitle="Text Limit" error="Only 50 or less than 50 characters." type="textLength" operator="lessThanOrEqual">
      <formula1>50</formula1>
    </dataValidation>
    <dataValidation sqref="K8:W8" showDropDown="0" showInputMessage="1" showErrorMessage="1" allowBlank="1" type="list">
      <formula1>"Y,N"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Miguel</dc:creator>
  <dcterms:created xmlns:dcterms="http://purl.org/dc/terms/" xmlns:xsi="http://www.w3.org/2001/XMLSchema-instance" xsi:type="dcterms:W3CDTF">2019-04-02T09:07:35Z</dcterms:created>
  <dcterms:modified xmlns:dcterms="http://purl.org/dc/terms/" xmlns:xsi="http://www.w3.org/2001/XMLSchema-instance" xsi:type="dcterms:W3CDTF">2026-08-05T07:02:13Z</dcterms:modified>
  <cp:lastModifiedBy>Zhang, Vicky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a8ef3fbe-4e27-48f7-a0b1-3e7729cc8ae0</vt:lpwstr>
  </property>
  <property name="MediaServiceImageTags" fmtid="{D5CDD505-2E9C-101B-9397-08002B2CF9AE}" pid="4">
    <vt:lpwstr xmlns:vt="http://schemas.openxmlformats.org/officeDocument/2006/docPropsVTypes"/>
  </property>
</Properties>
</file>