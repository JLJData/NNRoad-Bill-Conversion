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UAE" sheetId="2" state="visible" r:id="rId2"/>
    <sheet xmlns:r="http://schemas.openxmlformats.org/officeDocument/2006/relationships" name="UAE EE" sheetId="3" state="visible" r:id="rId3"/>
    <sheet xmlns:r="http://schemas.openxmlformats.org/officeDocument/2006/relationships" name="UAE-L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#,##0.00_ "/>
    <numFmt numFmtId="165" formatCode="_(&quot;$&quot;* #,##0.00_);_(&quot;$&quot;* \(#,##0.00\);_(&quot;$&quot;* &quot;-&quot;??_);_(@_)"/>
    <numFmt numFmtId="166" formatCode="0.0000"/>
    <numFmt numFmtId="167" formatCode="_-* #,##0.00_-;\-* #,##0.00_-;_-* &quot;-&quot;??_-;_-@_-"/>
    <numFmt numFmtId="168" formatCode="_(* #,##0_);_(* \(#,##0\);_(* &quot;-&quot;??_);_(@_)"/>
    <numFmt numFmtId="169" formatCode="[$-1010000]d/m/yyyy;@"/>
  </numFmts>
  <fonts count="42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family val="2"/>
      <color rgb="FFFA7D00"/>
      <sz val="12"/>
      <scheme val="minor"/>
    </font>
    <font>
      <name val="Calibri"/>
      <charset val="134"/>
      <family val="3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.5"/>
      <scheme val="minor"/>
    </font>
    <font>
      <name val="Calibri"/>
      <family val="2"/>
      <sz val="10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0"/>
      <sz val="9"/>
      <scheme val="minor"/>
    </font>
    <font>
      <name val="Calibri"/>
      <family val="2"/>
      <b val="1"/>
      <color rgb="FFFF0000"/>
      <sz val="9"/>
      <scheme val="minor"/>
    </font>
  </fonts>
  <fills count="1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EBDDED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69696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/>
      <right/>
      <top style="medium">
        <color theme="8" tint="0.5999633777886288"/>
      </top>
      <bottom/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9BC2E7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theme="8" tint="0.5999633777886288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</borders>
  <cellStyleXfs count="4">
    <xf numFmtId="0" fontId="11" fillId="0" borderId="0"/>
    <xf numFmtId="0" fontId="4" fillId="0" borderId="0" applyAlignment="1">
      <alignment vertical="center"/>
    </xf>
    <xf numFmtId="43" fontId="11" fillId="0" borderId="0"/>
    <xf numFmtId="167" fontId="11" fillId="0" borderId="0"/>
  </cellStyleXfs>
  <cellXfs count="27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40" fontId="2" fillId="2" borderId="7" applyAlignment="1" pivotButton="0" quotePrefix="0" xfId="0">
      <alignment vertical="center"/>
    </xf>
    <xf numFmtId="40" fontId="2" fillId="2" borderId="16" applyAlignment="1" pivotButton="0" quotePrefix="0" xfId="0">
      <alignment vertical="center"/>
    </xf>
    <xf numFmtId="40" fontId="2" fillId="2" borderId="8" applyAlignment="1" pivotButton="0" quotePrefix="0" xfId="0">
      <alignment vertical="center"/>
    </xf>
    <xf numFmtId="40" fontId="2" fillId="2" borderId="9" applyAlignment="1" pivotButton="0" quotePrefix="0" xfId="0">
      <alignment vertical="center"/>
    </xf>
    <xf numFmtId="40" fontId="2" fillId="2" borderId="17" applyAlignment="1" pivotButton="0" quotePrefix="0" xfId="0">
      <alignment vertical="center"/>
    </xf>
    <xf numFmtId="40" fontId="2" fillId="2" borderId="1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40" fontId="2" fillId="2" borderId="11" applyAlignment="1" pivotButton="0" quotePrefix="0" xfId="0">
      <alignment vertical="center"/>
    </xf>
    <xf numFmtId="40" fontId="2" fillId="2" borderId="18" applyAlignment="1" pivotButton="0" quotePrefix="0" xfId="0">
      <alignment vertical="center"/>
    </xf>
    <xf numFmtId="40" fontId="2" fillId="2" borderId="12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40" fontId="10" fillId="0" borderId="24" applyAlignment="1" pivotButton="0" quotePrefix="0" xfId="0">
      <alignment vertical="center"/>
    </xf>
    <xf numFmtId="40" fontId="10" fillId="0" borderId="25" applyAlignment="1" pivotButton="0" quotePrefix="0" xfId="0">
      <alignment vertical="center"/>
    </xf>
    <xf numFmtId="40" fontId="10" fillId="0" borderId="26" applyAlignment="1" pivotButton="0" quotePrefix="0" xfId="0">
      <alignment vertical="center"/>
    </xf>
    <xf numFmtId="40" fontId="10" fillId="0" borderId="27" applyAlignment="1" pivotButton="0" quotePrefix="0" xfId="0">
      <alignment vertical="center"/>
    </xf>
    <xf numFmtId="40" fontId="10" fillId="0" borderId="28" applyAlignment="1" pivotButton="0" quotePrefix="0" xfId="0">
      <alignment vertical="center"/>
    </xf>
    <xf numFmtId="40" fontId="10" fillId="0" borderId="29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14" fontId="21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 indent="1"/>
    </xf>
    <xf numFmtId="4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43" fontId="25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right" vertical="center"/>
    </xf>
    <xf numFmtId="14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right" vertical="center"/>
    </xf>
    <xf numFmtId="164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164" fontId="26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vertical="center"/>
    </xf>
    <xf numFmtId="0" fontId="29" fillId="0" borderId="0" applyAlignment="1" pivotButton="0" quotePrefix="0" xfId="0">
      <alignment vertical="top" wrapText="1"/>
    </xf>
    <xf numFmtId="165" fontId="15" fillId="0" borderId="0" applyAlignment="1" pivotButton="0" quotePrefix="0" xfId="0">
      <alignment vertical="center"/>
    </xf>
    <xf numFmtId="165" fontId="25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4" fillId="5" borderId="34" applyAlignment="1" pivotButton="0" quotePrefix="0" xfId="0">
      <alignment horizontal="center" vertical="center"/>
    </xf>
    <xf numFmtId="0" fontId="24" fillId="5" borderId="36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horizontal="center" vertical="center" wrapText="1" shrinkToFit="1"/>
    </xf>
    <xf numFmtId="0" fontId="2" fillId="0" borderId="4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indent="3"/>
    </xf>
    <xf numFmtId="0" fontId="18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indent="2"/>
    </xf>
    <xf numFmtId="43" fontId="18" fillId="0" borderId="0" applyAlignment="1" pivotButton="0" quotePrefix="0" xfId="0">
      <alignment horizontal="left" vertical="center" indent="1"/>
    </xf>
    <xf numFmtId="43" fontId="33" fillId="0" borderId="0" applyAlignment="1" pivotButton="0" quotePrefix="0" xfId="0">
      <alignment horizontal="left" vertical="center"/>
    </xf>
    <xf numFmtId="165" fontId="34" fillId="0" borderId="33" applyAlignment="1" pivotButton="0" quotePrefix="0" xfId="0">
      <alignment horizontal="left" vertical="center"/>
    </xf>
    <xf numFmtId="165" fontId="18" fillId="0" borderId="33" applyAlignment="1" pivotButton="0" quotePrefix="0" xfId="0">
      <alignment horizontal="left" vertical="center"/>
    </xf>
    <xf numFmtId="43" fontId="18" fillId="0" borderId="0" applyAlignment="1" pivotButton="0" quotePrefix="0" xfId="0">
      <alignment horizontal="left" vertical="center"/>
    </xf>
    <xf numFmtId="165" fontId="33" fillId="0" borderId="33" applyAlignment="1" pivotButton="0" quotePrefix="0" xfId="0">
      <alignment horizontal="left" vertical="center"/>
    </xf>
    <xf numFmtId="43" fontId="15" fillId="0" borderId="0" applyAlignment="1" pivotButton="0" quotePrefix="0" xfId="0">
      <alignment horizontal="left" vertical="center"/>
    </xf>
    <xf numFmtId="165" fontId="15" fillId="0" borderId="33" applyAlignment="1" pivotButton="0" quotePrefix="0" xfId="0">
      <alignment horizontal="left" vertical="center"/>
    </xf>
    <xf numFmtId="43" fontId="25" fillId="0" borderId="38" applyAlignment="1" pivotButton="0" quotePrefix="0" xfId="0">
      <alignment horizontal="left" vertical="center"/>
    </xf>
    <xf numFmtId="165" fontId="25" fillId="0" borderId="39" applyAlignment="1" pivotButton="0" quotePrefix="0" xfId="0">
      <alignment horizontal="left" vertical="center"/>
    </xf>
    <xf numFmtId="166" fontId="27" fillId="0" borderId="0" applyAlignment="1" pivotButton="0" quotePrefix="0" xfId="0">
      <alignment horizontal="left" vertical="center" indent="1"/>
    </xf>
    <xf numFmtId="165" fontId="35" fillId="0" borderId="44" applyAlignment="1" pivotButton="0" quotePrefix="0" xfId="0">
      <alignment horizontal="right" vertical="center"/>
    </xf>
    <xf numFmtId="165" fontId="35" fillId="0" borderId="46" applyAlignment="1" pivotButton="0" quotePrefix="0" xfId="0">
      <alignment horizontal="right" vertical="center"/>
    </xf>
    <xf numFmtId="165" fontId="35" fillId="0" borderId="48" applyAlignment="1" pivotButton="0" quotePrefix="0" xfId="0">
      <alignment horizontal="right" vertical="center"/>
    </xf>
    <xf numFmtId="165" fontId="20" fillId="0" borderId="46" applyAlignment="1" pivotButton="0" quotePrefix="0" xfId="0">
      <alignment horizontal="right" vertical="center"/>
    </xf>
    <xf numFmtId="165" fontId="20" fillId="0" borderId="51" applyAlignment="1" pivotButton="0" quotePrefix="0" xfId="0">
      <alignment horizontal="right" vertical="center"/>
    </xf>
    <xf numFmtId="0" fontId="38" fillId="0" borderId="0" pivotButton="0" quotePrefix="0" xfId="0"/>
    <xf numFmtId="0" fontId="36" fillId="6" borderId="59" applyAlignment="1" pivotButton="0" quotePrefix="0" xfId="0">
      <alignment horizontal="center" vertical="center" wrapText="1"/>
    </xf>
    <xf numFmtId="0" fontId="36" fillId="6" borderId="55" applyAlignment="1" pivotButton="0" quotePrefix="0" xfId="0">
      <alignment horizontal="center" vertical="center" wrapText="1"/>
    </xf>
    <xf numFmtId="2" fontId="36" fillId="7" borderId="58" applyAlignment="1" pivotButton="0" quotePrefix="0" xfId="0">
      <alignment horizontal="center" vertical="center" wrapText="1"/>
    </xf>
    <xf numFmtId="167" fontId="36" fillId="7" borderId="58" applyAlignment="1" pivotButton="0" quotePrefix="0" xfId="3">
      <alignment horizontal="center" vertical="center" wrapText="1"/>
    </xf>
    <xf numFmtId="2" fontId="36" fillId="8" borderId="58" applyAlignment="1" pivotButton="0" quotePrefix="0" xfId="0">
      <alignment horizontal="center" vertical="center" wrapText="1"/>
    </xf>
    <xf numFmtId="2" fontId="36" fillId="12" borderId="58" applyAlignment="1" pivotButton="0" quotePrefix="0" xfId="0">
      <alignment horizontal="center" vertical="center" wrapText="1"/>
    </xf>
    <xf numFmtId="2" fontId="36" fillId="9" borderId="58" applyAlignment="1" pivotButton="0" quotePrefix="0" xfId="0">
      <alignment horizontal="center" vertical="center" wrapText="1"/>
    </xf>
    <xf numFmtId="2" fontId="39" fillId="13" borderId="58" applyAlignment="1" pivotButton="0" quotePrefix="0" xfId="0">
      <alignment horizontal="center" vertical="center" wrapText="1"/>
    </xf>
    <xf numFmtId="2" fontId="36" fillId="2" borderId="58" applyAlignment="1" pivotButton="0" quotePrefix="0" xfId="0">
      <alignment horizontal="center" vertical="center" wrapText="1"/>
    </xf>
    <xf numFmtId="2" fontId="36" fillId="10" borderId="58" applyAlignment="1" pivotButton="0" quotePrefix="0" xfId="0">
      <alignment horizontal="center" vertical="center" wrapText="1"/>
    </xf>
    <xf numFmtId="2" fontId="37" fillId="11" borderId="58" applyAlignment="1" pivotButton="0" quotePrefix="0" xfId="0">
      <alignment horizontal="center" vertical="center" wrapText="1"/>
    </xf>
    <xf numFmtId="2" fontId="37" fillId="11" borderId="55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168" fontId="38" fillId="8" borderId="58" applyAlignment="1" pivotButton="0" quotePrefix="0" xfId="2">
      <alignment horizontal="center" vertical="center" wrapText="1"/>
    </xf>
    <xf numFmtId="168" fontId="38" fillId="9" borderId="58" applyAlignment="1" pivotButton="0" quotePrefix="0" xfId="2">
      <alignment horizontal="center" vertical="center" wrapText="1"/>
    </xf>
    <xf numFmtId="0" fontId="38" fillId="0" borderId="60" applyAlignment="1" pivotButton="0" quotePrefix="0" xfId="0">
      <alignment horizontal="center"/>
    </xf>
    <xf numFmtId="0" fontId="38" fillId="0" borderId="60" applyAlignment="1" pivotButton="0" quotePrefix="0" xfId="0">
      <alignment horizontal="left"/>
    </xf>
    <xf numFmtId="168" fontId="38" fillId="0" borderId="60" applyAlignment="1" pivotButton="0" quotePrefix="0" xfId="2">
      <alignment horizontal="center"/>
    </xf>
    <xf numFmtId="169" fontId="38" fillId="0" borderId="60" applyAlignment="1" pivotButton="0" quotePrefix="0" xfId="0">
      <alignment horizontal="center"/>
    </xf>
    <xf numFmtId="0" fontId="38" fillId="0" borderId="52" applyAlignment="1" pivotButton="0" quotePrefix="0" xfId="0">
      <alignment horizontal="center"/>
    </xf>
    <xf numFmtId="43" fontId="38" fillId="7" borderId="60" applyAlignment="1" pivotButton="0" quotePrefix="0" xfId="2">
      <alignment horizontal="left"/>
    </xf>
    <xf numFmtId="43" fontId="38" fillId="8" borderId="60" applyAlignment="1" pivotButton="0" quotePrefix="0" xfId="2">
      <alignment horizontal="left"/>
    </xf>
    <xf numFmtId="43" fontId="38" fillId="12" borderId="60" applyAlignment="1" pivotButton="0" quotePrefix="0" xfId="2">
      <alignment horizontal="left"/>
    </xf>
    <xf numFmtId="43" fontId="38" fillId="9" borderId="60" applyAlignment="1" pivotButton="0" quotePrefix="0" xfId="2">
      <alignment horizontal="left"/>
    </xf>
    <xf numFmtId="43" fontId="40" fillId="13" borderId="60" applyAlignment="1" pivotButton="0" quotePrefix="0" xfId="2">
      <alignment horizontal="left"/>
    </xf>
    <xf numFmtId="43" fontId="38" fillId="2" borderId="60" applyAlignment="1" pivotButton="0" quotePrefix="0" xfId="2">
      <alignment horizontal="left"/>
    </xf>
    <xf numFmtId="43" fontId="38" fillId="10" borderId="60" applyAlignment="1" pivotButton="0" quotePrefix="0" xfId="2">
      <alignment horizontal="left"/>
    </xf>
    <xf numFmtId="43" fontId="29" fillId="11" borderId="60" applyAlignment="1" pivotButton="0" quotePrefix="0" xfId="2">
      <alignment horizontal="left"/>
    </xf>
    <xf numFmtId="43" fontId="29" fillId="11" borderId="52" applyAlignment="1" pivotButton="0" quotePrefix="0" xfId="2">
      <alignment horizontal="left"/>
    </xf>
    <xf numFmtId="43" fontId="41" fillId="0" borderId="0" pivotButton="0" quotePrefix="0" xfId="0"/>
    <xf numFmtId="43" fontId="38" fillId="8" borderId="58" pivotButton="0" quotePrefix="0" xfId="2"/>
    <xf numFmtId="43" fontId="38" fillId="9" borderId="58" pivotButton="0" quotePrefix="0" xfId="2"/>
    <xf numFmtId="0" fontId="38" fillId="0" borderId="61" applyAlignment="1" pivotButton="0" quotePrefix="0" xfId="0">
      <alignment horizontal="center"/>
    </xf>
    <xf numFmtId="0" fontId="38" fillId="0" borderId="61" applyAlignment="1" pivotButton="0" quotePrefix="0" xfId="0">
      <alignment horizontal="left"/>
    </xf>
    <xf numFmtId="0" fontId="38" fillId="0" borderId="62" applyAlignment="1" pivotButton="0" quotePrefix="0" xfId="0">
      <alignment horizontal="center"/>
    </xf>
    <xf numFmtId="43" fontId="38" fillId="7" borderId="61" applyAlignment="1" pivotButton="0" quotePrefix="0" xfId="0">
      <alignment horizontal="left"/>
    </xf>
    <xf numFmtId="0" fontId="0" fillId="7" borderId="0" pivotButton="0" quotePrefix="0" xfId="0"/>
    <xf numFmtId="43" fontId="38" fillId="8" borderId="61" applyAlignment="1" pivotButton="0" quotePrefix="0" xfId="0">
      <alignment horizontal="left"/>
    </xf>
    <xf numFmtId="43" fontId="38" fillId="12" borderId="61" applyAlignment="1" pivotButton="0" quotePrefix="0" xfId="0">
      <alignment horizontal="left"/>
    </xf>
    <xf numFmtId="43" fontId="38" fillId="9" borderId="61" applyAlignment="1" pivotButton="0" quotePrefix="0" xfId="0">
      <alignment horizontal="left"/>
    </xf>
    <xf numFmtId="43" fontId="40" fillId="13" borderId="61" applyAlignment="1" pivotButton="0" quotePrefix="0" xfId="0">
      <alignment horizontal="left"/>
    </xf>
    <xf numFmtId="43" fontId="38" fillId="2" borderId="61" applyAlignment="1" pivotButton="0" quotePrefix="0" xfId="0">
      <alignment horizontal="left"/>
    </xf>
    <xf numFmtId="43" fontId="38" fillId="10" borderId="61" applyAlignment="1" pivotButton="0" quotePrefix="0" xfId="0">
      <alignment horizontal="left"/>
    </xf>
    <xf numFmtId="43" fontId="29" fillId="11" borderId="62" applyAlignment="1" pivotButton="0" quotePrefix="0" xfId="0">
      <alignment horizontal="left"/>
    </xf>
    <xf numFmtId="43" fontId="38" fillId="0" borderId="0" pivotButton="0" quotePrefix="0" xfId="0"/>
    <xf numFmtId="43" fontId="36" fillId="8" borderId="58" pivotButton="0" quotePrefix="0" xfId="2"/>
    <xf numFmtId="43" fontId="36" fillId="9" borderId="58" pivotButton="0" quotePrefix="0" xfId="2"/>
    <xf numFmtId="2" fontId="2" fillId="0" borderId="6" applyAlignment="1" pivotButton="0" quotePrefix="0" xfId="0">
      <alignment horizontal="center" vertical="center"/>
    </xf>
    <xf numFmtId="14" fontId="0" fillId="2" borderId="0" applyAlignment="1" pivotButton="0" quotePrefix="0" xfId="0">
      <alignment vertical="center"/>
    </xf>
    <xf numFmtId="169" fontId="2" fillId="0" borderId="0" applyAlignment="1" pivotButton="0" quotePrefix="0" xfId="0">
      <alignment vertical="center"/>
    </xf>
    <xf numFmtId="0" fontId="20" fillId="0" borderId="32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18" fillId="0" borderId="32" applyAlignment="1" pivotButton="0" quotePrefix="0" xfId="0">
      <alignment horizontal="left" vertical="center" indent="2"/>
    </xf>
    <xf numFmtId="0" fontId="18" fillId="0" borderId="0" applyAlignment="1" pivotButton="0" quotePrefix="0" xfId="0">
      <alignment horizontal="left" vertical="center" indent="2"/>
    </xf>
    <xf numFmtId="0" fontId="20" fillId="4" borderId="0" applyAlignment="1" pivotButton="0" quotePrefix="0" xfId="0">
      <alignment horizontal="center"/>
    </xf>
    <xf numFmtId="0" fontId="29" fillId="0" borderId="0" applyAlignment="1" pivotButton="0" quotePrefix="0" xfId="0">
      <alignment horizontal="right" vertical="top" wrapText="1"/>
    </xf>
    <xf numFmtId="0" fontId="33" fillId="0" borderId="32" applyAlignment="1" pivotButton="0" quotePrefix="0" xfId="0">
      <alignment horizontal="left" vertical="center" indent="1"/>
    </xf>
    <xf numFmtId="0" fontId="33" fillId="0" borderId="0" applyAlignment="1" pivotButton="0" quotePrefix="0" xfId="0">
      <alignment horizontal="left" vertical="center" indent="1"/>
    </xf>
    <xf numFmtId="0" fontId="18" fillId="0" borderId="3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32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indent="1"/>
    </xf>
    <xf numFmtId="0" fontId="25" fillId="0" borderId="37" applyAlignment="1" pivotButton="0" quotePrefix="0" xfId="0">
      <alignment horizontal="left" vertical="center" indent="1"/>
    </xf>
    <xf numFmtId="0" fontId="25" fillId="0" borderId="38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right" vertical="center"/>
    </xf>
    <xf numFmtId="0" fontId="18" fillId="0" borderId="32" applyAlignment="1" pivotButton="0" quotePrefix="0" xfId="0">
      <alignment horizontal="left" vertical="center" indent="3"/>
    </xf>
    <xf numFmtId="0" fontId="18" fillId="0" borderId="0" applyAlignment="1" pivotButton="0" quotePrefix="0" xfId="0">
      <alignment horizontal="left" vertical="center" indent="3"/>
    </xf>
    <xf numFmtId="0" fontId="24" fillId="5" borderId="35" applyAlignment="1" pivotButton="0" quotePrefix="0" xfId="0">
      <alignment horizontal="center" vertical="center"/>
    </xf>
    <xf numFmtId="0" fontId="24" fillId="5" borderId="34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164" fontId="15" fillId="3" borderId="0" applyAlignment="1" pivotButton="0" quotePrefix="0" xfId="0">
      <alignment horizontal="left" vertical="center" wrapText="1" indent="2"/>
    </xf>
    <xf numFmtId="164" fontId="15" fillId="3" borderId="30" applyAlignment="1" pivotButton="0" quotePrefix="0" xfId="0">
      <alignment horizontal="left" vertical="center" wrapText="1" indent="2"/>
    </xf>
    <xf numFmtId="164" fontId="15" fillId="3" borderId="31" applyAlignment="1" pivotButton="0" quotePrefix="0" xfId="0">
      <alignment horizontal="left" vertical="center" wrapText="1" indent="2"/>
    </xf>
    <xf numFmtId="43" fontId="35" fillId="0" borderId="42" applyAlignment="1" pivotButton="0" quotePrefix="0" xfId="0">
      <alignment horizontal="right" vertical="center"/>
    </xf>
    <xf numFmtId="43" fontId="35" fillId="0" borderId="43" applyAlignment="1" pivotButton="0" quotePrefix="0" xfId="0">
      <alignment horizontal="right" vertical="center"/>
    </xf>
    <xf numFmtId="43" fontId="35" fillId="0" borderId="45" applyAlignment="1" pivotButton="0" quotePrefix="0" xfId="0">
      <alignment horizontal="right" vertical="center"/>
    </xf>
    <xf numFmtId="43" fontId="35" fillId="0" borderId="0" applyAlignment="1" pivotButton="0" quotePrefix="0" xfId="0">
      <alignment horizontal="right" vertical="center"/>
    </xf>
    <xf numFmtId="40" fontId="35" fillId="0" borderId="47" applyAlignment="1" pivotButton="0" quotePrefix="0" xfId="0">
      <alignment horizontal="right" vertical="center"/>
    </xf>
    <xf numFmtId="40" fontId="35" fillId="0" borderId="41" applyAlignment="1" pivotButton="0" quotePrefix="0" xfId="0">
      <alignment horizontal="right" vertical="center"/>
    </xf>
    <xf numFmtId="43" fontId="20" fillId="0" borderId="45" applyAlignment="1" pivotButton="0" quotePrefix="0" xfId="0">
      <alignment horizontal="right" vertical="center"/>
    </xf>
    <xf numFmtId="43" fontId="20" fillId="0" borderId="0" applyAlignment="1" pivotButton="0" quotePrefix="0" xfId="0">
      <alignment horizontal="right" vertical="center"/>
    </xf>
    <xf numFmtId="43" fontId="20" fillId="0" borderId="45" applyAlignment="1" pivotButton="0" quotePrefix="0" xfId="0">
      <alignment horizontal="right" vertical="center" indent="1"/>
    </xf>
    <xf numFmtId="43" fontId="20" fillId="0" borderId="0" applyAlignment="1" pivotButton="0" quotePrefix="0" xfId="0">
      <alignment horizontal="right" vertical="center" indent="1"/>
    </xf>
    <xf numFmtId="43" fontId="20" fillId="0" borderId="49" applyAlignment="1" pivotButton="0" quotePrefix="0" xfId="0">
      <alignment horizontal="right" vertical="center"/>
    </xf>
    <xf numFmtId="43" fontId="20" fillId="0" borderId="50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36" fillId="6" borderId="52" applyAlignment="1" pivotButton="0" quotePrefix="0" xfId="0">
      <alignment horizontal="center" vertical="center"/>
    </xf>
    <xf numFmtId="0" fontId="36" fillId="6" borderId="53" applyAlignment="1" pivotButton="0" quotePrefix="0" xfId="0">
      <alignment horizontal="center" vertical="center"/>
    </xf>
    <xf numFmtId="0" fontId="36" fillId="6" borderId="54" applyAlignment="1" pivotButton="0" quotePrefix="0" xfId="0">
      <alignment horizontal="center" vertical="center"/>
    </xf>
    <xf numFmtId="0" fontId="36" fillId="7" borderId="55" applyAlignment="1" pivotButton="0" quotePrefix="0" xfId="0">
      <alignment horizontal="center" vertical="center"/>
    </xf>
    <xf numFmtId="0" fontId="36" fillId="7" borderId="56" applyAlignment="1" pivotButton="0" quotePrefix="0" xfId="0">
      <alignment horizontal="center" vertical="center"/>
    </xf>
    <xf numFmtId="0" fontId="36" fillId="7" borderId="57" applyAlignment="1" pivotButton="0" quotePrefix="0" xfId="0">
      <alignment horizontal="center" vertical="center"/>
    </xf>
    <xf numFmtId="2" fontId="37" fillId="11" borderId="55" applyAlignment="1" pivotButton="0" quotePrefix="0" xfId="0">
      <alignment horizontal="center"/>
    </xf>
    <xf numFmtId="2" fontId="37" fillId="11" borderId="56" applyAlignment="1" pivotButton="0" quotePrefix="0" xfId="0">
      <alignment horizontal="center"/>
    </xf>
    <xf numFmtId="2" fontId="37" fillId="11" borderId="57" applyAlignment="1" pivotButton="0" quotePrefix="0" xfId="0">
      <alignment horizontal="center"/>
    </xf>
    <xf numFmtId="43" fontId="36" fillId="8" borderId="58" applyAlignment="1" pivotButton="0" quotePrefix="0" xfId="2">
      <alignment horizontal="center"/>
    </xf>
    <xf numFmtId="2" fontId="36" fillId="8" borderId="55" applyAlignment="1" pivotButton="0" quotePrefix="0" xfId="0">
      <alignment horizontal="center" vertical="center"/>
    </xf>
    <xf numFmtId="2" fontId="36" fillId="8" borderId="56" applyAlignment="1" pivotButton="0" quotePrefix="0" xfId="0">
      <alignment horizontal="center" vertical="center"/>
    </xf>
    <xf numFmtId="2" fontId="36" fillId="8" borderId="57" applyAlignment="1" pivotButton="0" quotePrefix="0" xfId="0">
      <alignment horizontal="center" vertical="center"/>
    </xf>
    <xf numFmtId="2" fontId="36" fillId="9" borderId="55" applyAlignment="1" pivotButton="0" quotePrefix="0" xfId="0">
      <alignment horizontal="center"/>
    </xf>
    <xf numFmtId="2" fontId="36" fillId="9" borderId="56" applyAlignment="1" pivotButton="0" quotePrefix="0" xfId="0">
      <alignment horizontal="center"/>
    </xf>
    <xf numFmtId="2" fontId="36" fillId="9" borderId="57" applyAlignment="1" pivotButton="0" quotePrefix="0" xfId="0">
      <alignment horizontal="center"/>
    </xf>
    <xf numFmtId="2" fontId="36" fillId="2" borderId="55" applyAlignment="1" pivotButton="0" quotePrefix="0" xfId="0">
      <alignment horizontal="center"/>
    </xf>
    <xf numFmtId="2" fontId="36" fillId="2" borderId="56" applyAlignment="1" pivotButton="0" quotePrefix="0" xfId="0">
      <alignment horizontal="center"/>
    </xf>
    <xf numFmtId="2" fontId="36" fillId="2" borderId="57" applyAlignment="1" pivotButton="0" quotePrefix="0" xfId="0">
      <alignment horizontal="center"/>
    </xf>
    <xf numFmtId="2" fontId="36" fillId="8" borderId="55" applyAlignment="1" pivotButton="0" quotePrefix="0" xfId="0">
      <alignment horizontal="center"/>
    </xf>
    <xf numFmtId="2" fontId="36" fillId="8" borderId="56" applyAlignment="1" pivotButton="0" quotePrefix="0" xfId="0">
      <alignment horizontal="center"/>
    </xf>
    <xf numFmtId="2" fontId="36" fillId="10" borderId="56" applyAlignment="1" pivotButton="0" quotePrefix="0" xfId="0">
      <alignment horizontal="center"/>
    </xf>
    <xf numFmtId="2" fontId="36" fillId="10" borderId="57" applyAlignment="1" pivotButton="0" quotePrefix="0" xfId="0">
      <alignment horizontal="center"/>
    </xf>
    <xf numFmtId="0" fontId="0" fillId="0" borderId="34" pivotButton="0" quotePrefix="0" xfId="0"/>
    <xf numFmtId="165" fontId="34" fillId="0" borderId="33" applyAlignment="1" pivotButton="0" quotePrefix="0" xfId="0">
      <alignment horizontal="left" vertical="center"/>
    </xf>
    <xf numFmtId="165" fontId="18" fillId="0" borderId="33" applyAlignment="1" pivotButton="0" quotePrefix="0" xfId="0">
      <alignment horizontal="left" vertical="center"/>
    </xf>
    <xf numFmtId="165" fontId="33" fillId="0" borderId="33" applyAlignment="1" pivotButton="0" quotePrefix="0" xfId="0">
      <alignment horizontal="left" vertical="center"/>
    </xf>
    <xf numFmtId="165" fontId="15" fillId="0" borderId="33" applyAlignment="1" pivotButton="0" quotePrefix="0" xfId="0">
      <alignment horizontal="left" vertical="center"/>
    </xf>
    <xf numFmtId="0" fontId="0" fillId="0" borderId="38" pivotButton="0" quotePrefix="0" xfId="0"/>
    <xf numFmtId="165" fontId="25" fillId="0" borderId="39" applyAlignment="1" pivotButton="0" quotePrefix="0" xfId="0">
      <alignment horizontal="left" vertical="center"/>
    </xf>
    <xf numFmtId="165" fontId="25" fillId="0" borderId="0" applyAlignment="1" pivotButton="0" quotePrefix="0" xfId="0">
      <alignment horizontal="right" vertical="center"/>
    </xf>
    <xf numFmtId="0" fontId="0" fillId="0" borderId="43" pivotButton="0" quotePrefix="0" xfId="0"/>
    <xf numFmtId="165" fontId="35" fillId="0" borderId="44" applyAlignment="1" pivotButton="0" quotePrefix="0" xfId="0">
      <alignment horizontal="right" vertical="center"/>
    </xf>
    <xf numFmtId="165" fontId="35" fillId="0" borderId="46" applyAlignment="1" pivotButton="0" quotePrefix="0" xfId="0">
      <alignment horizontal="right" vertical="center"/>
    </xf>
    <xf numFmtId="0" fontId="0" fillId="0" borderId="41" pivotButton="0" quotePrefix="0" xfId="0"/>
    <xf numFmtId="165" fontId="35" fillId="0" borderId="48" applyAlignment="1" pivotButton="0" quotePrefix="0" xfId="0">
      <alignment horizontal="right" vertical="center"/>
    </xf>
    <xf numFmtId="165" fontId="20" fillId="0" borderId="46" applyAlignment="1" pivotButton="0" quotePrefix="0" xfId="0">
      <alignment horizontal="right" vertical="center"/>
    </xf>
    <xf numFmtId="0" fontId="0" fillId="0" borderId="50" pivotButton="0" quotePrefix="0" xfId="0"/>
    <xf numFmtId="165" fontId="20" fillId="0" borderId="51" applyAlignment="1" pivotButton="0" quotePrefix="0" xfId="0">
      <alignment horizontal="right" vertical="center"/>
    </xf>
    <xf numFmtId="165" fontId="15" fillId="0" borderId="0" applyAlignment="1" pivotButton="0" quotePrefix="0" xfId="0">
      <alignment vertical="center"/>
    </xf>
    <xf numFmtId="0" fontId="0" fillId="0" borderId="30" pivotButton="0" quotePrefix="0" xfId="0"/>
    <xf numFmtId="169" fontId="2" fillId="0" borderId="0" applyAlignment="1" pivotButton="0" quotePrefix="0" xfId="0">
      <alignment vertical="center"/>
    </xf>
    <xf numFmtId="0" fontId="0" fillId="0" borderId="20" pivotButton="0" quotePrefix="0" xfId="0"/>
    <xf numFmtId="0" fontId="0" fillId="0" borderId="66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36" fillId="6" borderId="60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7" borderId="58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2" fontId="36" fillId="8" borderId="58" applyAlignment="1" pivotButton="0" quotePrefix="0" xfId="0">
      <alignment horizontal="center" vertical="center"/>
    </xf>
    <xf numFmtId="2" fontId="36" fillId="9" borderId="58" applyAlignment="1" pivotButton="0" quotePrefix="0" xfId="0">
      <alignment horizontal="center"/>
    </xf>
    <xf numFmtId="2" fontId="36" fillId="2" borderId="58" applyAlignment="1" pivotButton="0" quotePrefix="0" xfId="0">
      <alignment horizontal="center"/>
    </xf>
    <xf numFmtId="2" fontId="37" fillId="11" borderId="58" applyAlignment="1" pivotButton="0" quotePrefix="0" xfId="0">
      <alignment horizontal="center"/>
    </xf>
    <xf numFmtId="168" fontId="38" fillId="8" borderId="58" applyAlignment="1" pivotButton="0" quotePrefix="0" xfId="2">
      <alignment horizontal="center" vertical="center" wrapText="1"/>
    </xf>
    <xf numFmtId="168" fontId="38" fillId="9" borderId="58" applyAlignment="1" pivotButton="0" quotePrefix="0" xfId="2">
      <alignment horizontal="center" vertical="center" wrapText="1"/>
    </xf>
    <xf numFmtId="168" fontId="38" fillId="0" borderId="60" applyAlignment="1" pivotButton="0" quotePrefix="0" xfId="2">
      <alignment horizontal="center"/>
    </xf>
    <xf numFmtId="169" fontId="38" fillId="0" borderId="60" applyAlignment="1" pivotButton="0" quotePrefix="0" xfId="0">
      <alignment horizontal="center"/>
    </xf>
  </cellXfs>
  <cellStyles count="4">
    <cellStyle name="Normal" xfId="0" builtinId="0"/>
    <cellStyle name="常规 2" xfId="1"/>
    <cellStyle name="Comma" xfId="2" builtinId="3"/>
    <cellStyle name="Comma 3" xfId="3"/>
  </cellStyles>
  <dxfs count="130"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3" tint="0.7999816888943144"/>
        </patternFill>
      </fill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9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7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7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7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7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7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8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9"/>
        <vertAlign val="baseline"/>
        <scheme val="minor"/>
      </font>
      <fill>
        <patternFill patternType="solid">
          <fgColor indexed="64"/>
          <bgColor rgb="FF969696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969696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EBDDED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7" tint="0.7999816888943144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5999938962981048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theme="4" tint="0.5999938962981048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theme="0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168" formatCode="[$-1010000]d/m/yyyy;@"/>
      <fill>
        <patternFill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168" formatCode="[$-1010000]d/m/yyyy;@"/>
      <fill>
        <patternFill>
          <fgColor indexed="64"/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numFmt numFmtId="165" formatCode="_(* #,##0_);_(* \(#,##0\);_(* &quot;-&quot;??_);_(@_)"/>
      <fill>
        <patternFill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theme="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left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 patternType="solid">
          <fgColor indexed="64"/>
          <bgColor theme="9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1129695</colOff>
      <row>2</row>
      <rowOff>109286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7857" cy="5356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1" displayName="Table1" ref="A2:BK4" headerRowCount="1" totalsRowCount="1" headerRowDxfId="128" dataDxfId="127" tableBorderDxfId="126" dataCellStyle="Comma">
  <autoFilter ref="A2:BK3"/>
  <tableColumns count="63">
    <tableColumn id="1" name="Emp ID" totalsRowLabel="Total" dataDxfId="124" totalsRowDxfId="125"/>
    <tableColumn id="2" name="Employee Name" dataDxfId="122" totalsRowDxfId="123"/>
    <tableColumn id="3" name="Designation" dataDxfId="120" totalsRowDxfId="121"/>
    <tableColumn id="4" name="Payroll Currency" dataDxfId="118" totalsRowDxfId="119"/>
    <tableColumn id="5" name="Month Days" dataDxfId="116" totalsRowDxfId="117" dataCellStyle="Comma"/>
    <tableColumn id="6" name="From" dataDxfId="114" totalsRowDxfId="115"/>
    <tableColumn id="7" name="To" dataDxfId="112" totalsRowDxfId="113"/>
    <tableColumn id="8" name="Payroll Days" dataDxfId="110" totalsRowDxfId="111"/>
    <tableColumn id="9" name="EC - Basic Salary" dataDxfId="108" totalsRowDxfId="109" dataCellStyle="Comma"/>
    <tableColumn id="30" name="EC - Housing Allowance" dataDxfId="106" totalsRowDxfId="107" dataCellStyle="Comma"/>
    <tableColumn id="34" name="EC - Transport Allowance" dataDxfId="104" totalsRowDxfId="105" dataCellStyle="Comma"/>
    <tableColumn id="35" name="EC - School Allowance" dataDxfId="102" totalsRowDxfId="103" dataCellStyle="Comma"/>
    <tableColumn id="36" name="EC - Other allowance" dataDxfId="100" totalsRowDxfId="101" dataCellStyle="Comma"/>
    <tableColumn id="37" name="EC - Mobile Allowance" dataDxfId="98" totalsRowDxfId="99" dataCellStyle="Comma"/>
    <tableColumn id="38" name="EC - Food Allowance" dataDxfId="96" totalsRowDxfId="97" dataCellStyle="Comma"/>
    <tableColumn id="40" name="OT Eligible" dataDxfId="94" totalsRowDxfId="95" dataCellStyle="Comma"/>
    <tableColumn id="41" name="EC - Gross Salary" dataDxfId="92" totalsRowDxfId="93" dataCellStyle="Comma">
      <calculatedColumnFormula>Table1[[#This Row],[EC - Basic Salary]]+Table1[[#This Row],[EC - Housing Allowance]]+Table1[[#This Row],[EC - Transport Allowance]]+Table1[[#This Row],[EC - School Allowance]]+Table1[[#This Row],[EC - Other allowance]]+Table1[[#This Row],[EC - Mobile Allowance]]+Table1[[#This Row],[EC - Food Allowance]]</calculatedColumnFormula>
    </tableColumn>
    <tableColumn id="42" name="EC - OT1" dataDxfId="90" totalsRowDxfId="91" dataCellStyle="Comma"/>
    <tableColumn id="43" name="EC - OT2" dataDxfId="88" totalsRowDxfId="89" dataCellStyle="Comma"/>
    <tableColumn id="45" name="EC - Workmen Comp" dataDxfId="86" totalsRowDxfId="87" dataCellStyle="Comma"/>
    <tableColumn id="46" name="EC - Localization" dataDxfId="84" totalsRowDxfId="85" dataCellStyle="Comma"/>
    <tableColumn id="47" name="EC - Gratuity Accrual" dataDxfId="82" totalsRowDxfId="83" dataCellStyle="Comma"/>
    <tableColumn id="48" name="EC - Health Insurance Installment" dataDxfId="80" totalsRowDxfId="81" dataCellStyle="Comma"/>
    <tableColumn id="51" name="EC - GOSI" dataDxfId="78" totalsRowDxfId="79" dataCellStyle="Comma"/>
    <tableColumn id="49" name="EC - Admin Fees" dataDxfId="76" totalsRowDxfId="77" dataCellStyle="Comma"/>
    <tableColumn id="10" name="Absence Days" dataDxfId="74" totalsRowDxfId="75" dataCellStyle="Comma"/>
    <tableColumn id="11" name="Days w/o Absence" dataDxfId="72" totalsRowDxfId="73" dataCellStyle="Comma"/>
    <tableColumn id="12" name="Overtime 1" dataDxfId="70" totalsRowDxfId="71" dataCellStyle="Comma"/>
    <tableColumn id="13" name="Overtime 2" dataDxfId="68" totalsRowDxfId="69" dataCellStyle="Comma"/>
    <tableColumn id="14" name="Basic Salary" dataDxfId="66" totalsRowDxfId="67" dataCellStyle="Comma"/>
    <tableColumn id="15" name="Housing Allowance" dataDxfId="64" totalsRowDxfId="65" dataCellStyle="Comma"/>
    <tableColumn id="16" name="Transport Allowance" dataDxfId="62" totalsRowDxfId="63" dataCellStyle="Comma"/>
    <tableColumn id="17" name="School Allowance" dataDxfId="60" totalsRowDxfId="61" dataCellStyle="Comma"/>
    <tableColumn id="19" name="Mobile Allowance" dataDxfId="58" totalsRowDxfId="59" dataCellStyle="Comma"/>
    <tableColumn id="20" name="Food Allowance" dataDxfId="56" totalsRowDxfId="57" dataCellStyle="Comma"/>
    <tableColumn id="66" name="Other Allowance" dataDxfId="54" totalsRowDxfId="55" dataCellStyle="Comma"/>
    <tableColumn id="21" name="OT1" dataDxfId="52" totalsRowDxfId="53" dataCellStyle="Comma"/>
    <tableColumn id="22" name="OT2" dataDxfId="50" totalsRowDxfId="51" dataCellStyle="Comma"/>
    <tableColumn id="23" name="Other Adjustments" dataDxfId="48" totalsRowDxfId="49" dataCellStyle="Comma"/>
    <tableColumn id="18" name="Deduction" dataDxfId="46" totalsRowDxfId="47" dataCellStyle="Comma"/>
    <tableColumn id="24" name="Total Payout" totalsRowFunction="sum" dataDxfId="44" totalsRowDxfId="45" dataCellStyle="Comma"/>
    <tableColumn id="53" name="Visa" dataDxfId="42" totalsRowDxfId="43" dataCellStyle="Comma"/>
    <tableColumn id="54" name="Medical Insurance" dataDxfId="40" totalsRowDxfId="41" dataCellStyle="Comma"/>
    <tableColumn id="55" name="Total Installments" totalsRowFunction="sum" dataDxfId="38" totalsRowDxfId="39" dataCellStyle="Comma"/>
    <tableColumn id="39" name="Gratuity" dataDxfId="36" totalsRowDxfId="37" dataCellStyle="Comma"/>
    <tableColumn id="44" name="Airfare" dataDxfId="34" totalsRowDxfId="35" dataCellStyle="Comma"/>
    <tableColumn id="50" name="Annual Leave" dataDxfId="32" totalsRowDxfId="33" dataCellStyle="Comma"/>
    <tableColumn id="56" name="Other Accruals" dataDxfId="30" totalsRowDxfId="31" dataCellStyle="Comma"/>
    <tableColumn id="52" name="Total Accruals" totalsRowFunction="sum" dataDxfId="28" totalsRowDxfId="29" dataCellStyle="Comma"/>
    <tableColumn id="26" name="Ajeer" dataDxfId="26" totalsRowDxfId="27" dataCellStyle="Comma"/>
    <tableColumn id="27" name="LMRA" dataDxfId="24" totalsRowDxfId="25" dataCellStyle="Comma"/>
    <tableColumn id="60" name="Localization" dataDxfId="22" totalsRowDxfId="23" dataCellStyle="Comma"/>
    <tableColumn id="29" name="GOSI" dataDxfId="20" totalsRowDxfId="21" dataCellStyle="Comma"/>
    <tableColumn id="31" name="Workmen Comp" dataDxfId="18" totalsRowDxfId="19" dataCellStyle="Comma"/>
    <tableColumn id="59" name="Zakat" dataDxfId="16" totalsRowDxfId="17" dataCellStyle="Comma"/>
    <tableColumn id="28" name="Family Visa Levy" dataDxfId="14" totalsRowDxfId="15" dataCellStyle="Comma"/>
    <tableColumn id="62" name="Total Government Fees" totalsRowFunction="sum" dataDxfId="12" totalsRowDxfId="13" dataCellStyle="Comma"/>
    <tableColumn id="25" name="Employee payout" totalsRowFunction="custom" dataDxfId="10" totalsRowDxfId="11" dataCellStyle="Comma">
      <totalsRowFormula>SUBTOTAL(109,Table1[Employee payout])</totalsRowFormula>
    </tableColumn>
    <tableColumn id="64" name="Installments" totalsRowFunction="custom" dataDxfId="8" totalsRowDxfId="9" dataCellStyle="Comma">
      <totalsRowFormula>SUBTOTAL(109,Table1[Installments])</totalsRowFormula>
    </tableColumn>
    <tableColumn id="63" name="Accruals" totalsRowFunction="custom" dataDxfId="6" totalsRowDxfId="7" dataCellStyle="Comma">
      <totalsRowFormula>SUBTOTAL(109,Table1[Accruals])</totalsRowFormula>
    </tableColumn>
    <tableColumn id="65" name="Government Fees" totalsRowFunction="custom" dataDxfId="4" totalsRowDxfId="5" dataCellStyle="Comma">
      <totalsRowFormula>SUBTOTAL(109,Table1[Government Fees])</totalsRowFormula>
    </tableColumn>
    <tableColumn id="32" name="Admin Fees" totalsRowFunction="custom" dataDxfId="2" totalsRowDxfId="3" dataCellStyle="Comma">
      <totalsRowFormula>SUBTOTAL(109,Table1[Admin Fees])</totalsRowFormula>
    </tableColumn>
    <tableColumn id="33" name="Invoice total" totalsRowFunction="sum" dataDxfId="0" totalsRow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zoomScale="150" zoomScaleNormal="150" workbookViewId="0">
      <selection activeCell="B29" sqref="B29"/>
    </sheetView>
  </sheetViews>
  <sheetFormatPr baseColWidth="8" defaultColWidth="9.140625" defaultRowHeight="10.5"/>
  <cols>
    <col width="14.85546875" customWidth="1" style="46" min="1" max="1"/>
    <col width="23.42578125" customWidth="1" style="46" min="2" max="2"/>
    <col width="5.42578125" customWidth="1" style="46" min="3" max="3"/>
    <col width="15.140625" customWidth="1" style="46" min="4" max="4"/>
    <col width="11.85546875" customWidth="1" style="46" min="5" max="5"/>
    <col width="14.42578125" customWidth="1" style="48" min="6" max="6"/>
    <col width="9.140625" customWidth="1" style="48" min="7" max="7"/>
    <col width="9.140625" customWidth="1" style="46" min="8" max="8"/>
    <col width="9.140625" customWidth="1" style="46" min="9" max="9"/>
    <col width="9.140625" customWidth="1" style="46" min="10" max="16384"/>
  </cols>
  <sheetData>
    <row r="1" ht="18.95" customHeight="1">
      <c r="B1" s="172" t="inlineStr">
        <is>
          <t>NNRoad – Employer of Record, Payroll Worldwide</t>
        </is>
      </c>
      <c r="G1" s="47" t="n"/>
      <c r="H1" s="48" t="n"/>
    </row>
    <row r="2" ht="14.25" customHeight="1">
      <c r="B2" s="173" t="inlineStr">
        <is>
          <t>333 W San Carlos St., Suite 600, San Jose, CA 95113, USA</t>
        </is>
      </c>
      <c r="G2" s="47" t="n"/>
      <c r="H2" s="48" t="n"/>
    </row>
    <row r="3" ht="18" customFormat="1" customHeight="1" s="49">
      <c r="B3" s="173" t="inlineStr">
        <is>
          <t>USA: +1 (669) 377-5080 | www.NNRoad.com</t>
        </is>
      </c>
      <c r="G3" s="47" t="n"/>
      <c r="H3" s="47" t="n"/>
    </row>
    <row r="4" ht="14.1" customFormat="1" customHeight="1" s="49">
      <c r="G4" s="47" t="n"/>
      <c r="H4" s="47" t="n"/>
    </row>
    <row r="5" ht="32.1" customFormat="1" customHeight="1" s="49">
      <c r="A5" s="178" t="inlineStr">
        <is>
          <t>INVOICE</t>
        </is>
      </c>
      <c r="G5" s="47" t="n"/>
      <c r="H5" s="47" t="n"/>
    </row>
    <row r="6" ht="12" customFormat="1" customHeight="1" s="49">
      <c r="A6" s="44" t="n"/>
      <c r="B6" s="44" t="n"/>
      <c r="C6" s="44" t="n"/>
      <c r="D6" s="44" t="n"/>
      <c r="E6" s="44" t="n"/>
      <c r="F6" s="44" t="n"/>
      <c r="G6" s="47" t="n"/>
      <c r="H6" s="47" t="n"/>
    </row>
    <row r="7" ht="12.95" customFormat="1" customHeight="1" s="49">
      <c r="A7" s="45" t="inlineStr">
        <is>
          <t>Bill to:</t>
        </is>
      </c>
      <c r="B7" s="45" t="n"/>
      <c r="C7" s="45" t="n"/>
      <c r="D7" s="45" t="n"/>
      <c r="E7" s="45" t="n"/>
      <c r="G7" s="47" t="n"/>
      <c r="H7" s="47" t="n"/>
    </row>
    <row r="8" ht="12.95" customFormat="1" customHeight="1" s="50">
      <c r="A8" s="63" t="inlineStr">
        <is>
          <t>Company name:</t>
        </is>
      </c>
      <c r="B8" s="64" t="inlineStr">
        <is>
          <t>Omal Spa SB</t>
        </is>
      </c>
      <c r="C8" s="72" t="n"/>
      <c r="D8" s="63" t="inlineStr">
        <is>
          <t>Currency</t>
        </is>
      </c>
      <c r="E8" s="63" t="n"/>
      <c r="F8" s="64" t="inlineStr">
        <is>
          <t>USD</t>
        </is>
      </c>
      <c r="G8" s="51" t="n"/>
    </row>
    <row r="9" ht="12.95" customFormat="1" customHeight="1" s="50">
      <c r="A9" s="63" t="inlineStr">
        <is>
          <t>Client ID:</t>
        </is>
      </c>
      <c r="B9" s="64" t="inlineStr">
        <is>
          <t>CNUS2025001</t>
        </is>
      </c>
      <c r="C9" s="73" t="n"/>
      <c r="D9" s="63" t="inlineStr">
        <is>
          <t>Invoice number</t>
        </is>
      </c>
      <c r="E9" s="63" t="n"/>
      <c r="F9" s="64" t="inlineStr">
        <is>
          <t>PN-CNUS2025001-060920261</t>
        </is>
      </c>
      <c r="G9" s="51" t="n"/>
    </row>
    <row r="10" ht="12.95" customFormat="1" customHeight="1" s="49">
      <c r="A10" s="63" t="inlineStr">
        <is>
          <t>Address:</t>
        </is>
      </c>
      <c r="B10" s="163" t="inlineStr">
        <is>
          <t>Ponte Nuovo 11/1, Rodengo Saiano (BS) Italy</t>
        </is>
      </c>
      <c r="C10" s="73" t="n"/>
      <c r="D10" s="63" t="inlineStr">
        <is>
          <t>Invoice date</t>
        </is>
      </c>
      <c r="E10" s="63" t="n"/>
      <c r="F10" s="65">
        <f>DATE(2026,7,31)</f>
        <v/>
      </c>
      <c r="G10" s="47" t="n"/>
    </row>
    <row r="11" ht="12" customFormat="1" customHeight="1" s="50">
      <c r="A11" s="66" t="n"/>
      <c r="D11" s="63" t="inlineStr">
        <is>
          <t>Due date</t>
        </is>
      </c>
      <c r="E11" s="63" t="n"/>
      <c r="F11" s="65" t="n">
        <v>46190</v>
      </c>
      <c r="G11" s="51" t="n"/>
    </row>
    <row r="12" ht="12" customFormat="1" customHeight="1" s="49">
      <c r="A12" s="63" t="inlineStr">
        <is>
          <t>VAT number</t>
        </is>
      </c>
      <c r="B12" s="64" t="inlineStr">
        <is>
          <t>IT00645720988</t>
        </is>
      </c>
      <c r="C12" s="55" t="n"/>
      <c r="D12" s="55" t="n"/>
      <c r="E12" s="56" t="n"/>
      <c r="G12" s="47" t="n"/>
    </row>
    <row r="13" ht="11.1" customHeight="1" thickBot="1"/>
    <row r="14" ht="27.95" customFormat="1" customHeight="1" s="58">
      <c r="A14" s="176" t="inlineStr">
        <is>
          <t>Description</t>
        </is>
      </c>
      <c r="B14" s="235" t="n"/>
      <c r="C14" s="235" t="n"/>
      <c r="D14" s="177" t="n"/>
      <c r="E14" s="177">
        <f>"Amount "&amp;UAE!C6</f>
        <v/>
      </c>
      <c r="F14" s="79" t="inlineStr">
        <is>
          <t>Approx. In USD*</t>
        </is>
      </c>
      <c r="G14" s="57" t="n"/>
    </row>
    <row r="15" ht="15.95" customFormat="1" customHeight="1" s="61">
      <c r="A15" s="164" t="inlineStr">
        <is>
          <t>EOR/PEO Cost</t>
        </is>
      </c>
      <c r="D15" s="165" t="n"/>
      <c r="E15" s="92">
        <f>SUM(E16:E17)</f>
        <v/>
      </c>
      <c r="F15" s="236">
        <f>SUM(F16:F17)</f>
        <v/>
      </c>
      <c r="G15" s="69" t="n"/>
    </row>
    <row r="16" ht="12.95" customFormat="1" customHeight="1" s="53">
      <c r="A16" s="174">
        <f>"- Labor cost for "&amp;UAE!B9&amp;"  -  "&amp;MONTH(UAE!B2) &amp;"-"&amp; YEAR(UAE!B2)</f>
        <v/>
      </c>
      <c r="D16" s="175" t="n"/>
      <c r="E16" s="91">
        <f>UAE!I9+UAE!S9</f>
        <v/>
      </c>
      <c r="F16" s="237">
        <f>E16/$B$28</f>
        <v/>
      </c>
      <c r="G16" s="52" t="n"/>
    </row>
    <row r="17" ht="12.95" customHeight="1">
      <c r="A17" s="174">
        <f>"- Expense claim for "&amp;UAE!B9</f>
        <v/>
      </c>
      <c r="D17" s="175" t="n"/>
      <c r="E17" s="91">
        <f>UAE!AE9</f>
        <v/>
      </c>
      <c r="F17" s="237">
        <f>E17/$B$28</f>
        <v/>
      </c>
      <c r="G17" s="54" t="n"/>
    </row>
    <row r="18" ht="12.95" customHeight="1">
      <c r="A18" s="168" t="n"/>
      <c r="D18" s="169" t="n"/>
      <c r="E18" s="91" t="n"/>
      <c r="F18" s="237" t="n"/>
      <c r="G18" s="54" t="n"/>
    </row>
    <row r="19" ht="12.95" customHeight="1">
      <c r="A19" s="166" t="n"/>
      <c r="D19" s="167" t="n"/>
      <c r="E19" s="95" t="n"/>
      <c r="F19" s="237" t="n"/>
      <c r="G19" s="54" t="n"/>
    </row>
    <row r="20" ht="15.95" customFormat="1" customHeight="1" s="68">
      <c r="A20" s="164" t="inlineStr">
        <is>
          <t>Service Fee</t>
        </is>
      </c>
      <c r="D20" s="165" t="n"/>
      <c r="E20" s="92">
        <f>SUM(E21:E22)</f>
        <v/>
      </c>
      <c r="F20" s="238">
        <f>SUM(F21:F22)</f>
        <v/>
      </c>
      <c r="G20" s="67" t="n"/>
    </row>
    <row r="21" ht="12.95" customHeight="1">
      <c r="A21" s="160">
        <f>"- Management Fee - "&amp;MONTH(UAE!B2) &amp;"-"&amp; YEAR(UAE!B2)</f>
        <v/>
      </c>
      <c r="D21" s="161" t="n"/>
      <c r="E21" s="95">
        <f>UAE!H9</f>
        <v/>
      </c>
      <c r="F21" s="237">
        <f>E21/$B$28</f>
        <v/>
      </c>
      <c r="G21" s="54" t="n"/>
    </row>
    <row r="22" ht="12.95" customHeight="1">
      <c r="A22" s="160" t="n"/>
      <c r="D22" s="161" t="n"/>
      <c r="E22" s="95" t="n"/>
      <c r="F22" s="237" t="n"/>
      <c r="G22" s="54" t="n"/>
    </row>
    <row r="23" ht="12.95" customHeight="1">
      <c r="A23" s="160" t="n"/>
      <c r="D23" s="161" t="n"/>
      <c r="E23" s="95" t="n"/>
      <c r="F23" s="237" t="n"/>
      <c r="G23" s="54" t="n"/>
    </row>
    <row r="24" ht="14.45" customHeight="1">
      <c r="A24" s="158" t="n"/>
      <c r="D24" s="159" t="n"/>
      <c r="E24" s="97" t="n"/>
      <c r="F24" s="239" t="n"/>
      <c r="G24" s="54" t="n"/>
    </row>
    <row r="25" ht="15" customFormat="1" customHeight="1" s="61" thickBot="1">
      <c r="A25" s="170" t="inlineStr">
        <is>
          <t xml:space="preserve">EOR/PEO Service Cost		</t>
        </is>
      </c>
      <c r="B25" s="240" t="n"/>
      <c r="C25" s="240" t="n"/>
      <c r="D25" s="240" t="n"/>
      <c r="E25" s="99">
        <f>E15+E20</f>
        <v/>
      </c>
      <c r="F25" s="241">
        <f>F15+F20</f>
        <v/>
      </c>
      <c r="G25" s="69" t="n"/>
    </row>
    <row r="26" ht="14.45" customFormat="1" customHeight="1" s="61">
      <c r="A26" s="76" t="n"/>
      <c r="B26" s="76" t="n"/>
      <c r="C26" s="77" t="n"/>
      <c r="D26" s="77" t="n"/>
      <c r="E26" s="62" t="n"/>
      <c r="F26" s="242" t="n"/>
      <c r="G26" s="69" t="n"/>
    </row>
    <row r="27" ht="15" customFormat="1" customHeight="1" s="61" thickBot="1">
      <c r="A27" s="71" t="n"/>
      <c r="B27" s="71" t="n"/>
      <c r="C27" s="71" t="n"/>
      <c r="D27" s="71" t="n"/>
      <c r="E27" s="62" t="n"/>
      <c r="F27" s="242" t="n"/>
      <c r="G27" s="69" t="n"/>
    </row>
    <row r="28" ht="26.1" customHeight="1">
      <c r="A28" s="81">
        <f>"*FX rate  USD:  "&amp;UAE!C6</f>
        <v/>
      </c>
      <c r="B28" s="101">
        <f>3.6725*0.97</f>
        <v/>
      </c>
      <c r="C28" s="62" t="n"/>
      <c r="D28" s="182" t="inlineStr">
        <is>
          <t>EOR/PEO Service Cost</t>
        </is>
      </c>
      <c r="E28" s="243" t="n"/>
      <c r="F28" s="244">
        <f>F25</f>
        <v/>
      </c>
      <c r="G28" s="54" t="n"/>
    </row>
    <row r="29" ht="15.95" customFormat="1" customHeight="1" s="53">
      <c r="A29" s="80" t="n"/>
      <c r="B29" s="80" t="n"/>
      <c r="C29" s="62" t="n"/>
      <c r="D29" s="184" t="inlineStr">
        <is>
          <t xml:space="preserve">Outstanding payment </t>
        </is>
      </c>
      <c r="F29" s="245">
        <f>UAE!E22</f>
        <v/>
      </c>
      <c r="G29" s="52" t="n"/>
    </row>
    <row r="30" ht="14.45" customFormat="1" customHeight="1" s="53">
      <c r="A30" s="80" t="n"/>
      <c r="B30" s="80" t="n"/>
      <c r="C30" s="62" t="n"/>
      <c r="D30" s="184" t="inlineStr">
        <is>
          <t xml:space="preserve">FX difference </t>
        </is>
      </c>
      <c r="F30" s="245">
        <f>UAE!E23</f>
        <v/>
      </c>
      <c r="G30" s="52" t="n"/>
    </row>
    <row r="31" ht="14.45" customHeight="1">
      <c r="A31" s="80" t="n"/>
      <c r="B31" s="80" t="n"/>
      <c r="C31" s="62" t="n"/>
      <c r="D31" s="184" t="inlineStr">
        <is>
          <t xml:space="preserve">Interests of delay </t>
        </is>
      </c>
      <c r="F31" s="245">
        <f>UAE!E24</f>
        <v/>
      </c>
      <c r="G31" s="54" t="n"/>
    </row>
    <row r="32" ht="15" customHeight="1" thickBot="1">
      <c r="A32" s="80" t="n"/>
      <c r="B32" s="80" t="n"/>
      <c r="C32" s="60" t="n"/>
      <c r="D32" s="186" t="inlineStr">
        <is>
          <t xml:space="preserve">Bank Charges </t>
        </is>
      </c>
      <c r="E32" s="246" t="n"/>
      <c r="F32" s="247">
        <f>UAE!E25</f>
        <v/>
      </c>
      <c r="G32" s="54" t="n"/>
    </row>
    <row r="33" ht="14.45" customHeight="1">
      <c r="A33" s="80" t="n"/>
      <c r="B33" s="80" t="n"/>
      <c r="C33" s="62" t="n"/>
      <c r="D33" s="188" t="inlineStr">
        <is>
          <t xml:space="preserve">Sub Total (Excluding Tax)		</t>
        </is>
      </c>
      <c r="F33" s="248">
        <f>SUM(F28:F32)</f>
        <v/>
      </c>
      <c r="G33" s="54" t="n"/>
    </row>
    <row r="34" ht="14.45" customHeight="1">
      <c r="A34" s="80" t="n"/>
      <c r="B34" s="80" t="n"/>
      <c r="C34" s="62" t="n"/>
      <c r="D34" s="190" t="inlineStr">
        <is>
          <t>Tax</t>
        </is>
      </c>
      <c r="F34" s="248">
        <f>UAE!F6/'PN'!B28</f>
        <v/>
      </c>
      <c r="G34" s="54" t="n"/>
    </row>
    <row r="35" ht="15" customHeight="1" thickBot="1">
      <c r="A35" s="70" t="n"/>
      <c r="B35" s="70" t="n"/>
      <c r="C35" s="62" t="n"/>
      <c r="D35" s="192" t="inlineStr">
        <is>
          <t xml:space="preserve">Total		</t>
        </is>
      </c>
      <c r="E35" s="249" t="n"/>
      <c r="F35" s="250">
        <f>SUM(F33:F34)</f>
        <v/>
      </c>
      <c r="G35" s="54" t="n"/>
      <c r="H35" s="251" t="n"/>
    </row>
    <row r="36" ht="14.45" customHeight="1">
      <c r="A36" s="159" t="n"/>
      <c r="B36" s="159" t="n"/>
      <c r="C36" s="159" t="n"/>
      <c r="D36" s="159" t="n"/>
      <c r="E36" s="60" t="n"/>
      <c r="F36" s="60" t="n"/>
      <c r="G36" s="54" t="n"/>
    </row>
    <row r="37" ht="14.45" customHeight="1">
      <c r="A37" s="159" t="n"/>
      <c r="B37" s="159" t="n"/>
      <c r="C37" s="159" t="n"/>
      <c r="D37" s="159" t="n"/>
      <c r="E37" s="60" t="n"/>
      <c r="F37" s="60" t="n"/>
      <c r="G37" s="54" t="n"/>
    </row>
    <row r="38">
      <c r="G38" s="54" t="n"/>
    </row>
    <row r="39" ht="18.95" customHeight="1">
      <c r="A39" s="162" t="inlineStr">
        <is>
          <t xml:space="preserve">Please pay the Invoice in FULL AMOUNT </t>
        </is>
      </c>
    </row>
    <row r="40" ht="60.95" customHeight="1">
      <c r="A40" s="180" t="inlineStr">
        <is>
          <t>Beneficiary: NNROAD, INC.
Bank Name: Chase Bank
Bank Account: 132827913
Bank Add.: 690 River Oaks Parkway Ste A, San Jose, CA 95134, USA</t>
        </is>
      </c>
      <c r="C40" s="252" t="n"/>
      <c r="D40" s="181" t="inlineStr">
        <is>
          <t xml:space="preserve">
SWIFT BIC (international transfer): CHASUS33XXX
Routing Number (domestic wire transfer): 021000021
Routing Number (domestic ACH and direct deposit): 322271627</t>
        </is>
      </c>
    </row>
    <row r="41">
      <c r="A41" s="46" t="inlineStr">
        <is>
          <t>Notes:</t>
        </is>
      </c>
    </row>
    <row r="42" ht="11.1" customHeight="1">
      <c r="A42" s="61" t="inlineStr">
        <is>
          <t>1. Please ensure that you include the Invoice Number when making your payment. This will help us accurately process and allocate your payment .</t>
        </is>
      </c>
      <c r="B42" s="61" t="n"/>
      <c r="C42" s="61" t="n"/>
      <c r="D42" s="61" t="n"/>
      <c r="E42" s="61" t="n"/>
      <c r="F42" s="61" t="n"/>
    </row>
    <row r="43">
      <c r="A43" s="61" t="inlineStr">
        <is>
          <t>2. This document becomes a Tax Invoice/Receipt upon payment. Please retain a copy for your records.</t>
        </is>
      </c>
    </row>
    <row r="44">
      <c r="A44" s="61" t="inlineStr">
        <is>
          <t>3. This is a computer generated document.  No Signature required.</t>
        </is>
      </c>
    </row>
  </sheetData>
  <mergeCells count="28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C40"/>
    <mergeCell ref="D28:E28"/>
    <mergeCell ref="A25:D25"/>
    <mergeCell ref="A15:C15"/>
    <mergeCell ref="A39:F39"/>
    <mergeCell ref="A24:C24"/>
    <mergeCell ref="D30:E30"/>
    <mergeCell ref="D33:E33"/>
    <mergeCell ref="D29:E29"/>
    <mergeCell ref="D40:F40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4" zoomScale="130" zoomScaleNormal="130" workbookViewId="0">
      <selection activeCell="M15" sqref="M15"/>
    </sheetView>
  </sheetViews>
  <sheetFormatPr baseColWidth="8" defaultColWidth="9.140625" defaultRowHeight="12.95"/>
  <cols>
    <col width="8.85546875" bestFit="1" customWidth="1" style="1" min="1" max="1"/>
    <col width="18" bestFit="1" customWidth="1" style="2" min="2" max="2"/>
    <col width="11" bestFit="1" customWidth="1" style="2" min="3" max="3"/>
    <col width="7.42578125" customWidth="1" style="2" min="4" max="4"/>
    <col width="8.42578125" bestFit="1" customWidth="1" style="2" min="5" max="5"/>
    <col width="6.85546875" bestFit="1" customWidth="1" style="2" min="6" max="6"/>
    <col width="7.42578125" bestFit="1" customWidth="1" style="2" min="7" max="7"/>
    <col width="10.5703125" customWidth="1" style="2" min="8" max="8"/>
    <col width="8.42578125" bestFit="1" customWidth="1" style="2" min="9" max="10"/>
    <col width="8" bestFit="1" customWidth="1" style="2" min="11" max="11"/>
    <col width="7.42578125" bestFit="1" customWidth="1" style="2" min="12" max="12"/>
    <col width="8.42578125" bestFit="1" customWidth="1" style="2" min="13" max="13"/>
    <col width="7.85546875" bestFit="1" customWidth="1" style="2" min="14" max="14"/>
    <col width="8.5703125" bestFit="1" customWidth="1" style="2" min="15" max="15"/>
    <col width="8" bestFit="1" customWidth="1" style="2" min="16" max="16"/>
    <col width="6.85546875" bestFit="1" customWidth="1" style="2" min="17" max="18"/>
    <col width="7.42578125" bestFit="1" customWidth="1" style="2" min="19" max="20"/>
    <col width="5.5703125" bestFit="1" customWidth="1" style="2" min="21" max="21"/>
    <col width="10.140625" bestFit="1" customWidth="1" style="2" min="22" max="22"/>
    <col width="10.85546875" bestFit="1" customWidth="1" style="2" min="23" max="23"/>
    <col width="4.5703125" bestFit="1" customWidth="1" style="2" min="24" max="24"/>
    <col width="5.140625" bestFit="1" customWidth="1" style="2" min="25" max="25"/>
    <col width="8.85546875" bestFit="1" customWidth="1" style="2" min="26" max="26"/>
    <col width="4.5703125" bestFit="1" customWidth="1" style="2" min="27" max="27"/>
    <col width="12" bestFit="1" customWidth="1" style="2" min="28" max="28"/>
    <col width="5" bestFit="1" customWidth="1" style="2" min="29" max="29"/>
    <col width="12.42578125" bestFit="1" customWidth="1" style="2" min="30" max="30"/>
    <col width="8.140625" bestFit="1" customWidth="1" style="2" min="31" max="32"/>
    <col width="9.140625" customWidth="1" style="2" min="33" max="16384"/>
  </cols>
  <sheetData>
    <row r="1" ht="13.5" customHeight="1" thickBot="1">
      <c r="A1" s="1" t="inlineStr">
        <is>
          <t>UAE</t>
        </is>
      </c>
    </row>
    <row r="2" ht="13.5" customHeight="1" thickBot="1">
      <c r="A2" s="3" t="inlineStr">
        <is>
          <t>Pay Period</t>
        </is>
      </c>
      <c r="B2" s="253">
        <f>'UAE-L'!F3</f>
        <v/>
      </c>
      <c r="C2" s="253">
        <f>'UAE-L'!G3</f>
        <v/>
      </c>
      <c r="E2" s="85" t="inlineStr">
        <is>
          <t>ER</t>
        </is>
      </c>
    </row>
    <row r="3" ht="14.1" customFormat="1" customHeight="1" s="5">
      <c r="A3" s="3" t="n"/>
      <c r="B3" s="4" t="n"/>
      <c r="E3" s="196" t="inlineStr">
        <is>
          <t>Sum</t>
        </is>
      </c>
      <c r="F3" s="198" t="inlineStr">
        <is>
          <t>Business
Tax</t>
        </is>
      </c>
      <c r="G3" s="200" t="inlineStr">
        <is>
          <t>Management Fee</t>
        </is>
      </c>
      <c r="H3" s="254" t="n"/>
      <c r="I3" s="202" t="inlineStr">
        <is>
          <t>Gross Salary</t>
        </is>
      </c>
      <c r="J3" s="254" t="n"/>
      <c r="K3" s="254" t="n"/>
      <c r="L3" s="254" t="n"/>
      <c r="M3" s="254" t="n"/>
      <c r="N3" s="254" t="n"/>
      <c r="O3" s="254" t="n"/>
      <c r="P3" s="254" t="n"/>
      <c r="Q3" s="254" t="n"/>
      <c r="R3" s="254" t="n"/>
      <c r="S3" s="194" t="inlineStr">
        <is>
          <t>Mandatory Contribution</t>
        </is>
      </c>
      <c r="T3" s="254" t="n"/>
      <c r="U3" s="254" t="n"/>
      <c r="V3" s="254" t="n"/>
      <c r="W3" s="254" t="n"/>
      <c r="X3" s="254" t="n"/>
      <c r="Y3" s="254" t="n"/>
      <c r="Z3" s="254" t="n"/>
      <c r="AA3" s="254" t="n"/>
      <c r="AB3" s="254" t="n"/>
      <c r="AC3" s="254" t="n"/>
      <c r="AD3" s="255" t="n"/>
      <c r="AE3" s="194" t="inlineStr">
        <is>
          <t>Expense Claim</t>
        </is>
      </c>
      <c r="AF3" s="255" t="n"/>
    </row>
    <row r="4" ht="65.45" customFormat="1" customHeight="1" s="5" thickBot="1">
      <c r="E4" s="256" t="n"/>
      <c r="F4" s="257" t="n"/>
      <c r="G4" s="199" t="inlineStr">
        <is>
          <t>Subtotal</t>
        </is>
      </c>
      <c r="H4" s="6" t="inlineStr">
        <is>
          <t>Recurring
Fee</t>
        </is>
      </c>
      <c r="I4" s="199" t="inlineStr">
        <is>
          <t>Subtotal</t>
        </is>
      </c>
      <c r="J4" s="6" t="inlineStr">
        <is>
          <t>EC - Basic Salary</t>
        </is>
      </c>
      <c r="K4" s="6" t="inlineStr">
        <is>
          <t>EC - Housing Allowance</t>
        </is>
      </c>
      <c r="L4" s="6" t="inlineStr">
        <is>
          <t>EC - Transport Allowance</t>
        </is>
      </c>
      <c r="M4" s="6" t="inlineStr">
        <is>
          <t>EC - School Allowance</t>
        </is>
      </c>
      <c r="N4" s="6" t="inlineStr">
        <is>
          <t>EC - Other allowance</t>
        </is>
      </c>
      <c r="O4" s="6" t="inlineStr">
        <is>
          <t>EC - Mobile Allowance</t>
        </is>
      </c>
      <c r="P4" s="6" t="inlineStr">
        <is>
          <t>EC - Food Allowance</t>
        </is>
      </c>
      <c r="Q4" s="6" t="inlineStr">
        <is>
          <t>EC - OT1</t>
        </is>
      </c>
      <c r="R4" s="6" t="inlineStr">
        <is>
          <t>EC - OT2</t>
        </is>
      </c>
      <c r="S4" s="199" t="inlineStr">
        <is>
          <t>Subtotal</t>
        </is>
      </c>
      <c r="T4" s="155">
        <f>'UAE-L'!AS2</f>
        <v/>
      </c>
      <c r="U4" s="155">
        <f>'UAE-L'!AT2</f>
        <v/>
      </c>
      <c r="V4" s="155">
        <f>'UAE-L'!AU2</f>
        <v/>
      </c>
      <c r="W4" s="155">
        <f>'UAE-L'!AV2</f>
        <v/>
      </c>
      <c r="X4" s="155">
        <f>'UAE-L'!AX2</f>
        <v/>
      </c>
      <c r="Y4" s="155">
        <f>'UAE-L'!AY2</f>
        <v/>
      </c>
      <c r="Z4" s="155">
        <f>'UAE-L'!AZ2</f>
        <v/>
      </c>
      <c r="AA4" s="155">
        <f>'UAE-L'!BA2</f>
        <v/>
      </c>
      <c r="AB4" s="155">
        <f>'UAE-L'!BB2</f>
        <v/>
      </c>
      <c r="AC4" s="155">
        <f>'UAE-L'!BC2</f>
        <v/>
      </c>
      <c r="AD4" s="155">
        <f>'UAE-L'!BD2</f>
        <v/>
      </c>
      <c r="AE4" s="199" t="inlineStr">
        <is>
          <t>Subtotal</t>
        </is>
      </c>
      <c r="AF4" s="84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9" t="n"/>
    </row>
    <row r="6" customFormat="1" s="11">
      <c r="A6" s="10" t="n"/>
      <c r="B6" s="11" t="inlineStr">
        <is>
          <t>Sum</t>
        </is>
      </c>
      <c r="C6" s="11" t="inlineStr">
        <is>
          <t>AED</t>
        </is>
      </c>
      <c r="E6" s="15">
        <f>SUM(E9:E17)</f>
        <v/>
      </c>
      <c r="F6" s="16">
        <f>SUM(F9:F17)</f>
        <v/>
      </c>
      <c r="G6" s="16">
        <f>SUM(G9:G17)</f>
        <v/>
      </c>
      <c r="H6" s="16">
        <f>SUM(H9:H17)</f>
        <v/>
      </c>
      <c r="I6" s="16">
        <f>SUM(I9:I17)</f>
        <v/>
      </c>
      <c r="J6" s="16">
        <f>SUM(J9:J17)</f>
        <v/>
      </c>
      <c r="K6" s="16">
        <f>SUM(K9:K17)</f>
        <v/>
      </c>
      <c r="L6" s="16">
        <f>SUM(L9:L17)</f>
        <v/>
      </c>
      <c r="M6" s="16">
        <f>SUM(M9:M17)</f>
        <v/>
      </c>
      <c r="N6" s="16">
        <f>SUM(N9:N17)</f>
        <v/>
      </c>
      <c r="O6" s="16">
        <f>SUM(O9:O17)</f>
        <v/>
      </c>
      <c r="P6" s="16">
        <f>SUM(P9:P17)</f>
        <v/>
      </c>
      <c r="Q6" s="16">
        <f>SUM(Q9:Q17)</f>
        <v/>
      </c>
      <c r="R6" s="16">
        <f>SUM(R9:R17)</f>
        <v/>
      </c>
      <c r="S6" s="16">
        <f>SUM(S9:S17)</f>
        <v/>
      </c>
      <c r="T6" s="16">
        <f>SUM(T9:T17)</f>
        <v/>
      </c>
      <c r="U6" s="16">
        <f>SUM(U9:U17)</f>
        <v/>
      </c>
      <c r="V6" s="16">
        <f>SUM(V9:V17)</f>
        <v/>
      </c>
      <c r="W6" s="16">
        <f>SUM(W9:W17)</f>
        <v/>
      </c>
      <c r="X6" s="16">
        <f>SUM(X9:X17)</f>
        <v/>
      </c>
      <c r="Y6" s="16">
        <f>SUM(Y9:Y17)</f>
        <v/>
      </c>
      <c r="Z6" s="16">
        <f>SUM(Z9:Z17)</f>
        <v/>
      </c>
      <c r="AA6" s="16">
        <f>SUM(AA9:AA17)</f>
        <v/>
      </c>
      <c r="AB6" s="16">
        <f>SUM(AB9:AB17)</f>
        <v/>
      </c>
      <c r="AC6" s="16">
        <f>SUM(AC9:AC17)</f>
        <v/>
      </c>
      <c r="AD6" s="16">
        <f>SUM(AD9:AD17)</f>
        <v/>
      </c>
      <c r="AE6" s="16">
        <f>SUM(AE9:AE17)</f>
        <v/>
      </c>
      <c r="AF6" s="17">
        <f>SUM(AF9:AF17)</f>
        <v/>
      </c>
    </row>
    <row r="7" customFormat="1" s="11">
      <c r="E7" s="15" t="inlineStr">
        <is>
          <t>Prev VAT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7" t="n"/>
    </row>
    <row r="8" customFormat="1" s="11">
      <c r="A8" s="18" t="n"/>
      <c r="E8" s="15" t="inlineStr">
        <is>
          <t>Curr VAT</t>
        </is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7" t="n"/>
    </row>
    <row r="9" customFormat="1" s="11">
      <c r="A9" s="10" t="n"/>
      <c r="B9" s="11">
        <f>'UAE-L'!B3</f>
        <v/>
      </c>
      <c r="C9" s="11">
        <f>'UAE EE'!D10</f>
        <v/>
      </c>
      <c r="E9" s="15">
        <f>F9+G9+I9+S9+AE9</f>
        <v/>
      </c>
      <c r="F9" s="16" t="n"/>
      <c r="G9" s="16">
        <f>SUM(H9:H9)</f>
        <v/>
      </c>
      <c r="H9" s="16">
        <f>1968</f>
        <v/>
      </c>
      <c r="I9" s="16">
        <f>SUM(J9:R9)</f>
        <v/>
      </c>
      <c r="J9" s="16">
        <f>'UAE-L'!I3</f>
        <v/>
      </c>
      <c r="K9" s="16">
        <f>'UAE-L'!J3</f>
        <v/>
      </c>
      <c r="L9" s="16">
        <f>'UAE-L'!K3</f>
        <v/>
      </c>
      <c r="M9" s="16">
        <f>'UAE-L'!L3</f>
        <v/>
      </c>
      <c r="N9" s="16">
        <f>'UAE-L'!M3</f>
        <v/>
      </c>
      <c r="O9" s="16">
        <f>'UAE-L'!N3</f>
        <v/>
      </c>
      <c r="P9" s="16">
        <f>'UAE-L'!O3</f>
        <v/>
      </c>
      <c r="Q9" s="16">
        <f>'UAE-L'!R3</f>
        <v/>
      </c>
      <c r="R9" s="16">
        <f>'UAE-L'!S3</f>
        <v/>
      </c>
      <c r="S9" s="16">
        <f>SUM(T9:AD9)</f>
        <v/>
      </c>
      <c r="T9" s="16">
        <f>'UAE-L'!AS3</f>
        <v/>
      </c>
      <c r="U9" s="16">
        <f>'UAE-L'!AT3</f>
        <v/>
      </c>
      <c r="V9" s="16">
        <f>'UAE-L'!AU3</f>
        <v/>
      </c>
      <c r="W9" s="16">
        <f>'UAE-L'!AV3</f>
        <v/>
      </c>
      <c r="X9" s="16">
        <f>'UAE-L'!AX3</f>
        <v/>
      </c>
      <c r="Y9" s="16">
        <f>'UAE-L'!AY3</f>
        <v/>
      </c>
      <c r="Z9" s="16">
        <f>'UAE-L'!AZ3*1.5</f>
        <v/>
      </c>
      <c r="AA9" s="16">
        <f>'UAE-L'!BA3</f>
        <v/>
      </c>
      <c r="AB9" s="16">
        <f>'UAE-L'!BB3</f>
        <v/>
      </c>
      <c r="AC9" s="16">
        <f>'UAE-L'!BC3</f>
        <v/>
      </c>
      <c r="AD9" s="16">
        <f>'UAE-L'!BD3</f>
        <v/>
      </c>
      <c r="AE9" s="16">
        <f>SUM(AF9:AF9)</f>
        <v/>
      </c>
      <c r="AF9" s="17">
        <f>'UAE-L'!AM3</f>
        <v/>
      </c>
    </row>
    <row r="10" customFormat="1" s="11">
      <c r="A10" s="10" t="n"/>
      <c r="E10" s="15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7" t="n"/>
    </row>
    <row r="11" customFormat="1" s="11">
      <c r="A11" s="10" t="n"/>
      <c r="E11" s="15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7" t="n"/>
    </row>
    <row r="12" customFormat="1" s="11">
      <c r="A12" s="10" t="n"/>
      <c r="E12" s="15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7" t="n"/>
    </row>
    <row r="13" customFormat="1" s="11">
      <c r="A13" s="10" t="n"/>
      <c r="E13" s="15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7" t="n"/>
    </row>
    <row r="14" customFormat="1" s="11">
      <c r="A14" s="10" t="n"/>
      <c r="E14" s="15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7" t="n"/>
    </row>
    <row r="15" customFormat="1" s="11">
      <c r="A15" s="10" t="n"/>
      <c r="E15" s="15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7" t="n"/>
    </row>
    <row r="16" customFormat="1" s="11">
      <c r="A16" s="10" t="n"/>
      <c r="E16" s="15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7" t="n"/>
    </row>
    <row r="17" ht="13.5" customFormat="1" customHeight="1" s="11" thickBot="1">
      <c r="A17" s="10" t="n"/>
      <c r="E17" s="19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1" t="n"/>
    </row>
    <row r="18">
      <c r="E18" s="30" t="n"/>
    </row>
    <row r="19">
      <c r="J19" s="30" t="n"/>
    </row>
    <row r="20" ht="15" customFormat="1" customHeight="1" s="26" thickBot="1">
      <c r="A20" s="25" t="n"/>
    </row>
    <row r="21" ht="14.45" customFormat="1" customHeight="1" s="26">
      <c r="A21" s="25" t="inlineStr">
        <is>
          <t>Other Fee</t>
        </is>
      </c>
      <c r="B21" s="37" t="n"/>
      <c r="C21" s="37" t="n"/>
      <c r="D21" s="37" t="n"/>
      <c r="E21" s="38">
        <f>SUM(E22:E26)</f>
        <v/>
      </c>
      <c r="F21" s="39" t="n">
        <v>0</v>
      </c>
      <c r="G21" s="29" t="n"/>
    </row>
    <row r="22" ht="14.45" customFormat="1" customHeight="1" s="26">
      <c r="A22" s="25" t="n"/>
      <c r="B22" s="37" t="inlineStr">
        <is>
          <t xml:space="preserve">Outstanding payment </t>
        </is>
      </c>
      <c r="C22" s="37" t="n"/>
      <c r="D22" s="37" t="n"/>
      <c r="E22" s="40" t="n">
        <v>0</v>
      </c>
      <c r="F22" s="41" t="n"/>
    </row>
    <row r="23" ht="14.45" customFormat="1" customHeight="1" s="26">
      <c r="A23" s="25" t="n"/>
      <c r="B23" s="37" t="inlineStr">
        <is>
          <t xml:space="preserve">FX difference </t>
        </is>
      </c>
      <c r="C23" s="37" t="n"/>
      <c r="D23" s="37" t="n"/>
      <c r="E23" s="40" t="n">
        <v>0</v>
      </c>
      <c r="F23" s="41" t="n"/>
    </row>
    <row r="24" ht="14.45" customFormat="1" customHeight="1" s="26">
      <c r="A24" s="25" t="n"/>
      <c r="B24" s="37" t="inlineStr">
        <is>
          <t>Interests of delay</t>
        </is>
      </c>
      <c r="C24" s="37" t="n"/>
      <c r="D24" s="37" t="n"/>
      <c r="E24" s="40" t="n">
        <v>0</v>
      </c>
      <c r="F24" s="41" t="n"/>
    </row>
    <row r="25" ht="14.45" customFormat="1" customHeight="1" s="26">
      <c r="A25" s="25" t="n"/>
      <c r="B25" s="37" t="inlineStr">
        <is>
          <t>Bank Charges</t>
        </is>
      </c>
      <c r="C25" s="37" t="n"/>
      <c r="D25" s="37" t="n"/>
      <c r="E25" s="40" t="n">
        <v>10</v>
      </c>
      <c r="F25" s="41" t="n"/>
    </row>
    <row r="26" ht="15" customFormat="1" customHeight="1" s="26" thickBot="1">
      <c r="A26" s="25" t="n"/>
      <c r="B26" s="37" t="inlineStr">
        <is>
          <t xml:space="preserve">Invoice adjustment </t>
        </is>
      </c>
      <c r="C26" s="37" t="n"/>
      <c r="D26" s="37" t="n"/>
      <c r="E26" s="42" t="n">
        <v>0</v>
      </c>
      <c r="F26" s="43" t="n"/>
    </row>
  </sheetData>
  <mergeCells count="6">
    <mergeCell ref="AE3:AF3"/>
    <mergeCell ref="E3:E4"/>
    <mergeCell ref="F3:F4"/>
    <mergeCell ref="I3:R3"/>
    <mergeCell ref="S3:AD3"/>
    <mergeCell ref="G3:H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zoomScale="120" zoomScaleNormal="120" workbookViewId="0">
      <selection activeCell="E22" sqref="E22"/>
    </sheetView>
  </sheetViews>
  <sheetFormatPr baseColWidth="8" defaultColWidth="9.140625" defaultRowHeight="12.95"/>
  <cols>
    <col width="12.140625" bestFit="1" customWidth="1" style="1" min="1" max="1"/>
    <col width="9.42578125" bestFit="1" customWidth="1" style="2" min="2" max="2"/>
    <col width="10.42578125" bestFit="1" customWidth="1" style="2" min="3" max="3"/>
    <col width="12.5703125" bestFit="1" customWidth="1" style="2" min="4" max="4"/>
    <col width="17.42578125" bestFit="1" customWidth="1" style="2" min="5" max="5"/>
    <col width="9.85546875" customWidth="1" style="2" min="6" max="6"/>
    <col width="10" customWidth="1" style="2" min="7" max="7"/>
    <col width="8.42578125" bestFit="1" customWidth="1" style="2" min="8" max="9"/>
    <col width="9.140625" bestFit="1" customWidth="1" style="2" min="10" max="10"/>
    <col width="8.140625" bestFit="1" customWidth="1" style="2" min="11" max="11"/>
    <col width="7.42578125" bestFit="1" customWidth="1" style="2" min="12" max="12"/>
    <col width="8.140625" bestFit="1" customWidth="1" style="2" min="13" max="16"/>
    <col width="4.5703125" bestFit="1" customWidth="1" style="2" min="17" max="18"/>
    <col width="9.5703125" bestFit="1" customWidth="1" style="2" min="19" max="19"/>
    <col width="7.42578125" bestFit="1" customWidth="1" style="2" min="20" max="21"/>
    <col width="6.5703125" bestFit="1" customWidth="1" style="2" min="22" max="22"/>
    <col width="5" bestFit="1" customWidth="1" style="2" min="23" max="23"/>
    <col width="7.85546875" bestFit="1" customWidth="1" style="2" min="24" max="24"/>
    <col width="9.140625" customWidth="1" style="2" min="25" max="16384"/>
  </cols>
  <sheetData>
    <row r="1" ht="13.5" customHeight="1" thickBot="1">
      <c r="A1" s="1" t="inlineStr">
        <is>
          <t>UAE EE</t>
        </is>
      </c>
      <c r="C1" s="4" t="n"/>
      <c r="D1" s="4" t="n"/>
      <c r="E1" s="4" t="n"/>
      <c r="F1" s="4" t="n"/>
      <c r="H1" s="24" t="n"/>
    </row>
    <row r="2" ht="13.5" customHeight="1" thickBot="1">
      <c r="A2" s="3" t="n"/>
      <c r="B2" s="4" t="n"/>
      <c r="C2" s="4" t="n"/>
      <c r="D2" s="4" t="n"/>
      <c r="E2" s="4" t="n"/>
      <c r="F2" s="4" t="n"/>
      <c r="H2" s="23" t="inlineStr">
        <is>
          <t>EE</t>
        </is>
      </c>
    </row>
    <row r="3" ht="14.1" customFormat="1" customHeight="1" s="5" thickBot="1">
      <c r="A3" s="31" t="n"/>
      <c r="B3" s="204" t="inlineStr">
        <is>
          <t>Client Code</t>
        </is>
      </c>
      <c r="C3" s="204" t="inlineStr">
        <is>
          <t>Client Name</t>
        </is>
      </c>
      <c r="D3" s="204" t="inlineStr">
        <is>
          <t>EE Code</t>
        </is>
      </c>
      <c r="E3" s="204" t="inlineStr">
        <is>
          <t>EE Name</t>
        </is>
      </c>
      <c r="F3" s="205" t="inlineStr">
        <is>
          <t>Pay Period</t>
        </is>
      </c>
      <c r="G3" s="254" t="n"/>
      <c r="H3" s="209" t="inlineStr">
        <is>
          <t>Net
Income</t>
        </is>
      </c>
      <c r="I3" s="210" t="inlineStr">
        <is>
          <t>Gross Salary</t>
        </is>
      </c>
      <c r="J3" s="254" t="n"/>
      <c r="K3" s="254" t="n"/>
      <c r="L3" s="254" t="n"/>
      <c r="M3" s="254" t="n"/>
      <c r="N3" s="254" t="n"/>
      <c r="O3" s="254" t="n"/>
      <c r="P3" s="254" t="n"/>
      <c r="Q3" s="254" t="n"/>
      <c r="R3" s="254" t="n"/>
      <c r="S3" s="254" t="n"/>
      <c r="T3" s="206" t="inlineStr">
        <is>
          <t>Expense Claim</t>
        </is>
      </c>
      <c r="U3" s="255" t="n"/>
      <c r="V3" s="206" t="inlineStr">
        <is>
          <t>Mandatory Contribution</t>
        </is>
      </c>
      <c r="W3" s="255" t="n"/>
      <c r="X3" s="207" t="inlineStr">
        <is>
          <t>Deduction</t>
        </is>
      </c>
    </row>
    <row r="4" ht="52.5" customFormat="1" customHeight="1" s="5" thickBot="1">
      <c r="A4" s="31" t="n"/>
      <c r="B4" s="256" t="n"/>
      <c r="C4" s="256" t="n"/>
      <c r="D4" s="256" t="n"/>
      <c r="E4" s="256" t="n"/>
      <c r="F4" s="32" t="inlineStr">
        <is>
          <t>From</t>
        </is>
      </c>
      <c r="G4" s="32" t="inlineStr">
        <is>
          <t>To</t>
        </is>
      </c>
      <c r="H4" s="256" t="n"/>
      <c r="I4" s="82" t="inlineStr">
        <is>
          <t>Subtotal</t>
        </is>
      </c>
      <c r="J4" s="83" t="inlineStr">
        <is>
          <t>Basic Salary</t>
        </is>
      </c>
      <c r="K4" s="83" t="inlineStr">
        <is>
          <t>Housing Allowance</t>
        </is>
      </c>
      <c r="L4" s="83" t="inlineStr">
        <is>
          <t>Transport Allowance</t>
        </is>
      </c>
      <c r="M4" s="83" t="inlineStr">
        <is>
          <t>School Allowance</t>
        </is>
      </c>
      <c r="N4" s="83" t="inlineStr">
        <is>
          <t>Mobile Allowance</t>
        </is>
      </c>
      <c r="O4" s="83" t="inlineStr">
        <is>
          <t>Food Allowance</t>
        </is>
      </c>
      <c r="P4" s="83" t="inlineStr">
        <is>
          <t>Other Allowance</t>
        </is>
      </c>
      <c r="Q4" s="83" t="inlineStr">
        <is>
          <t>OT1</t>
        </is>
      </c>
      <c r="R4" s="83" t="inlineStr">
        <is>
          <t>OT2</t>
        </is>
      </c>
      <c r="S4" s="83" t="inlineStr">
        <is>
          <t>Other Adjustments</t>
        </is>
      </c>
      <c r="T4" s="82" t="inlineStr">
        <is>
          <t>Subtotal</t>
        </is>
      </c>
      <c r="U4" s="83" t="inlineStr">
        <is>
          <t>Expense
Claim</t>
        </is>
      </c>
      <c r="V4" s="82" t="inlineStr">
        <is>
          <t>Subtotal</t>
        </is>
      </c>
      <c r="W4" s="83" t="inlineStr">
        <is>
          <t>Other</t>
        </is>
      </c>
      <c r="X4" s="258" t="n"/>
    </row>
    <row r="5" ht="15" customFormat="1" customHeight="1" s="5" thickBot="1">
      <c r="A5" s="25" t="n"/>
      <c r="B5" s="33" t="n"/>
      <c r="C5" s="33" t="n"/>
      <c r="D5" s="33" t="n"/>
      <c r="E5" s="33" t="n"/>
      <c r="F5" s="33" t="n"/>
      <c r="G5" s="33" t="n"/>
      <c r="H5" s="7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9" t="n"/>
    </row>
    <row r="6" ht="14.45" customFormat="1" customHeight="1" s="11">
      <c r="A6" s="27" t="inlineStr">
        <is>
          <t>EOR/PEO(AED)</t>
        </is>
      </c>
      <c r="B6" s="34" t="n"/>
      <c r="C6" s="34" t="n"/>
      <c r="D6" s="34" t="n"/>
      <c r="E6" s="34" t="n"/>
      <c r="F6" s="34" t="n"/>
      <c r="G6" s="34" t="n"/>
      <c r="H6" s="12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4" t="n"/>
    </row>
    <row r="7" ht="14.45" customFormat="1" customHeight="1" s="11">
      <c r="A7" s="27" t="n"/>
      <c r="B7" s="34" t="n"/>
      <c r="C7" s="34" t="n"/>
      <c r="D7" s="34" t="n"/>
      <c r="E7" s="34" t="n"/>
      <c r="F7" s="34" t="n"/>
      <c r="G7" s="34" t="n"/>
      <c r="H7" s="15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7" t="n"/>
    </row>
    <row r="8" ht="14.45" customFormat="1" customHeight="1" s="11">
      <c r="A8" s="35" t="n"/>
      <c r="B8" s="36" t="n"/>
      <c r="C8" s="36" t="n"/>
      <c r="D8" s="36" t="n"/>
      <c r="E8" s="36" t="n"/>
      <c r="F8" s="36" t="n"/>
      <c r="G8" s="36" t="n"/>
      <c r="H8" s="15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7" t="n"/>
    </row>
    <row r="9" ht="14.45" customFormat="1" customHeight="1" s="11">
      <c r="A9" s="35" t="n"/>
      <c r="B9" s="28" t="n"/>
      <c r="C9" s="28" t="n"/>
      <c r="D9" s="28" t="n"/>
      <c r="E9" s="28" t="n"/>
      <c r="F9" s="28" t="n"/>
      <c r="G9" s="28" t="n"/>
      <c r="H9" s="15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7" t="n"/>
    </row>
    <row r="10" ht="14.45" customFormat="1" customHeight="1" s="11">
      <c r="A10" s="27" t="n"/>
      <c r="B10" s="28">
        <f>PN!$B$9</f>
        <v/>
      </c>
      <c r="C10" s="28">
        <f>PN!B8</f>
        <v/>
      </c>
      <c r="D10" s="28" t="n"/>
      <c r="E10" s="28">
        <f>'UAE-L'!B3</f>
        <v/>
      </c>
      <c r="F10" s="156">
        <f>'UAE-L'!F3</f>
        <v/>
      </c>
      <c r="G10" s="156">
        <f>'UAE-L'!G3</f>
        <v/>
      </c>
      <c r="H10" s="15">
        <f>I10+T10-V10-X10</f>
        <v/>
      </c>
      <c r="I10" s="16">
        <f>SUM(J10:S10)</f>
        <v/>
      </c>
      <c r="J10" s="16">
        <f>'UAE-L'!AD3</f>
        <v/>
      </c>
      <c r="K10" s="16">
        <f>'UAE-L'!AE3</f>
        <v/>
      </c>
      <c r="L10" s="16">
        <f>'UAE-L'!AF3</f>
        <v/>
      </c>
      <c r="M10" s="16">
        <f>'UAE-L'!AG3</f>
        <v/>
      </c>
      <c r="N10" s="16">
        <f>'UAE-L'!AH3</f>
        <v/>
      </c>
      <c r="O10" s="16">
        <f>'UAE-L'!AI3</f>
        <v/>
      </c>
      <c r="P10" s="16">
        <f>'UAE-L'!AJ3</f>
        <v/>
      </c>
      <c r="Q10" s="16">
        <f>'UAE-L'!AK3</f>
        <v/>
      </c>
      <c r="R10" s="16">
        <f>'UAE-L'!AL3</f>
        <v/>
      </c>
      <c r="S10" s="16" t="n">
        <v>0</v>
      </c>
      <c r="T10" s="16">
        <f>SUM(U10:U10)</f>
        <v/>
      </c>
      <c r="U10" s="16">
        <f>'UAE-L'!AM3</f>
        <v/>
      </c>
      <c r="V10" s="16">
        <f>SUM(W10:W10)</f>
        <v/>
      </c>
      <c r="W10" s="16" t="n">
        <v>0</v>
      </c>
      <c r="X10" s="17">
        <f>'UAE-L'!AN3</f>
        <v/>
      </c>
    </row>
    <row r="11" customFormat="1" s="11">
      <c r="A11" s="10" t="n"/>
      <c r="H11" s="15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7" t="n"/>
    </row>
    <row r="12" customFormat="1" s="11">
      <c r="A12" s="10" t="n"/>
      <c r="H12" s="15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7" t="n"/>
    </row>
    <row r="13" customFormat="1" s="11">
      <c r="A13" s="10" t="n"/>
      <c r="H13" s="15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7" t="n"/>
    </row>
    <row r="14" customFormat="1" s="11">
      <c r="A14" s="10" t="n"/>
      <c r="H14" s="15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7" t="n"/>
    </row>
    <row r="15" customFormat="1" s="11">
      <c r="A15" s="10" t="n"/>
      <c r="H15" s="15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7" t="n"/>
    </row>
    <row r="16" customFormat="1" s="11">
      <c r="A16" s="10" t="n"/>
      <c r="H16" s="15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7" t="n"/>
    </row>
    <row r="17" customFormat="1" s="11">
      <c r="A17" s="10" t="n"/>
      <c r="H17" s="15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7" t="n"/>
    </row>
    <row r="18" ht="13.5" customFormat="1" customHeight="1" s="11" thickBot="1">
      <c r="A18" s="10" t="n"/>
      <c r="H18" s="19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1" t="n"/>
    </row>
  </sheetData>
  <mergeCells count="10">
    <mergeCell ref="F3:G3"/>
    <mergeCell ref="I3:S3"/>
    <mergeCell ref="C3:C4"/>
    <mergeCell ref="B3:B4"/>
    <mergeCell ref="E3:E4"/>
    <mergeCell ref="H3:H4"/>
    <mergeCell ref="D3:D4"/>
    <mergeCell ref="X3:X4"/>
    <mergeCell ref="T3:U3"/>
    <mergeCell ref="V3:W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R4"/>
  <sheetViews>
    <sheetView zoomScale="140" zoomScaleNormal="140" workbookViewId="0">
      <selection activeCell="E19" sqref="E19"/>
    </sheetView>
  </sheetViews>
  <sheetFormatPr baseColWidth="8" defaultColWidth="8.85546875" defaultRowHeight="14.45"/>
  <cols>
    <col width="6.42578125" bestFit="1" customWidth="1" min="1" max="1"/>
    <col width="18.42578125" bestFit="1" customWidth="1" min="2" max="2"/>
    <col width="9.42578125" bestFit="1" customWidth="1" min="3" max="3"/>
    <col width="11" bestFit="1" customWidth="1" min="4" max="4"/>
    <col width="10.85546875" bestFit="1" customWidth="1" min="5" max="5"/>
    <col width="7.42578125" bestFit="1" customWidth="1" min="6" max="6"/>
    <col width="9.85546875" bestFit="1" customWidth="1" min="7" max="7"/>
    <col width="9.42578125" bestFit="1" customWidth="1" min="8" max="8"/>
    <col width="11.42578125" bestFit="1" customWidth="1" min="9" max="9"/>
    <col width="10.140625" bestFit="1" customWidth="1" min="10" max="10"/>
    <col width="13" bestFit="1" customWidth="1" min="11" max="11"/>
    <col width="10.5703125" bestFit="1" customWidth="1" min="12" max="12"/>
    <col width="9.42578125" bestFit="1" customWidth="1" min="13" max="13"/>
    <col width="8.42578125" bestFit="1" customWidth="1" min="14" max="14"/>
    <col width="12.5703125" bestFit="1" customWidth="1" min="15" max="15"/>
    <col width="14.42578125" bestFit="1" customWidth="1" min="16" max="16"/>
    <col width="13.85546875" bestFit="1" customWidth="1" min="17" max="17"/>
    <col width="11.85546875" bestFit="1" customWidth="1" min="18" max="18"/>
    <col width="10.42578125" bestFit="1" customWidth="1" min="19" max="19"/>
    <col width="9.42578125" bestFit="1" customWidth="1" min="21" max="21"/>
  </cols>
  <sheetData>
    <row r="1" ht="12" customFormat="1" customHeight="1" s="107">
      <c r="A1" s="259" t="inlineStr">
        <is>
          <t>c</t>
        </is>
      </c>
      <c r="B1" s="260" t="n"/>
      <c r="C1" s="260" t="n"/>
      <c r="D1" s="260" t="n"/>
      <c r="E1" s="260" t="n"/>
      <c r="F1" s="260" t="n"/>
      <c r="G1" s="260" t="n"/>
      <c r="H1" s="261" t="n"/>
      <c r="I1" s="262" t="inlineStr">
        <is>
          <t>Standard Salary Rates</t>
        </is>
      </c>
      <c r="J1" s="263" t="n"/>
      <c r="K1" s="263" t="n"/>
      <c r="L1" s="263" t="n"/>
      <c r="M1" s="263" t="n"/>
      <c r="N1" s="263" t="n"/>
      <c r="O1" s="263" t="n"/>
      <c r="P1" s="263" t="n"/>
      <c r="Q1" s="263" t="n"/>
      <c r="R1" s="263" t="n"/>
      <c r="S1" s="263" t="n"/>
      <c r="T1" s="263" t="n"/>
      <c r="U1" s="263" t="n"/>
      <c r="V1" s="263" t="n"/>
      <c r="W1" s="263" t="n"/>
      <c r="X1" s="263" t="n"/>
      <c r="Y1" s="264" t="n"/>
      <c r="Z1" s="265" t="inlineStr">
        <is>
          <t>HOURS AND DAYS WORKING</t>
        </is>
      </c>
      <c r="AA1" s="263" t="n"/>
      <c r="AB1" s="263" t="n"/>
      <c r="AC1" s="264" t="n"/>
      <c r="AD1" s="266" t="inlineStr">
        <is>
          <t>SALARIES</t>
        </is>
      </c>
      <c r="AE1" s="263" t="n"/>
      <c r="AF1" s="263" t="n"/>
      <c r="AG1" s="263" t="n"/>
      <c r="AH1" s="263" t="n"/>
      <c r="AI1" s="263" t="n"/>
      <c r="AJ1" s="263" t="n"/>
      <c r="AK1" s="263" t="n"/>
      <c r="AL1" s="263" t="n"/>
      <c r="AM1" s="263" t="n"/>
      <c r="AN1" s="263" t="n"/>
      <c r="AO1" s="264" t="n"/>
      <c r="AP1" s="267" t="inlineStr">
        <is>
          <t>Installments</t>
        </is>
      </c>
      <c r="AQ1" s="263" t="n"/>
      <c r="AR1" s="264" t="n"/>
      <c r="AS1" s="231" t="inlineStr">
        <is>
          <t>Accruals</t>
        </is>
      </c>
      <c r="AT1" s="263" t="n"/>
      <c r="AU1" s="263" t="n"/>
      <c r="AV1" s="263" t="n"/>
      <c r="AW1" s="263" t="n"/>
      <c r="AX1" s="234" t="inlineStr">
        <is>
          <t>Government Fees</t>
        </is>
      </c>
      <c r="AY1" s="263" t="n"/>
      <c r="AZ1" s="263" t="n"/>
      <c r="BA1" s="263" t="n"/>
      <c r="BB1" s="263" t="n"/>
      <c r="BC1" s="263" t="n"/>
      <c r="BD1" s="263" t="n"/>
      <c r="BE1" s="264" t="n"/>
      <c r="BF1" s="268" t="inlineStr">
        <is>
          <t>INVOICE VALUES</t>
        </is>
      </c>
      <c r="BG1" s="263" t="n"/>
      <c r="BH1" s="263" t="n"/>
      <c r="BI1" s="263" t="n"/>
      <c r="BJ1" s="263" t="n"/>
      <c r="BK1" s="264" t="n"/>
      <c r="BM1" s="221" t="inlineStr">
        <is>
          <t>OVERTIME 1</t>
        </is>
      </c>
      <c r="BN1" s="263" t="n"/>
      <c r="BO1" s="263" t="n"/>
      <c r="BP1" s="263" t="n"/>
      <c r="BQ1" s="263" t="n"/>
      <c r="BR1" s="263" t="n"/>
      <c r="BS1" s="263" t="n"/>
      <c r="BT1" s="263" t="n"/>
      <c r="BU1" s="263" t="n"/>
      <c r="BV1" s="263" t="n"/>
      <c r="BW1" s="263" t="n"/>
      <c r="BX1" s="263" t="n"/>
      <c r="BY1" s="263" t="n"/>
      <c r="BZ1" s="263" t="n"/>
      <c r="CA1" s="263" t="n"/>
      <c r="CB1" s="263" t="n"/>
      <c r="CC1" s="263" t="n"/>
      <c r="CD1" s="263" t="n"/>
      <c r="CE1" s="263" t="n"/>
      <c r="CF1" s="263" t="n"/>
      <c r="CG1" s="263" t="n"/>
      <c r="CH1" s="263" t="n"/>
      <c r="CI1" s="263" t="n"/>
      <c r="CJ1" s="263" t="n"/>
      <c r="CK1" s="263" t="n"/>
      <c r="CL1" s="263" t="n"/>
      <c r="CM1" s="263" t="n"/>
      <c r="CN1" s="263" t="n"/>
      <c r="CO1" s="263" t="n"/>
      <c r="CP1" s="263" t="n"/>
      <c r="CQ1" s="263" t="n"/>
      <c r="CR1" s="264" t="n"/>
    </row>
    <row r="2" ht="39.75" customFormat="1" customHeight="1" s="120">
      <c r="A2" s="108" t="inlineStr">
        <is>
          <t>Emp ID</t>
        </is>
      </c>
      <c r="B2" s="108" t="inlineStr">
        <is>
          <t>Employee Name</t>
        </is>
      </c>
      <c r="C2" s="108" t="inlineStr">
        <is>
          <t>Designation</t>
        </is>
      </c>
      <c r="D2" s="108" t="inlineStr">
        <is>
          <t>Payroll Currency</t>
        </is>
      </c>
      <c r="E2" s="108" t="inlineStr">
        <is>
          <t>Month Days</t>
        </is>
      </c>
      <c r="F2" s="108" t="inlineStr">
        <is>
          <t>From</t>
        </is>
      </c>
      <c r="G2" s="108" t="inlineStr">
        <is>
          <t>To</t>
        </is>
      </c>
      <c r="H2" s="109" t="inlineStr">
        <is>
          <t>Payroll Days</t>
        </is>
      </c>
      <c r="I2" s="110" t="inlineStr">
        <is>
          <t>EC - Basic Salary</t>
        </is>
      </c>
      <c r="J2" s="110" t="inlineStr">
        <is>
          <t>EC - Housing Allowance</t>
        </is>
      </c>
      <c r="K2" s="110" t="inlineStr">
        <is>
          <t>EC - Transport Allowance</t>
        </is>
      </c>
      <c r="L2" s="110" t="inlineStr">
        <is>
          <t>EC - School Allowance</t>
        </is>
      </c>
      <c r="M2" s="110" t="inlineStr">
        <is>
          <t>EC - Other allowance</t>
        </is>
      </c>
      <c r="N2" s="110" t="inlineStr">
        <is>
          <t>EC - Mobile Allowance</t>
        </is>
      </c>
      <c r="O2" s="110" t="inlineStr">
        <is>
          <t>EC - Food Allowance</t>
        </is>
      </c>
      <c r="P2" s="111" t="inlineStr">
        <is>
          <t>OT Eligible</t>
        </is>
      </c>
      <c r="Q2" s="110" t="inlineStr">
        <is>
          <t>EC - Gross Salary</t>
        </is>
      </c>
      <c r="R2" s="110" t="inlineStr">
        <is>
          <t>EC - OT1</t>
        </is>
      </c>
      <c r="S2" s="110" t="inlineStr">
        <is>
          <t>EC - OT2</t>
        </is>
      </c>
      <c r="T2" s="110" t="inlineStr">
        <is>
          <t>EC - Workmen Comp</t>
        </is>
      </c>
      <c r="U2" s="110" t="inlineStr">
        <is>
          <t>EC - Localization</t>
        </is>
      </c>
      <c r="V2" s="110" t="inlineStr">
        <is>
          <t>EC - Gratuity Accrual</t>
        </is>
      </c>
      <c r="W2" s="110" t="inlineStr">
        <is>
          <t>EC - Health Insurance Installment</t>
        </is>
      </c>
      <c r="X2" s="110" t="inlineStr">
        <is>
          <t>EC - GOSI</t>
        </is>
      </c>
      <c r="Y2" s="110" t="inlineStr">
        <is>
          <t>EC - Admin Fees</t>
        </is>
      </c>
      <c r="Z2" s="112" t="inlineStr">
        <is>
          <t>Absence Days</t>
        </is>
      </c>
      <c r="AA2" s="112" t="inlineStr">
        <is>
          <t>Days w/o Absence</t>
        </is>
      </c>
      <c r="AB2" s="113" t="inlineStr">
        <is>
          <t>Overtime 1</t>
        </is>
      </c>
      <c r="AC2" s="113" t="inlineStr">
        <is>
          <t>Overtime 2</t>
        </is>
      </c>
      <c r="AD2" s="114" t="inlineStr">
        <is>
          <t>Basic Salary</t>
        </is>
      </c>
      <c r="AE2" s="114" t="inlineStr">
        <is>
          <t>Housing Allowance</t>
        </is>
      </c>
      <c r="AF2" s="114" t="inlineStr">
        <is>
          <t>Transport Allowance</t>
        </is>
      </c>
      <c r="AG2" s="114" t="inlineStr">
        <is>
          <t>School Allowance</t>
        </is>
      </c>
      <c r="AH2" s="114" t="inlineStr">
        <is>
          <t>Mobile Allowance</t>
        </is>
      </c>
      <c r="AI2" s="114" t="inlineStr">
        <is>
          <t>Food Allowance</t>
        </is>
      </c>
      <c r="AJ2" s="114" t="inlineStr">
        <is>
          <t>Other Allowance</t>
        </is>
      </c>
      <c r="AK2" s="114" t="inlineStr">
        <is>
          <t>OT1</t>
        </is>
      </c>
      <c r="AL2" s="114" t="inlineStr">
        <is>
          <t>OT2</t>
        </is>
      </c>
      <c r="AM2" s="115" t="inlineStr">
        <is>
          <t>Other Adjustments</t>
        </is>
      </c>
      <c r="AN2" s="115" t="inlineStr">
        <is>
          <t>Deduction</t>
        </is>
      </c>
      <c r="AO2" s="114" t="inlineStr">
        <is>
          <t>Total Payout</t>
        </is>
      </c>
      <c r="AP2" s="116" t="inlineStr">
        <is>
          <t>Visa</t>
        </is>
      </c>
      <c r="AQ2" s="116" t="inlineStr">
        <is>
          <t>Medical Insurance</t>
        </is>
      </c>
      <c r="AR2" s="116" t="inlineStr">
        <is>
          <t>Total Installments</t>
        </is>
      </c>
      <c r="AS2" s="112" t="inlineStr">
        <is>
          <t>Gratuity</t>
        </is>
      </c>
      <c r="AT2" s="112" t="inlineStr">
        <is>
          <t>Airfare</t>
        </is>
      </c>
      <c r="AU2" s="112" t="inlineStr">
        <is>
          <t>Annual Leave</t>
        </is>
      </c>
      <c r="AV2" s="112" t="inlineStr">
        <is>
          <t>Other Accruals</t>
        </is>
      </c>
      <c r="AW2" s="112" t="inlineStr">
        <is>
          <t>Total Accruals</t>
        </is>
      </c>
      <c r="AX2" s="117" t="inlineStr">
        <is>
          <t>Ajeer</t>
        </is>
      </c>
      <c r="AY2" s="117" t="inlineStr">
        <is>
          <t>LMRA</t>
        </is>
      </c>
      <c r="AZ2" s="117" t="inlineStr">
        <is>
          <t>Localization</t>
        </is>
      </c>
      <c r="BA2" s="117" t="inlineStr">
        <is>
          <t>GOSI</t>
        </is>
      </c>
      <c r="BB2" s="117" t="inlineStr">
        <is>
          <t>Workmen Comp</t>
        </is>
      </c>
      <c r="BC2" s="117" t="inlineStr">
        <is>
          <t>Zakat</t>
        </is>
      </c>
      <c r="BD2" s="117" t="inlineStr">
        <is>
          <t>Family Visa Levy</t>
        </is>
      </c>
      <c r="BE2" s="117" t="inlineStr">
        <is>
          <t>Total Government Fees</t>
        </is>
      </c>
      <c r="BF2" s="118" t="inlineStr">
        <is>
          <t>Employee payout</t>
        </is>
      </c>
      <c r="BG2" s="118" t="inlineStr">
        <is>
          <t>Installments</t>
        </is>
      </c>
      <c r="BH2" s="118" t="inlineStr">
        <is>
          <t>Accruals</t>
        </is>
      </c>
      <c r="BI2" s="118" t="inlineStr">
        <is>
          <t>Government Fees</t>
        </is>
      </c>
      <c r="BJ2" s="118" t="inlineStr">
        <is>
          <t>Admin Fees</t>
        </is>
      </c>
      <c r="BK2" s="119" t="inlineStr">
        <is>
          <t>Invoice total</t>
        </is>
      </c>
      <c r="BM2" s="269">
        <f>BL2+1</f>
        <v/>
      </c>
      <c r="BN2" s="269">
        <f>BM2+1</f>
        <v/>
      </c>
      <c r="BO2" s="269">
        <f>BN2+1</f>
        <v/>
      </c>
      <c r="BP2" s="270">
        <f>BO2+1</f>
        <v/>
      </c>
      <c r="BQ2" s="270">
        <f>BP2+1</f>
        <v/>
      </c>
      <c r="BR2" s="269">
        <f>BQ2+1</f>
        <v/>
      </c>
      <c r="BS2" s="269">
        <f>BR2+1</f>
        <v/>
      </c>
      <c r="BT2" s="269">
        <f>BS2+1</f>
        <v/>
      </c>
      <c r="BU2" s="269">
        <f>BT2+1</f>
        <v/>
      </c>
      <c r="BV2" s="269">
        <f>BU2+1</f>
        <v/>
      </c>
      <c r="BW2" s="270">
        <f>BV2+1</f>
        <v/>
      </c>
      <c r="BX2" s="270">
        <f>BW2+1</f>
        <v/>
      </c>
      <c r="BY2" s="269">
        <f>BX2+1</f>
        <v/>
      </c>
      <c r="BZ2" s="269">
        <f>BY2+1</f>
        <v/>
      </c>
      <c r="CA2" s="269">
        <f>BZ2+1</f>
        <v/>
      </c>
      <c r="CB2" s="269">
        <f>CA2+1</f>
        <v/>
      </c>
      <c r="CC2" s="269">
        <f>CB2+1</f>
        <v/>
      </c>
      <c r="CD2" s="270">
        <f>CC2+1</f>
        <v/>
      </c>
      <c r="CE2" s="270">
        <f>CD2+1</f>
        <v/>
      </c>
      <c r="CF2" s="269">
        <f>CE2+1</f>
        <v/>
      </c>
      <c r="CG2" s="269">
        <f>CF2+1</f>
        <v/>
      </c>
      <c r="CH2" s="269">
        <f>CG2+1</f>
        <v/>
      </c>
      <c r="CI2" s="269">
        <f>CH2+1</f>
        <v/>
      </c>
      <c r="CJ2" s="269">
        <f>CI2+1</f>
        <v/>
      </c>
      <c r="CK2" s="270">
        <f>CJ2+1</f>
        <v/>
      </c>
      <c r="CL2" s="270">
        <f>CK2+1</f>
        <v/>
      </c>
      <c r="CM2" s="269">
        <f>CL2+1</f>
        <v/>
      </c>
      <c r="CN2" s="269">
        <f>CM2+1</f>
        <v/>
      </c>
      <c r="CO2" s="269">
        <f>CN2+1</f>
        <v/>
      </c>
      <c r="CP2" s="269">
        <f>CO2+1</f>
        <v/>
      </c>
      <c r="CQ2" s="270">
        <f>CP2+1</f>
        <v/>
      </c>
      <c r="CR2" s="269" t="inlineStr">
        <is>
          <t>Total</t>
        </is>
      </c>
    </row>
    <row r="3" ht="12" customFormat="1" customHeight="1" s="107">
      <c r="A3" s="123" t="inlineStr">
        <is>
          <t>AX01669</t>
        </is>
      </c>
      <c r="B3" s="124" t="inlineStr">
        <is>
          <t>KUTAY SAMIM GOKSU</t>
        </is>
      </c>
      <c r="C3" s="123" t="inlineStr">
        <is>
          <t>Sales Manager</t>
        </is>
      </c>
      <c r="D3" s="123" t="inlineStr">
        <is>
          <t>AED</t>
        </is>
      </c>
      <c r="E3" s="271" t="n">
        <v>30</v>
      </c>
      <c r="F3" s="272" t="n">
        <v>46174</v>
      </c>
      <c r="G3" s="272" t="n">
        <v>46203</v>
      </c>
      <c r="H3" s="127" t="n">
        <v>22</v>
      </c>
      <c r="I3" s="128" t="n">
        <v>19635</v>
      </c>
      <c r="J3" s="128" t="n">
        <v>9817.5</v>
      </c>
      <c r="K3" s="128" t="n">
        <v>3272.5</v>
      </c>
      <c r="L3" s="128" t="n">
        <v>0</v>
      </c>
      <c r="M3" s="128" t="n">
        <v>2913</v>
      </c>
      <c r="N3" s="128" t="n">
        <v>0</v>
      </c>
      <c r="O3" s="128" t="n">
        <v>0</v>
      </c>
      <c r="P3" s="128" t="inlineStr">
        <is>
          <t>No</t>
        </is>
      </c>
      <c r="Q3" s="128">
        <f>I3+J3+K3+L3+M3+N3+O3</f>
        <v/>
      </c>
      <c r="R3" s="128" t="n"/>
      <c r="S3" s="128" t="n"/>
      <c r="T3" s="128" t="n">
        <v>0</v>
      </c>
      <c r="U3" s="128" t="n">
        <v>800</v>
      </c>
      <c r="V3" s="128" t="n">
        <v>1130</v>
      </c>
      <c r="W3" s="128" t="n">
        <v>0</v>
      </c>
      <c r="X3" s="128" t="n">
        <v>0</v>
      </c>
      <c r="Y3" s="128" t="n"/>
      <c r="Z3" s="129" t="n">
        <v>0</v>
      </c>
      <c r="AA3" s="129" t="n">
        <v>22</v>
      </c>
      <c r="AB3" s="130" t="n">
        <v>0</v>
      </c>
      <c r="AC3" s="130" t="n">
        <v>0</v>
      </c>
      <c r="AD3" s="131" t="n">
        <v>19635</v>
      </c>
      <c r="AE3" s="131" t="n">
        <v>9817.5</v>
      </c>
      <c r="AF3" s="131" t="n">
        <v>3272.5</v>
      </c>
      <c r="AG3" s="131" t="n"/>
      <c r="AH3" s="131" t="n"/>
      <c r="AI3" s="131" t="n"/>
      <c r="AJ3" s="131" t="n">
        <v>2913</v>
      </c>
      <c r="AK3" s="131" t="n"/>
      <c r="AL3" s="131" t="n"/>
      <c r="AM3" s="132" t="n">
        <v>3644.8</v>
      </c>
      <c r="AN3" s="132" t="n">
        <v>0</v>
      </c>
      <c r="AO3" s="131" t="n">
        <v>39282.8</v>
      </c>
      <c r="AP3" s="133" t="n"/>
      <c r="AQ3" s="133" t="n"/>
      <c r="AR3" s="133" t="n">
        <v>0</v>
      </c>
      <c r="AS3" s="129" t="n">
        <v>1130</v>
      </c>
      <c r="AT3" s="129" t="n"/>
      <c r="AU3" s="129" t="n"/>
      <c r="AV3" s="129" t="n"/>
      <c r="AW3" s="129" t="n">
        <v>1130</v>
      </c>
      <c r="AX3" s="134" t="n"/>
      <c r="AY3" s="134" t="n"/>
      <c r="AZ3" s="134" t="n">
        <v>800</v>
      </c>
      <c r="BA3" s="134" t="n"/>
      <c r="BB3" s="134" t="n"/>
      <c r="BC3" s="134" t="n"/>
      <c r="BD3" s="134" t="n"/>
      <c r="BE3" s="134" t="n">
        <v>800</v>
      </c>
      <c r="BF3" s="135" t="n">
        <v>39282.8</v>
      </c>
      <c r="BG3" s="135" t="n">
        <v>0</v>
      </c>
      <c r="BH3" s="135" t="n">
        <v>1130</v>
      </c>
      <c r="BI3" s="135" t="n">
        <v>800</v>
      </c>
      <c r="BJ3" s="135" t="n"/>
      <c r="BK3" s="136" t="n">
        <v>42525.3</v>
      </c>
      <c r="BL3" s="137" t="n"/>
      <c r="BM3" s="138" t="n">
        <v>0</v>
      </c>
      <c r="BN3" s="138" t="n">
        <v>0</v>
      </c>
      <c r="BO3" s="138" t="n">
        <v>0</v>
      </c>
      <c r="BP3" s="139" t="n"/>
      <c r="BQ3" s="139" t="n"/>
      <c r="BR3" s="138" t="n">
        <v>0</v>
      </c>
      <c r="BS3" s="138" t="n">
        <v>0</v>
      </c>
      <c r="BT3" s="138" t="n">
        <v>0</v>
      </c>
      <c r="BU3" s="138" t="n">
        <v>0</v>
      </c>
      <c r="BV3" s="138" t="n">
        <v>0</v>
      </c>
      <c r="BW3" s="139" t="n"/>
      <c r="BX3" s="139" t="n"/>
      <c r="BY3" s="138" t="n">
        <v>0</v>
      </c>
      <c r="BZ3" s="138" t="n">
        <v>0</v>
      </c>
      <c r="CA3" s="138" t="n">
        <v>0</v>
      </c>
      <c r="CB3" s="138" t="n">
        <v>0</v>
      </c>
      <c r="CC3" s="138" t="n">
        <v>0</v>
      </c>
      <c r="CD3" s="139" t="n"/>
      <c r="CE3" s="139" t="n"/>
      <c r="CF3" s="138" t="n">
        <v>0</v>
      </c>
      <c r="CG3" s="138" t="n">
        <v>0</v>
      </c>
      <c r="CH3" s="138" t="n">
        <v>0</v>
      </c>
      <c r="CI3" s="138" t="n">
        <v>0</v>
      </c>
      <c r="CJ3" s="138" t="n">
        <v>0</v>
      </c>
      <c r="CK3" s="139" t="n"/>
      <c r="CL3" s="139" t="n"/>
      <c r="CM3" s="138" t="n">
        <v>0</v>
      </c>
      <c r="CN3" s="138" t="n">
        <v>0</v>
      </c>
      <c r="CO3" s="138" t="n">
        <v>0</v>
      </c>
      <c r="CP3" s="138" t="n">
        <v>0</v>
      </c>
      <c r="CQ3" s="139" t="n"/>
      <c r="CR3" s="138">
        <f>SUM(BM3:CQ3)</f>
        <v/>
      </c>
    </row>
    <row r="4" customFormat="1" s="107">
      <c r="A4" s="140" t="inlineStr">
        <is>
          <t>Total</t>
        </is>
      </c>
      <c r="B4" s="141" t="n"/>
      <c r="C4" s="140" t="n"/>
      <c r="D4" s="140" t="n"/>
      <c r="E4" s="140" t="n"/>
      <c r="F4" s="140" t="n"/>
      <c r="G4" s="140" t="n"/>
      <c r="H4" s="142" t="n"/>
      <c r="I4" s="143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5" t="n"/>
      <c r="AA4" s="145" t="n"/>
      <c r="AB4" s="146" t="n"/>
      <c r="AC4" s="146" t="n"/>
      <c r="AD4" s="147" t="n"/>
      <c r="AE4" s="147" t="n"/>
      <c r="AF4" s="147" t="n"/>
      <c r="AG4" s="147" t="n"/>
      <c r="AH4" s="147" t="n"/>
      <c r="AI4" s="147" t="n"/>
      <c r="AJ4" s="147" t="n"/>
      <c r="AK4" s="147" t="n"/>
      <c r="AL4" s="147" t="n"/>
      <c r="AM4" s="148" t="n"/>
      <c r="AN4" s="148" t="n"/>
      <c r="AO4" s="147">
        <f>SUBTOTAL(109,AO4)</f>
        <v/>
      </c>
      <c r="AP4" s="149" t="n"/>
      <c r="AQ4" s="149" t="n"/>
      <c r="AR4" s="149">
        <f>SUBTOTAL(109,AR4)</f>
        <v/>
      </c>
      <c r="AS4" s="145" t="n"/>
      <c r="AT4" s="145" t="n"/>
      <c r="AU4" s="145" t="n"/>
      <c r="AV4" s="145" t="n"/>
      <c r="AW4" s="145">
        <f>SUBTOTAL(109,AW4)</f>
        <v/>
      </c>
      <c r="AX4" s="150" t="n"/>
      <c r="AY4" s="150" t="n"/>
      <c r="AZ4" s="150" t="n"/>
      <c r="BA4" s="150" t="n"/>
      <c r="BB4" s="150" t="n"/>
      <c r="BC4" s="150" t="n"/>
      <c r="BD4" s="150" t="n"/>
      <c r="BE4" s="150">
        <f>SUBTOTAL(109,BE4)</f>
        <v/>
      </c>
      <c r="BF4" s="151">
        <f>SUBTOTAL(109,BF4)</f>
        <v/>
      </c>
      <c r="BG4" s="151">
        <f>SUBTOTAL(109,BG4)</f>
        <v/>
      </c>
      <c r="BH4" s="151">
        <f>SUBTOTAL(109,BH4)</f>
        <v/>
      </c>
      <c r="BI4" s="151">
        <f>SUBTOTAL(109,BI4)</f>
        <v/>
      </c>
      <c r="BJ4" s="151">
        <f>SUBTOTAL(109,BJ4)</f>
        <v/>
      </c>
      <c r="BK4" s="151">
        <f>SUBTOTAL(109,BK4)</f>
        <v/>
      </c>
      <c r="BL4" s="152" t="n"/>
      <c r="BM4" s="153">
        <f>SUM(BM3:BM3)</f>
        <v/>
      </c>
      <c r="BN4" s="153">
        <f>SUM(BN3:BN3)</f>
        <v/>
      </c>
      <c r="BO4" s="153">
        <f>SUM(BO3:BO3)</f>
        <v/>
      </c>
      <c r="BP4" s="154">
        <f>SUM(BP3:BP3)</f>
        <v/>
      </c>
      <c r="BQ4" s="154">
        <f>SUM(BQ3:BQ3)</f>
        <v/>
      </c>
      <c r="BR4" s="153">
        <f>SUM(BR3:BR3)</f>
        <v/>
      </c>
      <c r="BS4" s="153">
        <f>SUM(BS3:BS3)</f>
        <v/>
      </c>
      <c r="BT4" s="153">
        <f>SUM(BT3:BT3)</f>
        <v/>
      </c>
      <c r="BU4" s="153">
        <f>SUM(BU3:BU3)</f>
        <v/>
      </c>
      <c r="BV4" s="153">
        <f>SUM(BV3:BV3)</f>
        <v/>
      </c>
      <c r="BW4" s="154">
        <f>SUM(BW3:BW3)</f>
        <v/>
      </c>
      <c r="BX4" s="154">
        <f>SUM(BX3:BX3)</f>
        <v/>
      </c>
      <c r="BY4" s="153">
        <f>SUM(BY3:BY3)</f>
        <v/>
      </c>
      <c r="BZ4" s="153">
        <f>SUM(BZ3:BZ3)</f>
        <v/>
      </c>
      <c r="CA4" s="153">
        <f>SUM(CA3:CA3)</f>
        <v/>
      </c>
      <c r="CB4" s="153">
        <f>SUM(CB3:CB3)</f>
        <v/>
      </c>
      <c r="CC4" s="153">
        <f>SUM(CC3:CC3)</f>
        <v/>
      </c>
      <c r="CD4" s="154">
        <f>SUM(CD3:CD3)</f>
        <v/>
      </c>
      <c r="CE4" s="154">
        <f>SUM(CE3:CE3)</f>
        <v/>
      </c>
      <c r="CF4" s="153">
        <f>SUM(CF3:CF3)</f>
        <v/>
      </c>
      <c r="CG4" s="153">
        <f>SUM(CG3:CG3)</f>
        <v/>
      </c>
      <c r="CH4" s="153">
        <f>SUM(CH3:CH3)</f>
        <v/>
      </c>
      <c r="CI4" s="153">
        <f>SUM(CI3:CI3)</f>
        <v/>
      </c>
      <c r="CJ4" s="153">
        <f>SUM(CJ3:CJ3)</f>
        <v/>
      </c>
      <c r="CK4" s="154">
        <f>SUM(CK3:CK3)</f>
        <v/>
      </c>
      <c r="CL4" s="154">
        <f>SUM(CL3:CL3)</f>
        <v/>
      </c>
      <c r="CM4" s="153">
        <f>SUM(CM3:CM3)</f>
        <v/>
      </c>
      <c r="CN4" s="153">
        <f>SUM(CN3:CN3)</f>
        <v/>
      </c>
      <c r="CO4" s="153">
        <f>SUM(CO3:CO3)</f>
        <v/>
      </c>
      <c r="CP4" s="153">
        <f>SUM(CP3:CP3)</f>
        <v/>
      </c>
      <c r="CQ4" s="154">
        <f>SUM(CQ3:CQ3)</f>
        <v/>
      </c>
      <c r="CR4" s="153">
        <f>SUM(CR3:CR3)</f>
        <v/>
      </c>
    </row>
  </sheetData>
  <mergeCells count="9">
    <mergeCell ref="I1:Y1"/>
    <mergeCell ref="BM1:CR1"/>
    <mergeCell ref="AD1:AO1"/>
    <mergeCell ref="AP1:AR1"/>
    <mergeCell ref="BF1:BK1"/>
    <mergeCell ref="AX1:BE1"/>
    <mergeCell ref="A1:H1"/>
    <mergeCell ref="AS1:AW1"/>
    <mergeCell ref="Z1:AC1"/>
  </mergeCells>
  <conditionalFormatting sqref="A3">
    <cfRule type="duplicateValues" priority="1" dxfId="129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2019-04-02T09:07:35Z</dcterms:created>
  <dcterms:modified xmlns:dcterms="http://purl.org/dc/terms/" xmlns:xsi="http://www.w3.org/2001/XMLSchema-instance" xsi:type="dcterms:W3CDTF">2026-08-03T05:10:15Z</dcterms:modified>
  <cp:lastModifiedBy>Zhang, Vicky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a8ef3fbe-4e27-48f7-a0b1-3e7729cc8ae0</vt:lpwstr>
  </property>
  <property name="MediaServiceImageTags" fmtid="{D5CDD505-2E9C-101B-9397-08002B2CF9AE}" pid="4">
    <vt:lpwstr xmlns:vt="http://schemas.openxmlformats.org/officeDocument/2006/docPropsVTypes"/>
  </property>
</Properties>
</file>