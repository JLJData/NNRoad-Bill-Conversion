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PN" sheetId="6" r:id="rId1"/>
    <sheet name="Hong Kong" sheetId="2" r:id="rId2"/>
    <sheet name="Hong Kong EE" sheetId="5" r:id="rId3"/>
    <sheet name="Hong Kong-L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<sst xmlns="http://schemas.openxmlformats.org/spreadsheetml/2006/main" count="122" uniqueCount="88">
  <si>
    <r>
      <rPr>
        <b/>
        <sz val="12"/>
        <color rgb="FF0066B3"/>
        <rFont val="等线"/>
        <charset val="134"/>
        <scheme val="minor"/>
      </rPr>
      <t>N</t>
    </r>
    <r>
      <rPr>
        <b/>
        <sz val="12"/>
        <color rgb="FF8DC63F"/>
        <rFont val="等线"/>
        <charset val="134"/>
        <scheme val="minor"/>
      </rPr>
      <t>N</t>
    </r>
    <r>
      <rPr>
        <b/>
        <sz val="12"/>
        <color rgb="FF0066B3"/>
        <rFont val="等线"/>
        <charset val="134"/>
        <scheme val="minor"/>
      </rPr>
      <t>Road</t>
    </r>
    <r>
      <rPr>
        <b/>
        <sz val="12"/>
        <color rgb="FF8DC63F"/>
        <rFont val="等线"/>
        <charset val="134"/>
        <scheme val="minor"/>
      </rPr>
      <t> – Employer of Record, Payroll Worldwide</t>
    </r>
  </si>
  <si>
    <t>333 W San Carlos St., Suite 600, San Jose, CA 95113, USA</t>
  </si>
  <si>
    <t>USA: +1 (669) 377-5080 | www.NNRoad.com</t>
  </si>
  <si>
    <t>INVOICE</t>
  </si>
  <si>
    <t>Bill to:</t>
  </si>
  <si>
    <t>Company name:</t>
  </si>
  <si>
    <t>UE Corp</t>
  </si>
  <si>
    <t>Currency</t>
  </si>
  <si>
    <t>USD</t>
  </si>
  <si>
    <t>Client ID:</t>
  </si>
  <si>
    <t>CUS1503</t>
  </si>
  <si>
    <t>Invoice number</t>
  </si>
  <si>
    <t>PN-CUS1503-031820261</t>
  </si>
  <si>
    <t>Address:</t>
  </si>
  <si>
    <t>168 Georgetown Rd., Canonsburg, Pennsylvanis, USA</t>
  </si>
  <si>
    <t>Invoice date</t>
  </si>
  <si>
    <t>Due date</t>
  </si>
  <si>
    <t>Description</t>
  </si>
  <si>
    <t>Approx. In USD*</t>
  </si>
  <si>
    <t>EOR/PEO Cost</t>
  </si>
  <si>
    <t>Service Fee</t>
  </si>
  <si>
    <t xml:space="preserve"> </t>
  </si>
  <si>
    <t xml:space="preserve">EOR/PEO Service Cost		</t>
  </si>
  <si>
    <t>EOR/PEO Service Cost</t>
  </si>
  <si>
    <t xml:space="preserve">Outstanding payment </t>
  </si>
  <si>
    <t xml:space="preserve">FX difference </t>
  </si>
  <si>
    <t xml:space="preserve">Interests of delay </t>
  </si>
  <si>
    <t xml:space="preserve">Bank Charges </t>
  </si>
  <si>
    <t xml:space="preserve">Sub Total (Excluding Tax)		</t>
  </si>
  <si>
    <t>Tax</t>
  </si>
  <si>
    <t xml:space="preserve">Total		</t>
  </si>
  <si>
    <t xml:space="preserve">Please pay the Invoice in FULL AMOUNT </t>
  </si>
  <si>
    <t>Beneficiary: NNROAD, INC.
Bank Name: Chase Bank
Bank Account: 132827913
Bank Add.: 690 River Oaks Parkway Ste A, San Jose, CA 95134, USA</t>
  </si>
  <si>
    <t xml:space="preserve">
SWIFT BIC (international transfer): CHASUS33XXX
Routing Number (domestic wire transfer): 021000021
Routing Number (domestic ACH and direct deposit): 322271627</t>
  </si>
  <si>
    <t>Notes:</t>
  </si>
  <si>
    <t>1. Please ensure that you include the Invoice Number when making your payment. This will help us accurately process and allocate your payment .</t>
  </si>
  <si>
    <t>2. This document becomes a Tax Invoice/Receipt upon payment. Please retain a copy for your records.</t>
  </si>
  <si>
    <t>3. This is a computer generated document.  No Signature required.</t>
  </si>
  <si>
    <t>Pay Period</t>
  </si>
  <si>
    <t>ER</t>
  </si>
  <si>
    <t>Sum</t>
  </si>
  <si>
    <t>Business
Tax</t>
  </si>
  <si>
    <t>Management Fee</t>
  </si>
  <si>
    <t>Gross Salary</t>
  </si>
  <si>
    <t>Mandatory Contribution</t>
  </si>
  <si>
    <t>Expense Claim</t>
  </si>
  <si>
    <t>Subtotal</t>
  </si>
  <si>
    <t>Recurring
Fee</t>
  </si>
  <si>
    <t>Base Salary</t>
  </si>
  <si>
    <t>OT</t>
  </si>
  <si>
    <t>Salary Adjusment</t>
  </si>
  <si>
    <t>Bonus</t>
  </si>
  <si>
    <t>Leave Payment</t>
  </si>
  <si>
    <t>Backpay</t>
  </si>
  <si>
    <t xml:space="preserve">Other </t>
  </si>
  <si>
    <t>Net 
Adjustment</t>
  </si>
  <si>
    <t>Employees' Compensation Insurance</t>
  </si>
  <si>
    <t>MPF ER</t>
  </si>
  <si>
    <t>Others</t>
  </si>
  <si>
    <t>Expense
Claim</t>
  </si>
  <si>
    <t>(HKD)</t>
  </si>
  <si>
    <t>Other Fee</t>
  </si>
  <si>
    <t>Interests of delay</t>
  </si>
  <si>
    <t>Bank Charges</t>
  </si>
  <si>
    <t xml:space="preserve">Invoice adjustment </t>
  </si>
  <si>
    <t>EE</t>
  </si>
  <si>
    <t>Client Code</t>
  </si>
  <si>
    <t>Client Name</t>
  </si>
  <si>
    <t>EE Code</t>
  </si>
  <si>
    <t>EE Name</t>
  </si>
  <si>
    <t>Net
Income</t>
  </si>
  <si>
    <t>From</t>
  </si>
  <si>
    <t>To</t>
  </si>
  <si>
    <t>Net Adjustment</t>
  </si>
  <si>
    <t>MPF EE</t>
  </si>
  <si>
    <t>EOR/PEO(HKD)</t>
  </si>
  <si>
    <t>Payroll period:</t>
  </si>
  <si>
    <t>2026/3/1</t>
  </si>
  <si>
    <t>to</t>
  </si>
  <si>
    <t>2026/3/31</t>
  </si>
  <si>
    <t xml:space="preserve">Currency: </t>
  </si>
  <si>
    <t>HKD</t>
  </si>
  <si>
    <t>No. of EE</t>
  </si>
  <si>
    <t>Name of Employee</t>
  </si>
  <si>
    <t>Expense Reimbursment</t>
  </si>
  <si>
    <t>Medical Insurance</t>
  </si>
  <si>
    <t>Net Pay</t>
  </si>
  <si>
    <t>Total Cost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</si>
</sst>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10409]#,##0.00;\(#,##0.00\)"/>
    <numFmt numFmtId="177" formatCode="#,##0.000_);\(#,##0.000\)"/>
    <numFmt numFmtId="178" formatCode="#,##0.00_ "/>
    <numFmt numFmtId="179" formatCode="_(* #,##0.00_);_(* \(#,##0.00\);_(* &quot;-&quot;??_);_(@_)"/>
    <numFmt numFmtId="180" formatCode="_(&quot;$&quot;* #,##0.00_);_(&quot;$&quot;* \(#,##0.00\);_(&quot;$&quot;* &quot;-&quot;??_);_(@_)"/>
    <numFmt numFmtId="181" formatCode="0.0000"/>
  </numFmts>
  <fonts count="55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sz val="8"/>
      <color rgb="FF000000"/>
      <name val="Verdana"/>
      <charset val="134"/>
    </font>
    <font>
      <sz val="11"/>
      <color rgb="FF000000"/>
      <name val="Calibri"/>
      <charset val="134"/>
    </font>
    <font>
      <sz val="10"/>
      <color theme="1"/>
      <name val="等线"/>
      <charset val="134"/>
      <scheme val="minor"/>
    </font>
    <font>
      <b/>
      <sz val="10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0"/>
      <color theme="1"/>
      <name val="等线"/>
      <charset val="134"/>
      <scheme val="minor"/>
    </font>
    <font>
      <sz val="8"/>
      <color theme="0" tint="-0.499984740745262"/>
      <name val="等线"/>
      <charset val="134"/>
      <scheme val="minor"/>
    </font>
    <font>
      <b/>
      <sz val="11"/>
      <name val="等线"/>
      <charset val="134"/>
      <scheme val="minor"/>
    </font>
    <font>
      <i/>
      <sz val="8"/>
      <color theme="1"/>
      <name val="等线"/>
      <charset val="134"/>
      <scheme val="minor"/>
    </font>
    <font>
      <b/>
      <sz val="8"/>
      <color theme="1"/>
      <name val="等线"/>
      <charset val="134"/>
      <scheme val="minor"/>
    </font>
    <font>
      <b/>
      <i/>
      <sz val="8"/>
      <color theme="1"/>
      <name val="等线"/>
      <charset val="134"/>
      <scheme val="minor"/>
    </font>
    <font>
      <sz val="8"/>
      <color theme="1"/>
      <name val="等线"/>
      <charset val="134"/>
      <scheme val="minor"/>
    </font>
    <font>
      <b/>
      <sz val="12"/>
      <color rgb="FF0066B3"/>
      <name val="等线"/>
      <charset val="134"/>
      <scheme val="minor"/>
    </font>
    <font>
      <sz val="10.5"/>
      <name val="等线"/>
      <charset val="134"/>
      <scheme val="minor"/>
    </font>
    <font>
      <b/>
      <sz val="24"/>
      <color theme="1"/>
      <name val="等线"/>
      <charset val="134"/>
      <scheme val="minor"/>
    </font>
    <font>
      <b/>
      <sz val="18"/>
      <color theme="1"/>
      <name val="等线"/>
      <charset val="134"/>
      <scheme val="minor"/>
    </font>
    <font>
      <b/>
      <sz val="10"/>
      <color theme="1"/>
      <name val="等线"/>
      <charset val="134"/>
      <scheme val="minor"/>
    </font>
    <font>
      <sz val="9"/>
      <color theme="0" tint="-0.499984740745262"/>
      <name val="等线"/>
      <charset val="134"/>
      <scheme val="minor"/>
    </font>
    <font>
      <sz val="9"/>
      <color rgb="FF000000"/>
      <name val="等线"/>
      <charset val="134"/>
      <scheme val="minor"/>
    </font>
    <font>
      <sz val="9"/>
      <color theme="1"/>
      <name val="等线"/>
      <charset val="134"/>
      <scheme val="minor"/>
    </font>
    <font>
      <sz val="10.5"/>
      <color theme="1"/>
      <name val="等线"/>
      <charset val="134"/>
      <scheme val="minor"/>
    </font>
    <font>
      <b/>
      <sz val="12"/>
      <name val="等线"/>
      <charset val="134"/>
      <scheme val="minor"/>
    </font>
    <font>
      <b/>
      <i/>
      <sz val="12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i/>
      <sz val="11"/>
      <color theme="1"/>
      <name val="等线"/>
      <charset val="134"/>
      <scheme val="minor"/>
    </font>
    <font>
      <i/>
      <sz val="10"/>
      <color theme="1"/>
      <name val="等线"/>
      <charset val="134"/>
      <scheme val="minor"/>
    </font>
    <font>
      <b/>
      <i/>
      <sz val="10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2"/>
      <color rgb="FF8DC63F"/>
      <name val="等线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EFFFE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medium">
        <color auto="1"/>
      </right>
      <top/>
      <bottom/>
      <diagonal/>
    </border>
    <border>
      <left style="medium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theme="8" tint="0.599963377788629"/>
      </left>
      <right/>
      <top style="medium">
        <color theme="8" tint="0.599963377788629"/>
      </top>
      <bottom/>
      <diagonal/>
    </border>
    <border>
      <left/>
      <right/>
      <top style="medium">
        <color theme="8" tint="0.599963377788629"/>
      </top>
      <bottom/>
      <diagonal/>
    </border>
    <border>
      <left/>
      <right style="medium">
        <color theme="8" tint="0.599963377788629"/>
      </right>
      <top style="medium">
        <color theme="8" tint="0.599963377788629"/>
      </top>
      <bottom/>
      <diagonal/>
    </border>
    <border>
      <left style="medium">
        <color theme="8" tint="0.599963377788629"/>
      </left>
      <right/>
      <top/>
      <bottom/>
      <diagonal/>
    </border>
    <border>
      <left/>
      <right style="medium">
        <color theme="8" tint="0.599963377788629"/>
      </right>
      <top/>
      <bottom/>
      <diagonal/>
    </border>
    <border>
      <left style="medium">
        <color theme="8" tint="0.599963377788629"/>
      </left>
      <right/>
      <top style="hair">
        <color theme="8" tint="0.599963377788629"/>
      </top>
      <bottom style="medium">
        <color theme="8" tint="0.599963377788629"/>
      </bottom>
      <diagonal/>
    </border>
    <border>
      <left/>
      <right/>
      <top style="hair">
        <color theme="8" tint="0.599963377788629"/>
      </top>
      <bottom style="medium">
        <color theme="8" tint="0.599963377788629"/>
      </bottom>
      <diagonal/>
    </border>
    <border>
      <left/>
      <right style="medium">
        <color theme="8" tint="0.599963377788629"/>
      </right>
      <top style="hair">
        <color theme="8" tint="0.599963377788629"/>
      </top>
      <bottom style="medium">
        <color theme="8" tint="0.599963377788629"/>
      </bottom>
      <diagonal/>
    </border>
    <border>
      <left style="medium">
        <color rgb="FFBED8EE"/>
      </left>
      <right/>
      <top style="medium">
        <color rgb="FFBED8EE"/>
      </top>
      <bottom/>
      <diagonal/>
    </border>
    <border>
      <left/>
      <right/>
      <top style="medium">
        <color rgb="FFBED8EE"/>
      </top>
      <bottom/>
      <diagonal/>
    </border>
    <border>
      <left/>
      <right style="medium">
        <color rgb="FFBED8EE"/>
      </right>
      <top style="medium">
        <color rgb="FFBED8EE"/>
      </top>
      <bottom/>
      <diagonal/>
    </border>
    <border>
      <left style="medium">
        <color rgb="FFBED8EE"/>
      </left>
      <right/>
      <top/>
      <bottom/>
      <diagonal/>
    </border>
    <border>
      <left/>
      <right style="medium">
        <color rgb="FFBED8EE"/>
      </right>
      <top/>
      <bottom/>
      <diagonal/>
    </border>
    <border>
      <left style="medium">
        <color rgb="FFBED8EE"/>
      </left>
      <right/>
      <top/>
      <bottom style="medium">
        <color rgb="FF9BC2E7"/>
      </bottom>
      <diagonal/>
    </border>
    <border>
      <left/>
      <right/>
      <top/>
      <bottom style="medium">
        <color rgb="FF9BC2E7"/>
      </bottom>
      <diagonal/>
    </border>
    <border>
      <left/>
      <right style="medium">
        <color rgb="FFBED8EE"/>
      </right>
      <top/>
      <bottom style="medium">
        <color rgb="FF9BC2E7"/>
      </bottom>
      <diagonal/>
    </border>
    <border>
      <left style="medium">
        <color rgb="FFBED8EE"/>
      </left>
      <right/>
      <top/>
      <bottom style="medium">
        <color rgb="FFBED8EE"/>
      </bottom>
      <diagonal/>
    </border>
    <border>
      <left/>
      <right/>
      <top/>
      <bottom style="medium">
        <color rgb="FFBED8EE"/>
      </bottom>
      <diagonal/>
    </border>
    <border>
      <left/>
      <right style="medium">
        <color rgb="FFBED8EE"/>
      </right>
      <top/>
      <bottom style="medium">
        <color rgb="FFBED8EE"/>
      </bottom>
      <diagonal/>
    </border>
    <border>
      <left/>
      <right style="dashDot">
        <color theme="9" tint="-0.249946592608417"/>
      </right>
      <top/>
      <bottom/>
      <diagonal/>
    </border>
    <border>
      <left style="dashDot">
        <color theme="9" tint="-0.249946592608417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34" fillId="0" borderId="0" applyFont="0" applyFill="0" applyBorder="0" applyAlignment="0" applyProtection="0">
      <alignment vertical="center"/>
    </xf>
    <xf numFmtId="44" fontId="34" fillId="0" borderId="0" applyFon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2" fontId="34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4" fillId="7" borderId="62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63" applyNumberFormat="0" applyFill="0" applyAlignment="0" applyProtection="0">
      <alignment vertical="center"/>
    </xf>
    <xf numFmtId="0" fontId="41" fillId="0" borderId="63" applyNumberFormat="0" applyFill="0" applyAlignment="0" applyProtection="0">
      <alignment vertical="center"/>
    </xf>
    <xf numFmtId="0" fontId="42" fillId="0" borderId="64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8" borderId="65" applyNumberFormat="0" applyAlignment="0" applyProtection="0">
      <alignment vertical="center"/>
    </xf>
    <xf numFmtId="0" fontId="44" fillId="9" borderId="66" applyNumberFormat="0" applyAlignment="0" applyProtection="0">
      <alignment vertical="center"/>
    </xf>
    <xf numFmtId="0" fontId="45" fillId="9" borderId="65" applyNumberFormat="0" applyAlignment="0" applyProtection="0">
      <alignment vertical="center"/>
    </xf>
    <xf numFmtId="0" fontId="46" fillId="10" borderId="67" applyNumberFormat="0" applyAlignment="0" applyProtection="0">
      <alignment vertical="center"/>
    </xf>
    <xf numFmtId="0" fontId="47" fillId="0" borderId="68" applyNumberFormat="0" applyFill="0" applyAlignment="0" applyProtection="0">
      <alignment vertical="center"/>
    </xf>
    <xf numFmtId="0" fontId="48" fillId="0" borderId="69" applyNumberFormat="0" applyFill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50" fillId="12" borderId="0" applyNumberFormat="0" applyBorder="0" applyAlignment="0" applyProtection="0">
      <alignment vertical="center"/>
    </xf>
    <xf numFmtId="0" fontId="51" fillId="13" borderId="0" applyNumberFormat="0" applyBorder="0" applyAlignment="0" applyProtection="0">
      <alignment vertical="center"/>
    </xf>
    <xf numFmtId="0" fontId="52" fillId="14" borderId="0" applyNumberFormat="0" applyBorder="0" applyAlignment="0" applyProtection="0">
      <alignment vertical="center"/>
    </xf>
    <xf numFmtId="0" fontId="53" fillId="15" borderId="0" applyNumberFormat="0" applyBorder="0" applyAlignment="0" applyProtection="0">
      <alignment vertical="center"/>
    </xf>
    <xf numFmtId="0" fontId="53" fillId="16" borderId="0" applyNumberFormat="0" applyBorder="0" applyAlignment="0" applyProtection="0">
      <alignment vertical="center"/>
    </xf>
    <xf numFmtId="0" fontId="52" fillId="17" borderId="0" applyNumberFormat="0" applyBorder="0" applyAlignment="0" applyProtection="0">
      <alignment vertical="center"/>
    </xf>
    <xf numFmtId="0" fontId="52" fillId="18" borderId="0" applyNumberFormat="0" applyBorder="0" applyAlignment="0" applyProtection="0">
      <alignment vertical="center"/>
    </xf>
    <xf numFmtId="0" fontId="53" fillId="19" borderId="0" applyNumberFormat="0" applyBorder="0" applyAlignment="0" applyProtection="0">
      <alignment vertical="center"/>
    </xf>
    <xf numFmtId="0" fontId="53" fillId="20" borderId="0" applyNumberFormat="0" applyBorder="0" applyAlignment="0" applyProtection="0">
      <alignment vertical="center"/>
    </xf>
    <xf numFmtId="0" fontId="52" fillId="21" borderId="0" applyNumberFormat="0" applyBorder="0" applyAlignment="0" applyProtection="0">
      <alignment vertical="center"/>
    </xf>
    <xf numFmtId="0" fontId="52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2" fillId="25" borderId="0" applyNumberFormat="0" applyBorder="0" applyAlignment="0" applyProtection="0">
      <alignment vertical="center"/>
    </xf>
    <xf numFmtId="0" fontId="52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2" fillId="29" borderId="0" applyNumberFormat="0" applyBorder="0" applyAlignment="0" applyProtection="0">
      <alignment vertical="center"/>
    </xf>
    <xf numFmtId="0" fontId="52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2" fillId="33" borderId="0" applyNumberFormat="0" applyBorder="0" applyAlignment="0" applyProtection="0">
      <alignment vertical="center"/>
    </xf>
    <xf numFmtId="0" fontId="52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2" fillId="37" borderId="0" applyNumberFormat="0" applyBorder="0" applyAlignment="0" applyProtection="0">
      <alignment vertical="center"/>
    </xf>
    <xf numFmtId="0" fontId="1" fillId="0" borderId="0"/>
    <xf numFmtId="0" fontId="0" fillId="0" borderId="0">
      <alignment vertical="center"/>
    </xf>
  </cellStyleXfs>
  <cellXfs count="169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9" fontId="0" fillId="0" borderId="0" xfId="0" applyNumberFormat="1"/>
    <xf numFmtId="0" fontId="0" fillId="0" borderId="0" xfId="0" applyAlignment="1">
      <alignment horizontal="right"/>
    </xf>
    <xf numFmtId="0" fontId="0" fillId="2" borderId="1" xfId="0" applyFill="1" applyBorder="1" applyAlignment="1">
      <alignment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1" fillId="0" borderId="4" xfId="0" applyFont="1" applyBorder="1"/>
    <xf numFmtId="0" fontId="1" fillId="0" borderId="5" xfId="0" applyFont="1" applyBorder="1"/>
    <xf numFmtId="176" fontId="2" fillId="0" borderId="6" xfId="0" applyNumberFormat="1" applyFont="1" applyBorder="1" applyAlignment="1">
      <alignment vertical="center" wrapText="1" readingOrder="1"/>
    </xf>
    <xf numFmtId="0" fontId="3" fillId="0" borderId="6" xfId="0" applyFont="1" applyBorder="1"/>
    <xf numFmtId="2" fontId="0" fillId="0" borderId="5" xfId="0" applyNumberFormat="1" applyBorder="1"/>
    <xf numFmtId="0" fontId="0" fillId="0" borderId="6" xfId="0" applyBorder="1"/>
    <xf numFmtId="176" fontId="4" fillId="0" borderId="6" xfId="0" applyNumberFormat="1" applyFont="1" applyBorder="1" applyAlignment="1">
      <alignment vertical="center" wrapText="1" readingOrder="1"/>
    </xf>
    <xf numFmtId="177" fontId="0" fillId="0" borderId="7" xfId="0" applyNumberFormat="1" applyBorder="1"/>
    <xf numFmtId="2" fontId="0" fillId="0" borderId="0" xfId="0" applyNumberFormat="1"/>
    <xf numFmtId="0" fontId="5" fillId="0" borderId="8" xfId="0" applyFont="1" applyBorder="1"/>
    <xf numFmtId="0" fontId="6" fillId="0" borderId="0" xfId="0" applyFont="1" applyAlignment="1">
      <alignment horizontal="center" vertical="center"/>
    </xf>
    <xf numFmtId="0" fontId="6" fillId="3" borderId="0" xfId="0" applyFont="1" applyFill="1" applyAlignment="1">
      <alignment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178" fontId="6" fillId="0" borderId="0" xfId="0" applyNumberFormat="1" applyFont="1" applyAlignment="1">
      <alignment vertical="center"/>
    </xf>
    <xf numFmtId="0" fontId="7" fillId="0" borderId="9" xfId="0" applyFont="1" applyBorder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10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19" xfId="0" applyFont="1" applyBorder="1" applyAlignment="1">
      <alignment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8" fillId="3" borderId="0" xfId="0" applyFont="1" applyFill="1" applyAlignment="1">
      <alignment horizontal="left" vertical="center"/>
    </xf>
    <xf numFmtId="0" fontId="3" fillId="3" borderId="0" xfId="0" applyFont="1" applyFill="1" applyAlignment="1">
      <alignment vertical="center"/>
    </xf>
    <xf numFmtId="40" fontId="6" fillId="3" borderId="25" xfId="0" applyNumberFormat="1" applyFont="1" applyFill="1" applyBorder="1" applyAlignment="1">
      <alignment vertical="center"/>
    </xf>
    <xf numFmtId="40" fontId="6" fillId="3" borderId="26" xfId="0" applyNumberFormat="1" applyFont="1" applyFill="1" applyBorder="1" applyAlignment="1">
      <alignment vertical="center"/>
    </xf>
    <xf numFmtId="40" fontId="6" fillId="3" borderId="27" xfId="0" applyNumberFormat="1" applyFont="1" applyFill="1" applyBorder="1" applyAlignment="1">
      <alignment vertical="center"/>
    </xf>
    <xf numFmtId="40" fontId="6" fillId="3" borderId="28" xfId="0" applyNumberFormat="1" applyFont="1" applyFill="1" applyBorder="1" applyAlignment="1">
      <alignment vertical="center"/>
    </xf>
    <xf numFmtId="40" fontId="6" fillId="3" borderId="29" xfId="0" applyNumberFormat="1" applyFont="1" applyFill="1" applyBorder="1" applyAlignment="1">
      <alignment vertical="center"/>
    </xf>
    <xf numFmtId="40" fontId="6" fillId="3" borderId="30" xfId="0" applyNumberFormat="1" applyFont="1" applyFill="1" applyBorder="1" applyAlignment="1">
      <alignment vertical="center"/>
    </xf>
    <xf numFmtId="0" fontId="3" fillId="3" borderId="0" xfId="0" applyFont="1" applyFill="1" applyAlignment="1">
      <alignment horizontal="left" vertical="center"/>
    </xf>
    <xf numFmtId="49" fontId="0" fillId="3" borderId="0" xfId="0" applyNumberFormat="1" applyFill="1" applyAlignment="1">
      <alignment vertical="center"/>
    </xf>
    <xf numFmtId="0" fontId="0" fillId="3" borderId="0" xfId="0" applyFill="1" applyAlignment="1">
      <alignment vertical="center"/>
    </xf>
    <xf numFmtId="0" fontId="7" fillId="3" borderId="0" xfId="0" applyFont="1" applyFill="1" applyAlignment="1">
      <alignment horizontal="left" vertical="center"/>
    </xf>
    <xf numFmtId="40" fontId="6" fillId="3" borderId="31" xfId="0" applyNumberFormat="1" applyFont="1" applyFill="1" applyBorder="1" applyAlignment="1">
      <alignment vertical="center"/>
    </xf>
    <xf numFmtId="40" fontId="6" fillId="3" borderId="32" xfId="0" applyNumberFormat="1" applyFont="1" applyFill="1" applyBorder="1" applyAlignment="1">
      <alignment vertical="center"/>
    </xf>
    <xf numFmtId="40" fontId="6" fillId="3" borderId="33" xfId="0" applyNumberFormat="1" applyFont="1" applyFill="1" applyBorder="1" applyAlignment="1">
      <alignment vertical="center"/>
    </xf>
    <xf numFmtId="0" fontId="0" fillId="0" borderId="0" xfId="0" applyAlignment="1">
      <alignment vertical="center"/>
    </xf>
    <xf numFmtId="49" fontId="6" fillId="0" borderId="0" xfId="0" applyNumberFormat="1" applyFont="1" applyAlignment="1">
      <alignment vertical="center"/>
    </xf>
    <xf numFmtId="0" fontId="7" fillId="0" borderId="34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40" fontId="6" fillId="3" borderId="0" xfId="0" applyNumberFormat="1" applyFont="1" applyFill="1" applyAlignment="1">
      <alignment vertical="center"/>
    </xf>
    <xf numFmtId="0" fontId="6" fillId="3" borderId="0" xfId="0" applyFont="1" applyFill="1" applyAlignment="1">
      <alignment horizontal="left" vertical="center"/>
    </xf>
    <xf numFmtId="49" fontId="6" fillId="3" borderId="0" xfId="0" applyNumberFormat="1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0" fontId="9" fillId="0" borderId="0" xfId="0" applyFont="1" applyAlignment="1">
      <alignment vertical="center"/>
    </xf>
    <xf numFmtId="40" fontId="10" fillId="0" borderId="35" xfId="0" applyNumberFormat="1" applyFont="1" applyBorder="1" applyAlignment="1">
      <alignment vertical="center"/>
    </xf>
    <xf numFmtId="40" fontId="10" fillId="0" borderId="36" xfId="0" applyNumberFormat="1" applyFont="1" applyBorder="1" applyAlignment="1">
      <alignment vertical="center"/>
    </xf>
    <xf numFmtId="40" fontId="10" fillId="0" borderId="37" xfId="0" applyNumberFormat="1" applyFont="1" applyBorder="1" applyAlignment="1">
      <alignment vertical="center"/>
    </xf>
    <xf numFmtId="40" fontId="10" fillId="0" borderId="38" xfId="0" applyNumberFormat="1" applyFont="1" applyBorder="1" applyAlignment="1">
      <alignment vertical="center"/>
    </xf>
    <xf numFmtId="4" fontId="0" fillId="0" borderId="0" xfId="0" applyNumberFormat="1" applyAlignment="1">
      <alignment vertical="center"/>
    </xf>
    <xf numFmtId="40" fontId="10" fillId="0" borderId="39" xfId="0" applyNumberFormat="1" applyFont="1" applyBorder="1" applyAlignment="1">
      <alignment vertical="center"/>
    </xf>
    <xf numFmtId="40" fontId="10" fillId="0" borderId="40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right" vertical="center"/>
    </xf>
    <xf numFmtId="0" fontId="18" fillId="0" borderId="0" xfId="0" applyFont="1" applyAlignment="1">
      <alignment horizontal="right" vertical="center"/>
    </xf>
    <xf numFmtId="0" fontId="11" fillId="0" borderId="0" xfId="0" applyFont="1" applyAlignment="1">
      <alignment horizontal="right" vertical="center"/>
    </xf>
    <xf numFmtId="0" fontId="19" fillId="0" borderId="0" xfId="0" applyFont="1" applyAlignment="1">
      <alignment horizontal="right" vertic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horizontal="right" vertical="center"/>
    </xf>
    <xf numFmtId="0" fontId="24" fillId="0" borderId="0" xfId="0" applyFont="1" applyAlignment="1">
      <alignment vertical="center"/>
    </xf>
    <xf numFmtId="0" fontId="12" fillId="0" borderId="0" xfId="0" applyFont="1" applyAlignment="1">
      <alignment horizontal="right" vertical="center"/>
    </xf>
    <xf numFmtId="0" fontId="24" fillId="0" borderId="0" xfId="0" applyFont="1" applyAlignment="1">
      <alignment vertical="top" wrapText="1"/>
    </xf>
    <xf numFmtId="0" fontId="24" fillId="0" borderId="0" xfId="0" applyFont="1" applyAlignment="1">
      <alignment horizontal="right" vertical="top" wrapText="1"/>
    </xf>
    <xf numFmtId="14" fontId="24" fillId="0" borderId="0" xfId="0" applyNumberFormat="1" applyFont="1" applyAlignment="1">
      <alignment vertical="center"/>
    </xf>
    <xf numFmtId="0" fontId="25" fillId="0" borderId="0" xfId="0" applyFont="1" applyAlignment="1">
      <alignment horizontal="right" vertical="center"/>
    </xf>
    <xf numFmtId="0" fontId="26" fillId="0" borderId="0" xfId="0" applyFont="1" applyAlignment="1">
      <alignment vertical="center"/>
    </xf>
    <xf numFmtId="14" fontId="26" fillId="0" borderId="0" xfId="0" applyNumberFormat="1" applyFont="1" applyAlignment="1">
      <alignment horizontal="left" vertical="center"/>
    </xf>
    <xf numFmtId="0" fontId="27" fillId="4" borderId="41" xfId="0" applyFont="1" applyFill="1" applyBorder="1" applyAlignment="1">
      <alignment horizontal="center" vertical="center"/>
    </xf>
    <xf numFmtId="0" fontId="27" fillId="4" borderId="42" xfId="0" applyFont="1" applyFill="1" applyBorder="1" applyAlignment="1">
      <alignment horizontal="center" vertical="center"/>
    </xf>
    <xf numFmtId="0" fontId="27" fillId="4" borderId="43" xfId="0" applyFont="1" applyFill="1" applyBorder="1" applyAlignment="1">
      <alignment horizontal="center" vertical="center"/>
    </xf>
    <xf numFmtId="0" fontId="13" fillId="0" borderId="0" xfId="0" applyFont="1" applyAlignment="1">
      <alignment horizontal="right" vertical="center"/>
    </xf>
    <xf numFmtId="0" fontId="28" fillId="0" borderId="44" xfId="0" applyFont="1" applyBorder="1" applyAlignment="1">
      <alignment horizontal="left" vertical="center" indent="1"/>
    </xf>
    <xf numFmtId="0" fontId="28" fillId="0" borderId="0" xfId="0" applyFont="1" applyAlignment="1">
      <alignment horizontal="left" vertical="center" indent="1"/>
    </xf>
    <xf numFmtId="179" fontId="28" fillId="0" borderId="0" xfId="0" applyNumberFormat="1" applyFont="1" applyAlignment="1">
      <alignment horizontal="left" vertical="center"/>
    </xf>
    <xf numFmtId="180" fontId="29" fillId="0" borderId="45" xfId="0" applyNumberFormat="1" applyFont="1" applyBorder="1" applyAlignment="1">
      <alignment horizontal="left" vertical="center"/>
    </xf>
    <xf numFmtId="178" fontId="14" fillId="0" borderId="0" xfId="0" applyNumberFormat="1" applyFont="1" applyAlignment="1">
      <alignment horizontal="right" vertical="center"/>
    </xf>
    <xf numFmtId="0" fontId="11" fillId="0" borderId="44" xfId="0" applyFont="1" applyBorder="1" applyAlignment="1">
      <alignment horizontal="left" vertical="center" indent="3"/>
    </xf>
    <xf numFmtId="0" fontId="11" fillId="0" borderId="0" xfId="0" applyFont="1" applyAlignment="1">
      <alignment horizontal="left" vertical="center" indent="3"/>
    </xf>
    <xf numFmtId="179" fontId="11" fillId="0" borderId="0" xfId="0" applyNumberFormat="1" applyFont="1" applyAlignment="1">
      <alignment horizontal="left" vertical="center" indent="1"/>
    </xf>
    <xf numFmtId="180" fontId="11" fillId="0" borderId="45" xfId="0" applyNumberFormat="1" applyFont="1" applyBorder="1" applyAlignment="1">
      <alignment horizontal="left" vertical="center"/>
    </xf>
    <xf numFmtId="178" fontId="15" fillId="0" borderId="0" xfId="0" applyNumberFormat="1" applyFont="1" applyAlignment="1">
      <alignment horizontal="right" vertical="center"/>
    </xf>
    <xf numFmtId="178" fontId="17" fillId="0" borderId="0" xfId="0" applyNumberFormat="1" applyFont="1" applyAlignment="1">
      <alignment horizontal="right" vertical="center"/>
    </xf>
    <xf numFmtId="0" fontId="11" fillId="0" borderId="0" xfId="0" applyFont="1" applyAlignment="1">
      <alignment horizontal="left" vertical="center" indent="1"/>
    </xf>
    <xf numFmtId="0" fontId="11" fillId="0" borderId="44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79" fontId="11" fillId="0" borderId="0" xfId="0" applyNumberFormat="1" applyFont="1" applyAlignment="1">
      <alignment horizontal="left" vertical="center"/>
    </xf>
    <xf numFmtId="180" fontId="28" fillId="0" borderId="45" xfId="0" applyNumberFormat="1" applyFont="1" applyBorder="1" applyAlignment="1">
      <alignment horizontal="left" vertical="center"/>
    </xf>
    <xf numFmtId="178" fontId="16" fillId="0" borderId="0" xfId="0" applyNumberFormat="1" applyFont="1" applyAlignment="1">
      <alignment horizontal="right" vertical="center"/>
    </xf>
    <xf numFmtId="0" fontId="11" fillId="0" borderId="44" xfId="0" applyFont="1" applyBorder="1" applyAlignment="1">
      <alignment horizontal="left" vertical="center" indent="2"/>
    </xf>
    <xf numFmtId="0" fontId="11" fillId="0" borderId="0" xfId="0" applyFont="1" applyAlignment="1">
      <alignment horizontal="left" vertical="center" indent="2"/>
    </xf>
    <xf numFmtId="0" fontId="30" fillId="0" borderId="44" xfId="0" applyFont="1" applyBorder="1" applyAlignment="1">
      <alignment horizontal="left" vertical="center" indent="1"/>
    </xf>
    <xf numFmtId="0" fontId="30" fillId="0" borderId="0" xfId="0" applyFont="1" applyAlignment="1">
      <alignment horizontal="left" vertical="center" indent="1"/>
    </xf>
    <xf numFmtId="179" fontId="17" fillId="0" borderId="0" xfId="0" applyNumberFormat="1" applyFont="1" applyAlignment="1">
      <alignment horizontal="left" vertical="center"/>
    </xf>
    <xf numFmtId="180" fontId="17" fillId="0" borderId="45" xfId="0" applyNumberFormat="1" applyFont="1" applyBorder="1" applyAlignment="1">
      <alignment horizontal="left" vertical="center"/>
    </xf>
    <xf numFmtId="0" fontId="31" fillId="0" borderId="46" xfId="0" applyFont="1" applyBorder="1" applyAlignment="1">
      <alignment horizontal="left" vertical="center" indent="1"/>
    </xf>
    <xf numFmtId="0" fontId="31" fillId="0" borderId="47" xfId="0" applyFont="1" applyBorder="1" applyAlignment="1">
      <alignment horizontal="left" vertical="center" indent="1"/>
    </xf>
    <xf numFmtId="179" fontId="31" fillId="0" borderId="47" xfId="0" applyNumberFormat="1" applyFont="1" applyBorder="1" applyAlignment="1">
      <alignment horizontal="left" vertical="center"/>
    </xf>
    <xf numFmtId="180" fontId="31" fillId="0" borderId="48" xfId="0" applyNumberFormat="1" applyFont="1" applyBorder="1" applyAlignment="1">
      <alignment horizontal="left" vertical="center"/>
    </xf>
    <xf numFmtId="0" fontId="31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179" fontId="31" fillId="0" borderId="0" xfId="0" applyNumberFormat="1" applyFont="1" applyAlignment="1">
      <alignment vertical="center"/>
    </xf>
    <xf numFmtId="180" fontId="31" fillId="0" borderId="0" xfId="0" applyNumberFormat="1" applyFont="1" applyAlignment="1">
      <alignment horizontal="right" vertical="center"/>
    </xf>
    <xf numFmtId="0" fontId="31" fillId="0" borderId="0" xfId="0" applyFont="1" applyAlignment="1">
      <alignment horizontal="right" vertical="center"/>
    </xf>
    <xf numFmtId="0" fontId="32" fillId="0" borderId="0" xfId="0" applyFont="1" applyAlignment="1">
      <alignment vertical="center" wrapText="1"/>
    </xf>
    <xf numFmtId="181" fontId="32" fillId="0" borderId="0" xfId="0" applyNumberFormat="1" applyFont="1" applyAlignment="1">
      <alignment horizontal="left" vertical="center" indent="1"/>
    </xf>
    <xf numFmtId="179" fontId="33" fillId="0" borderId="49" xfId="0" applyNumberFormat="1" applyFont="1" applyBorder="1" applyAlignment="1">
      <alignment horizontal="right" vertical="center"/>
    </xf>
    <xf numFmtId="179" fontId="33" fillId="0" borderId="50" xfId="0" applyNumberFormat="1" applyFont="1" applyBorder="1" applyAlignment="1">
      <alignment horizontal="right" vertical="center"/>
    </xf>
    <xf numFmtId="180" fontId="33" fillId="0" borderId="51" xfId="0" applyNumberFormat="1" applyFont="1" applyBorder="1" applyAlignment="1">
      <alignment horizontal="right" vertical="center"/>
    </xf>
    <xf numFmtId="0" fontId="32" fillId="0" borderId="0" xfId="0" applyFont="1" applyAlignment="1">
      <alignment vertical="center"/>
    </xf>
    <xf numFmtId="179" fontId="33" fillId="0" borderId="52" xfId="0" applyNumberFormat="1" applyFont="1" applyBorder="1" applyAlignment="1">
      <alignment horizontal="right" vertical="center"/>
    </xf>
    <xf numFmtId="179" fontId="33" fillId="0" borderId="0" xfId="0" applyNumberFormat="1" applyFont="1" applyAlignment="1">
      <alignment horizontal="right" vertical="center"/>
    </xf>
    <xf numFmtId="180" fontId="33" fillId="0" borderId="53" xfId="0" applyNumberFormat="1" applyFont="1" applyBorder="1" applyAlignment="1">
      <alignment horizontal="right" vertical="center"/>
    </xf>
    <xf numFmtId="40" fontId="31" fillId="0" borderId="0" xfId="0" applyNumberFormat="1" applyFont="1" applyAlignment="1">
      <alignment vertical="center"/>
    </xf>
    <xf numFmtId="40" fontId="33" fillId="0" borderId="54" xfId="0" applyNumberFormat="1" applyFont="1" applyBorder="1" applyAlignment="1">
      <alignment horizontal="right" vertical="center"/>
    </xf>
    <xf numFmtId="40" fontId="33" fillId="0" borderId="55" xfId="0" applyNumberFormat="1" applyFont="1" applyBorder="1" applyAlignment="1">
      <alignment horizontal="right" vertical="center"/>
    </xf>
    <xf numFmtId="180" fontId="33" fillId="0" borderId="56" xfId="0" applyNumberFormat="1" applyFont="1" applyBorder="1" applyAlignment="1">
      <alignment horizontal="right" vertical="center"/>
    </xf>
    <xf numFmtId="179" fontId="30" fillId="0" borderId="52" xfId="0" applyNumberFormat="1" applyFont="1" applyBorder="1" applyAlignment="1">
      <alignment horizontal="right" vertical="center"/>
    </xf>
    <xf numFmtId="179" fontId="30" fillId="0" borderId="0" xfId="0" applyNumberFormat="1" applyFont="1" applyAlignment="1">
      <alignment horizontal="right" vertical="center"/>
    </xf>
    <xf numFmtId="180" fontId="30" fillId="0" borderId="53" xfId="0" applyNumberFormat="1" applyFont="1" applyBorder="1" applyAlignment="1">
      <alignment horizontal="right" vertical="center"/>
    </xf>
    <xf numFmtId="179" fontId="30" fillId="0" borderId="52" xfId="0" applyNumberFormat="1" applyFont="1" applyBorder="1" applyAlignment="1">
      <alignment horizontal="right" vertical="center" indent="1"/>
    </xf>
    <xf numFmtId="179" fontId="30" fillId="0" borderId="0" xfId="0" applyNumberFormat="1" applyFont="1" applyAlignment="1">
      <alignment horizontal="right" vertical="center" indent="1"/>
    </xf>
    <xf numFmtId="0" fontId="30" fillId="0" borderId="0" xfId="0" applyFont="1" applyAlignment="1">
      <alignment vertical="center"/>
    </xf>
    <xf numFmtId="179" fontId="30" fillId="0" borderId="57" xfId="0" applyNumberFormat="1" applyFont="1" applyBorder="1" applyAlignment="1">
      <alignment horizontal="right" vertical="center"/>
    </xf>
    <xf numFmtId="179" fontId="30" fillId="0" borderId="58" xfId="0" applyNumberFormat="1" applyFont="1" applyBorder="1" applyAlignment="1">
      <alignment horizontal="right" vertical="center"/>
    </xf>
    <xf numFmtId="180" fontId="30" fillId="0" borderId="59" xfId="0" applyNumberFormat="1" applyFont="1" applyBorder="1" applyAlignment="1">
      <alignment horizontal="right" vertical="center"/>
    </xf>
    <xf numFmtId="180" fontId="17" fillId="0" borderId="0" xfId="0" applyNumberFormat="1" applyFont="1" applyAlignment="1">
      <alignment vertical="center"/>
    </xf>
    <xf numFmtId="0" fontId="30" fillId="5" borderId="0" xfId="0" applyFont="1" applyFill="1" applyAlignment="1">
      <alignment horizontal="center"/>
    </xf>
    <xf numFmtId="178" fontId="17" fillId="6" borderId="0" xfId="0" applyNumberFormat="1" applyFont="1" applyFill="1" applyAlignment="1">
      <alignment horizontal="left" vertical="center" wrapText="1" indent="2"/>
    </xf>
    <xf numFmtId="178" fontId="17" fillId="6" borderId="60" xfId="0" applyNumberFormat="1" applyFont="1" applyFill="1" applyBorder="1" applyAlignment="1">
      <alignment horizontal="left" vertical="center" wrapText="1" indent="2"/>
    </xf>
    <xf numFmtId="178" fontId="17" fillId="6" borderId="61" xfId="0" applyNumberFormat="1" applyFont="1" applyFill="1" applyBorder="1" applyAlignment="1">
      <alignment horizontal="left" vertical="center" wrapText="1" indent="2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常规 2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customXml" Target="../customXml/item3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1095828</xdr:colOff>
      <xdr:row>2</xdr:row>
      <xdr:rowOff>109286</xdr:rowOff>
    </xdr:to>
    <xdr:pic>
      <xdr:nvPicPr>
        <xdr:cNvPr id="2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66315" cy="531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4"/>
  <sheetViews>
    <sheetView tabSelected="1" zoomScale="150" zoomScaleNormal="150" topLeftCell="A7" workbookViewId="0">
      <selection activeCell="H19" sqref="H19"/>
    </sheetView>
  </sheetViews>
  <sheetFormatPr defaultColWidth="9.18333333333333" defaultRowHeight="11.25" outlineLevelCol="7"/>
  <cols>
    <col min="1" max="1" width="15.3666666666667" style="88" customWidth="1"/>
    <col min="2" max="2" width="23.45" style="88" customWidth="1"/>
    <col min="3" max="3" width="4.45" style="88" customWidth="1"/>
    <col min="4" max="4" width="15.1833333333333" style="88" customWidth="1"/>
    <col min="5" max="5" width="12.5416666666667" style="88" customWidth="1"/>
    <col min="6" max="6" width="14.3666666666667" style="89" customWidth="1"/>
    <col min="7" max="7" width="9.18333333333333" style="89"/>
    <col min="8" max="8" width="9.18333333333333" style="88"/>
    <col min="9" max="9" width="9.18333333333333" style="88" customWidth="1"/>
    <col min="10" max="16384" width="9.18333333333333" style="88"/>
  </cols>
  <sheetData>
    <row r="1" ht="19" customHeight="1" spans="1:8">
      <c r="B1" s="90" t="s">
        <v>0</v>
      </c>
      <c r="C1" s="90"/>
      <c r="D1" s="90"/>
      <c r="E1" s="90"/>
      <c r="F1" s="90"/>
      <c r="G1" s="91"/>
      <c r="H1" s="89"/>
    </row>
    <row r="2" ht="14.25" customHeight="1" spans="1:8">
      <c r="B2" s="92" t="s">
        <v>1</v>
      </c>
      <c r="C2" s="92"/>
      <c r="D2" s="92"/>
      <c r="E2" s="92"/>
      <c r="F2" s="92"/>
      <c r="G2" s="91"/>
      <c r="H2" s="89"/>
    </row>
    <row r="3" s="82" customFormat="1" ht="18" customHeight="1" spans="1:8">
      <c r="B3" s="92" t="s">
        <v>2</v>
      </c>
      <c r="C3" s="92"/>
      <c r="D3" s="92"/>
      <c r="E3" s="92"/>
      <c r="F3" s="92"/>
      <c r="G3" s="91"/>
      <c r="H3" s="91"/>
    </row>
    <row r="4" s="82" customFormat="1" ht="14" customHeight="1" spans="1:8">
      <c r="G4" s="91"/>
      <c r="H4" s="91"/>
    </row>
    <row r="5" s="82" customFormat="1" ht="32" customHeight="1" spans="1:8">
      <c r="A5" s="93" t="s">
        <v>3</v>
      </c>
      <c r="B5" s="93"/>
      <c r="C5" s="93"/>
      <c r="D5" s="93"/>
      <c r="E5" s="93"/>
      <c r="F5" s="93"/>
      <c r="G5" s="91"/>
      <c r="H5" s="91"/>
    </row>
    <row r="6" s="82" customFormat="1" ht="12" customHeight="1" spans="1:8">
      <c r="A6" s="94"/>
      <c r="B6" s="94"/>
      <c r="C6" s="94"/>
      <c r="D6" s="94"/>
      <c r="E6" s="94"/>
      <c r="F6" s="94"/>
      <c r="G6" s="91"/>
      <c r="H6" s="91"/>
    </row>
    <row r="7" s="82" customFormat="1" ht="13" customHeight="1" spans="1:8">
      <c r="A7" s="95" t="s">
        <v>4</v>
      </c>
      <c r="B7" s="95"/>
      <c r="C7" s="95"/>
      <c r="D7" s="95"/>
      <c r="E7" s="95"/>
      <c r="G7" s="91"/>
      <c r="H7" s="91"/>
    </row>
    <row r="8" s="83" customFormat="1" ht="13" customHeight="1" spans="1:8">
      <c r="A8" s="96" t="s">
        <v>5</v>
      </c>
      <c r="B8" s="97" t="s">
        <v>6</v>
      </c>
      <c r="C8" s="98"/>
      <c r="D8" s="96" t="s">
        <v>7</v>
      </c>
      <c r="E8" s="96"/>
      <c r="F8" s="97" t="s">
        <v>8</v>
      </c>
      <c r="G8" s="99"/>
    </row>
    <row r="9" s="83" customFormat="1" ht="13" customHeight="1" spans="1:8">
      <c r="A9" s="96" t="s">
        <v>9</v>
      </c>
      <c r="B9" s="97" t="s">
        <v>10</v>
      </c>
      <c r="C9" s="100"/>
      <c r="D9" s="96" t="s">
        <v>11</v>
      </c>
      <c r="E9" s="96"/>
      <c r="F9" s="97" t="s">
        <v>12</v>
      </c>
      <c r="G9" s="99"/>
    </row>
    <row r="10" s="82" customFormat="1" ht="13" customHeight="1" spans="1:8">
      <c r="A10" s="96" t="s">
        <v>13</v>
      </c>
      <c r="B10" s="101" t="s">
        <v>14</v>
      </c>
      <c r="C10" s="100"/>
      <c r="D10" s="96" t="s">
        <v>15</v>
      </c>
      <c r="E10" s="96"/>
      <c r="F10" s="102">
        <f ca="1">TODAY()</f>
        <v>46212</v>
      </c>
      <c r="G10" s="91"/>
    </row>
    <row r="11" s="83" customFormat="1" ht="12" customHeight="1" spans="1:8">
      <c r="A11" s="103"/>
      <c r="B11" s="101"/>
      <c r="D11" s="96" t="s">
        <v>16</v>
      </c>
      <c r="E11" s="96"/>
      <c r="F11" s="102">
        <v>46104</v>
      </c>
      <c r="G11" s="99"/>
    </row>
    <row r="12" s="82" customFormat="1" ht="12" customHeight="1" spans="1:8">
      <c r="A12" s="104"/>
      <c r="B12" s="104"/>
      <c r="C12" s="104"/>
      <c r="D12" s="104"/>
      <c r="E12" s="105"/>
      <c r="G12" s="91"/>
    </row>
    <row r="13" ht="12"/>
    <row r="14" s="84" customFormat="1" ht="28" customHeight="1" spans="1:8">
      <c r="A14" s="106" t="s">
        <v>17</v>
      </c>
      <c r="B14" s="107"/>
      <c r="C14" s="107"/>
      <c r="D14" s="107"/>
      <c r="E14" s="107" t="str">
        <f>"Amount "&amp;'Hong Kong'!C6</f>
        <v>Amount (HKD)</v>
      </c>
      <c r="F14" s="108" t="s">
        <v>18</v>
      </c>
      <c r="G14" s="109"/>
    </row>
    <row r="15" s="85" customFormat="1" ht="16" customHeight="1" spans="1:8">
      <c r="A15" s="110" t="s">
        <v>19</v>
      </c>
      <c r="B15" s="111"/>
      <c r="C15" s="111"/>
      <c r="D15" s="111"/>
      <c r="E15" s="112">
        <f>SUM(E16:E18)</f>
        <v>0</v>
      </c>
      <c r="F15" s="113">
        <f>SUM(F16:F18)</f>
        <v>0</v>
      </c>
      <c r="G15" s="114"/>
    </row>
    <row r="16" s="86" customFormat="1" ht="12.75" spans="1:8">
      <c r="A16" s="115" t="str">
        <f>"- Labor cost for "&amp;'Hong Kong'!B9&amp;"  -  "&amp;MONTH('Hong Kong'!B2)&amp;"-"&amp;YEAR('Hong Kong'!C2)</f>
        <v>- Labor cost for 0  -  3-2026</v>
      </c>
      <c r="B16" s="116"/>
      <c r="C16" s="116"/>
      <c r="D16" s="116"/>
      <c r="E16" s="117">
        <f>'Hong Kong'!I9+'Hong Kong'!R9-'Hong Kong'!P9</f>
        <v>0</v>
      </c>
      <c r="F16" s="118">
        <f>E16/$B$28</f>
        <v>0</v>
      </c>
      <c r="G16" s="119"/>
    </row>
    <row r="17" ht="12.75" spans="1:7">
      <c r="A17" s="115" t="str">
        <f>"- "&amp;+"Expense claim for "&amp;'Hong Kong'!B9&amp;"  -  "&amp;MONTH('Hong Kong'!B2)&amp;"-"&amp;YEAR('Hong Kong'!C2)</f>
        <v>- Expense claim for 0  -  3-2026</v>
      </c>
      <c r="B17" s="116"/>
      <c r="C17" s="116"/>
      <c r="D17" s="116"/>
      <c r="E17" s="117">
        <f>'Hong Kong'!V9</f>
        <v>0</v>
      </c>
      <c r="F17" s="118">
        <f>E17/$B$28</f>
        <v>0</v>
      </c>
      <c r="G17" s="120"/>
    </row>
    <row r="18" ht="12.75" spans="1:7">
      <c r="A18" s="115" t="str">
        <f>"- Office Rental"</f>
        <v>- Office Rental</v>
      </c>
      <c r="B18" s="116"/>
      <c r="C18" s="116"/>
      <c r="D18" s="121"/>
      <c r="E18" s="117">
        <f>'Hong Kong'!P6</f>
        <v>0</v>
      </c>
      <c r="F18" s="118">
        <f>E18/$B$28</f>
        <v>0</v>
      </c>
      <c r="G18" s="120"/>
    </row>
    <row r="19" ht="12.75" spans="1:7">
      <c r="A19" s="122"/>
      <c r="B19" s="123"/>
      <c r="C19" s="123"/>
      <c r="D19" s="123"/>
      <c r="E19" s="124"/>
      <c r="F19" s="118"/>
      <c r="G19" s="120"/>
    </row>
    <row r="20" s="87" customFormat="1" ht="16" customHeight="1" spans="1:7">
      <c r="A20" s="110" t="s">
        <v>20</v>
      </c>
      <c r="B20" s="111"/>
      <c r="C20" s="111"/>
      <c r="D20" s="111"/>
      <c r="E20" s="112">
        <f>SUM(E21:E22)</f>
        <v>4545.64755036</v>
      </c>
      <c r="F20" s="125">
        <f>SUM(F21:F22)</f>
        <v>600</v>
      </c>
      <c r="G20" s="126"/>
    </row>
    <row r="21" ht="12.75" spans="1:7">
      <c r="A21" s="127" t="str">
        <f>"- "&amp;+"Management Fee - "&amp;MONTH('Hong Kong'!B2)&amp;"-"&amp;YEAR('Hong Kong'!B2)</f>
        <v>- Management Fee - 3-2026</v>
      </c>
      <c r="B21" s="128"/>
      <c r="C21" s="128"/>
      <c r="D21" s="128"/>
      <c r="E21" s="124">
        <f>'Hong Kong'!G9</f>
        <v>4545.64755036</v>
      </c>
      <c r="F21" s="118">
        <f>E21/$B$28</f>
        <v>600</v>
      </c>
      <c r="G21" s="120"/>
    </row>
    <row r="22" ht="12.75" spans="1:7">
      <c r="A22" s="127"/>
      <c r="B22" s="128"/>
      <c r="C22" s="128"/>
      <c r="D22" s="128"/>
      <c r="E22" s="124" t="s">
        <v>21</v>
      </c>
      <c r="F22" s="118"/>
      <c r="G22" s="120"/>
    </row>
    <row r="23" ht="12.75" spans="1:7">
      <c r="A23" s="127"/>
      <c r="B23" s="128"/>
      <c r="C23" s="128"/>
      <c r="D23" s="128"/>
      <c r="E23" s="124"/>
      <c r="F23" s="118"/>
      <c r="G23" s="120"/>
    </row>
    <row r="24" ht="14.25" spans="1:7">
      <c r="A24" s="129"/>
      <c r="B24" s="130"/>
      <c r="C24" s="130"/>
      <c r="D24" s="130"/>
      <c r="E24" s="131"/>
      <c r="F24" s="132"/>
      <c r="G24" s="120"/>
    </row>
    <row r="25" s="85" customFormat="1" ht="15" spans="1:7">
      <c r="A25" s="133" t="s">
        <v>22</v>
      </c>
      <c r="B25" s="134"/>
      <c r="C25" s="134"/>
      <c r="D25" s="134"/>
      <c r="E25" s="135">
        <f>E15+E20</f>
        <v>4545.64755036</v>
      </c>
      <c r="F25" s="136">
        <f>F15+F20</f>
        <v>600</v>
      </c>
      <c r="G25" s="114"/>
    </row>
    <row r="26" s="85" customFormat="1" ht="14.25" spans="1:7">
      <c r="A26" s="137"/>
      <c r="B26" s="137"/>
      <c r="C26" s="138"/>
      <c r="D26" s="138"/>
      <c r="E26" s="139"/>
      <c r="F26" s="140"/>
      <c r="G26" s="114"/>
    </row>
    <row r="27" s="85" customFormat="1" ht="15" spans="1:7">
      <c r="A27" s="141"/>
      <c r="B27" s="141"/>
      <c r="C27" s="141"/>
      <c r="D27" s="141"/>
      <c r="E27" s="139"/>
      <c r="F27" s="140"/>
      <c r="G27" s="114"/>
    </row>
    <row r="28" ht="25.5" spans="1:7">
      <c r="A28" s="142" t="str">
        <f>"*FX rate  USD:  "&amp;'Hong Kong'!C6</f>
        <v>*FX rate  USD:  (HKD)</v>
      </c>
      <c r="B28" s="143">
        <f>7.81039098*0.97</f>
        <v>7.5760792506</v>
      </c>
      <c r="C28" s="139"/>
      <c r="D28" s="144" t="s">
        <v>23</v>
      </c>
      <c r="E28" s="145"/>
      <c r="F28" s="146">
        <f>F25</f>
        <v>600</v>
      </c>
      <c r="G28" s="120"/>
    </row>
    <row r="29" s="86" customFormat="1" ht="16" customHeight="1" spans="1:7">
      <c r="A29" s="147"/>
      <c r="B29" s="147"/>
      <c r="C29" s="139"/>
      <c r="D29" s="148" t="s">
        <v>24</v>
      </c>
      <c r="E29" s="149"/>
      <c r="F29" s="150">
        <f>'Hong Kong'!E22</f>
        <v>18.33</v>
      </c>
      <c r="G29" s="119"/>
    </row>
    <row r="30" s="86" customFormat="1" ht="14.25" spans="1:7">
      <c r="A30" s="147"/>
      <c r="B30" s="147"/>
      <c r="C30" s="139"/>
      <c r="D30" s="148" t="s">
        <v>25</v>
      </c>
      <c r="E30" s="149"/>
      <c r="F30" s="150">
        <f>'Hong Kong'!E23</f>
        <v>0</v>
      </c>
      <c r="G30" s="119"/>
    </row>
    <row r="31" ht="14.25" spans="1:7">
      <c r="A31" s="147"/>
      <c r="B31" s="147"/>
      <c r="C31" s="139"/>
      <c r="D31" s="148" t="s">
        <v>26</v>
      </c>
      <c r="E31" s="149"/>
      <c r="F31" s="150">
        <f>'Hong Kong'!E24</f>
        <v>0</v>
      </c>
      <c r="G31" s="120"/>
    </row>
    <row r="32" ht="15" spans="1:7">
      <c r="A32" s="147"/>
      <c r="B32" s="147"/>
      <c r="C32" s="151"/>
      <c r="D32" s="152" t="s">
        <v>27</v>
      </c>
      <c r="E32" s="153"/>
      <c r="F32" s="154">
        <f>'Hong Kong'!E25</f>
        <v>10</v>
      </c>
      <c r="G32" s="120"/>
    </row>
    <row r="33" ht="14.25" spans="1:8">
      <c r="A33" s="147"/>
      <c r="B33" s="147"/>
      <c r="C33" s="139"/>
      <c r="D33" s="155" t="s">
        <v>28</v>
      </c>
      <c r="E33" s="156"/>
      <c r="F33" s="157">
        <f>SUM(F28:F32)</f>
        <v>628.33</v>
      </c>
      <c r="G33" s="120"/>
    </row>
    <row r="34" ht="14.25" spans="1:8">
      <c r="A34" s="147"/>
      <c r="B34" s="147"/>
      <c r="C34" s="139"/>
      <c r="D34" s="158" t="s">
        <v>29</v>
      </c>
      <c r="E34" s="159"/>
      <c r="F34" s="157">
        <f>'Hong Kong'!F6</f>
        <v>0</v>
      </c>
      <c r="G34" s="120"/>
    </row>
    <row r="35" ht="15" spans="1:8">
      <c r="A35" s="160"/>
      <c r="B35" s="160"/>
      <c r="C35" s="139"/>
      <c r="D35" s="161" t="s">
        <v>30</v>
      </c>
      <c r="E35" s="162"/>
      <c r="F35" s="163">
        <f>SUM(F33:F34)</f>
        <v>628.33</v>
      </c>
      <c r="G35" s="120"/>
      <c r="H35" s="164"/>
    </row>
    <row r="36" ht="14.25" spans="1:8">
      <c r="A36" s="130"/>
      <c r="B36" s="130"/>
      <c r="C36" s="130"/>
      <c r="D36" s="130"/>
      <c r="E36" s="151"/>
      <c r="F36" s="151"/>
      <c r="G36" s="120"/>
    </row>
    <row r="37" ht="14.25" spans="1:8">
      <c r="A37" s="130"/>
      <c r="B37" s="130"/>
      <c r="C37" s="130"/>
      <c r="D37" s="130"/>
      <c r="E37" s="151"/>
      <c r="F37" s="151"/>
      <c r="G37" s="120"/>
    </row>
    <row r="38" spans="1:8">
      <c r="G38" s="120"/>
    </row>
    <row r="39" ht="19" customHeight="1" spans="1:8">
      <c r="A39" s="165" t="s">
        <v>31</v>
      </c>
      <c r="B39" s="165"/>
      <c r="C39" s="165"/>
      <c r="D39" s="165"/>
      <c r="E39" s="165"/>
      <c r="F39" s="165"/>
    </row>
    <row r="40" ht="61" customHeight="1" spans="1:8">
      <c r="A40" s="166" t="s">
        <v>32</v>
      </c>
      <c r="B40" s="166"/>
      <c r="C40" s="167"/>
      <c r="D40" s="168" t="s">
        <v>33</v>
      </c>
      <c r="E40" s="166"/>
      <c r="F40" s="166"/>
    </row>
    <row r="41" spans="1:8">
      <c r="A41" s="88" t="s">
        <v>34</v>
      </c>
    </row>
    <row r="42" ht="11" customHeight="1" spans="1:8">
      <c r="A42" s="85" t="s">
        <v>35</v>
      </c>
      <c r="B42" s="85"/>
      <c r="C42" s="85"/>
      <c r="D42" s="85"/>
      <c r="E42" s="85"/>
      <c r="F42" s="85"/>
    </row>
    <row r="43" spans="1:8">
      <c r="A43" s="85" t="s">
        <v>36</v>
      </c>
    </row>
    <row r="44" spans="1:8">
      <c r="A44" s="85" t="s">
        <v>37</v>
      </c>
    </row>
  </sheetData>
  <mergeCells count="28">
    <mergeCell ref="B1:F1"/>
    <mergeCell ref="B2:F2"/>
    <mergeCell ref="B3:F3"/>
    <mergeCell ref="A5:F5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D25"/>
    <mergeCell ref="D28:E28"/>
    <mergeCell ref="D29:E29"/>
    <mergeCell ref="D30:E30"/>
    <mergeCell ref="D31:E31"/>
    <mergeCell ref="D32:E32"/>
    <mergeCell ref="D33:E33"/>
    <mergeCell ref="D34:E34"/>
    <mergeCell ref="D35:E35"/>
    <mergeCell ref="A39:F39"/>
    <mergeCell ref="A40:C40"/>
    <mergeCell ref="D40:F40"/>
    <mergeCell ref="B10:B11"/>
  </mergeCells>
  <pageMargins left="0.7" right="0.7" top="0.75" bottom="0.75" header="0.3" footer="0.3"/>
  <pageSetup paperSize="1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6"/>
  <sheetViews>
    <sheetView zoomScale="92" zoomScaleNormal="92" workbookViewId="0">
      <selection activeCell="I31" sqref="I31"/>
    </sheetView>
  </sheetViews>
  <sheetFormatPr defaultColWidth="9.18333333333333" defaultRowHeight="12.75"/>
  <cols>
    <col min="1" max="1" width="8.81666666666667" style="21" customWidth="1"/>
    <col min="2" max="2" width="18" style="22" customWidth="1"/>
    <col min="3" max="3" width="11.8166666666667" style="22" customWidth="1"/>
    <col min="4" max="4" width="7.45" style="22" customWidth="1"/>
    <col min="5" max="5" width="9.81666666666667" style="22" customWidth="1"/>
    <col min="6" max="6" width="7.18333333333333" style="22" customWidth="1"/>
    <col min="7" max="10" width="8.81666666666667" style="22" customWidth="1"/>
    <col min="11" max="11" width="4.81666666666667" style="22" customWidth="1"/>
    <col min="12" max="12" width="5.36666666666667" style="22" customWidth="1"/>
    <col min="13" max="13" width="5.63333333333333" style="22" customWidth="1"/>
    <col min="14" max="14" width="7.18333333333333" style="22" customWidth="1"/>
    <col min="15" max="15" width="6.81666666666667" style="22" customWidth="1"/>
    <col min="16" max="16" width="8" style="22" customWidth="1"/>
    <col min="17" max="17" width="9" style="22" customWidth="1"/>
    <col min="18" max="18" width="8" style="22" customWidth="1"/>
    <col min="19" max="19" width="11" style="22" customWidth="1"/>
    <col min="20" max="20" width="8" style="22" customWidth="1"/>
    <col min="21" max="21" width="5.81666666666667" style="22" customWidth="1"/>
    <col min="22" max="23" width="8.81666666666667" style="22" customWidth="1"/>
    <col min="24" max="16384" width="9.18333333333333" style="22"/>
  </cols>
  <sheetData>
    <row r="1" ht="13.5" spans="1:24">
      <c r="A1" s="21" t="str">
        <f ca="1">MID(CELL("filename",A1),FIND("]",CELL("filename",A1))+1,256)</f>
        <v>Hong Kong</v>
      </c>
    </row>
    <row r="2" ht="13.5" spans="1:24">
      <c r="A2" s="25" t="s">
        <v>38</v>
      </c>
      <c r="B2" s="23" t="str">
        <f>'Hong Kong-L'!C2</f>
        <v>2026/3/1</v>
      </c>
      <c r="C2" s="64" t="str">
        <f>'Hong Kong-L'!E2</f>
        <v>2026/3/31</v>
      </c>
      <c r="E2" s="65" t="s">
        <v>39</v>
      </c>
    </row>
    <row r="3" s="19" customFormat="1" ht="14" customHeight="1" spans="1:24">
      <c r="A3" s="25"/>
      <c r="B3" s="23"/>
      <c r="E3" s="66" t="s">
        <v>40</v>
      </c>
      <c r="F3" s="67" t="s">
        <v>41</v>
      </c>
      <c r="G3" s="68" t="s">
        <v>42</v>
      </c>
      <c r="H3" s="69"/>
      <c r="I3" s="32" t="s">
        <v>43</v>
      </c>
      <c r="J3" s="33"/>
      <c r="K3" s="33"/>
      <c r="L3" s="33"/>
      <c r="M3" s="33"/>
      <c r="N3" s="33"/>
      <c r="O3" s="33"/>
      <c r="P3" s="33"/>
      <c r="Q3" s="34"/>
      <c r="R3" s="35" t="s">
        <v>44</v>
      </c>
      <c r="S3" s="35"/>
      <c r="T3" s="35"/>
      <c r="U3" s="35"/>
      <c r="V3" s="35" t="s">
        <v>45</v>
      </c>
      <c r="W3" s="36"/>
    </row>
    <row r="4" s="19" customFormat="1" ht="39" spans="1:24">
      <c r="E4" s="39"/>
      <c r="F4" s="40"/>
      <c r="G4" s="40" t="s">
        <v>46</v>
      </c>
      <c r="H4" s="41" t="s">
        <v>47</v>
      </c>
      <c r="I4" s="40" t="s">
        <v>46</v>
      </c>
      <c r="J4" s="41" t="s">
        <v>48</v>
      </c>
      <c r="K4" s="41" t="s">
        <v>49</v>
      </c>
      <c r="L4" s="41" t="s">
        <v>50</v>
      </c>
      <c r="M4" s="41" t="s">
        <v>51</v>
      </c>
      <c r="N4" s="41" t="s">
        <v>52</v>
      </c>
      <c r="O4" s="41" t="s">
        <v>53</v>
      </c>
      <c r="P4" s="40" t="s">
        <v>54</v>
      </c>
      <c r="Q4" s="41" t="s">
        <v>55</v>
      </c>
      <c r="R4" s="40" t="s">
        <v>46</v>
      </c>
      <c r="S4" s="41" t="s">
        <v>56</v>
      </c>
      <c r="T4" s="41" t="s">
        <v>57</v>
      </c>
      <c r="U4" s="41" t="s">
        <v>58</v>
      </c>
      <c r="V4" s="40" t="s">
        <v>46</v>
      </c>
      <c r="W4" s="42" t="s">
        <v>59</v>
      </c>
    </row>
    <row r="5" s="19" customFormat="1" ht="13.5" spans="1:24">
      <c r="A5" s="21"/>
      <c r="E5" s="45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7"/>
    </row>
    <row r="6" s="20" customFormat="1" spans="1:24">
      <c r="A6" s="59"/>
      <c r="B6" s="20" t="s">
        <v>40</v>
      </c>
      <c r="C6" s="20" t="s">
        <v>60</v>
      </c>
      <c r="E6" s="53">
        <f t="shared" ref="E6:F6" si="0">SUM(E9:E17)</f>
        <v>4545.64755036</v>
      </c>
      <c r="F6" s="54">
        <f t="shared" si="0"/>
        <v>0</v>
      </c>
      <c r="G6" s="54">
        <f t="shared" ref="G6:W6" si="1">SUM(G9:G17)</f>
        <v>4545.64755036</v>
      </c>
      <c r="H6" s="54">
        <f t="shared" si="1"/>
        <v>4545.64755036</v>
      </c>
      <c r="I6" s="54">
        <f t="shared" si="1"/>
        <v>0</v>
      </c>
      <c r="J6" s="54">
        <f t="shared" si="1"/>
        <v>0</v>
      </c>
      <c r="K6" s="54">
        <f t="shared" si="1"/>
        <v>0</v>
      </c>
      <c r="L6" s="54">
        <f t="shared" si="1"/>
        <v>0</v>
      </c>
      <c r="M6" s="54">
        <f t="shared" si="1"/>
        <v>0</v>
      </c>
      <c r="N6" s="54">
        <f t="shared" si="1"/>
        <v>0</v>
      </c>
      <c r="O6" s="54">
        <f t="shared" si="1"/>
        <v>0</v>
      </c>
      <c r="P6" s="54">
        <f t="shared" si="1"/>
        <v>0</v>
      </c>
      <c r="Q6" s="54">
        <f t="shared" si="1"/>
        <v>0</v>
      </c>
      <c r="R6" s="54">
        <f t="shared" si="1"/>
        <v>0</v>
      </c>
      <c r="S6" s="54">
        <f t="shared" si="1"/>
        <v>0</v>
      </c>
      <c r="T6" s="54">
        <f t="shared" si="1"/>
        <v>0</v>
      </c>
      <c r="U6" s="54">
        <f t="shared" si="1"/>
        <v>0</v>
      </c>
      <c r="V6" s="54">
        <f t="shared" si="1"/>
        <v>0</v>
      </c>
      <c r="W6" s="55">
        <f t="shared" si="1"/>
        <v>0</v>
      </c>
      <c r="X6" s="70"/>
    </row>
    <row r="7" s="20" customFormat="1" spans="1:24">
      <c r="A7" s="71"/>
      <c r="B7" s="72"/>
      <c r="C7" s="73"/>
      <c r="E7" s="53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5"/>
      <c r="X7" s="70"/>
    </row>
    <row r="8" s="20" customFormat="1" spans="1:24">
      <c r="A8" s="71"/>
      <c r="E8" s="53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5"/>
      <c r="X8" s="70"/>
    </row>
    <row r="9" s="20" customFormat="1" spans="1:24">
      <c r="A9" s="59"/>
      <c r="B9" s="20">
        <f>'Hong Kong-L'!B8</f>
        <v>0</v>
      </c>
      <c r="C9" s="20">
        <f>'Hong Kong EE'!D10</f>
        <v>0</v>
      </c>
      <c r="E9" s="53">
        <f>F9+G9+I9+R9+V9</f>
        <v>4545.64755036</v>
      </c>
      <c r="F9" s="54">
        <v>0</v>
      </c>
      <c r="G9" s="54">
        <f>SUM(H9:H9)</f>
        <v>4545.64755036</v>
      </c>
      <c r="H9" s="54">
        <f>MAX(600*PN!B28,(I9+R9+V9)*16%)</f>
        <v>4545.64755036</v>
      </c>
      <c r="I9" s="54">
        <f>SUM(J9:Q9)</f>
        <v>0</v>
      </c>
      <c r="J9" s="54">
        <f>'Hong Kong-L'!C8</f>
        <v>0</v>
      </c>
      <c r="K9" s="54">
        <f>'Hong Kong-L'!D8</f>
        <v>0</v>
      </c>
      <c r="L9" s="54">
        <f>'Hong Kong-L'!E8</f>
        <v>0</v>
      </c>
      <c r="M9" s="54">
        <f>'Hong Kong-L'!F8</f>
        <v>0</v>
      </c>
      <c r="N9" s="54">
        <f>'Hong Kong-L'!G8</f>
        <v>0</v>
      </c>
      <c r="O9" s="54">
        <f>'Hong Kong-L'!H8</f>
        <v>0</v>
      </c>
      <c r="P9" s="54">
        <f>'Hong Kong-L'!I8</f>
        <v>0</v>
      </c>
      <c r="Q9" s="54">
        <f>'Hong Kong-L'!P8</f>
        <v>0</v>
      </c>
      <c r="R9" s="54">
        <f>SUM(S9:U9)</f>
        <v>0</v>
      </c>
      <c r="S9" s="54">
        <f>'Hong Kong-L'!L8</f>
        <v>0</v>
      </c>
      <c r="T9" s="54">
        <f>'Hong Kong-L'!M8</f>
        <v>0</v>
      </c>
      <c r="U9" s="54">
        <f>'Hong Kong-L'!O8</f>
        <v>0</v>
      </c>
      <c r="V9" s="54">
        <f>SUM(W9:W9)</f>
        <v>0</v>
      </c>
      <c r="W9" s="55">
        <f>'Hong Kong-L'!J8</f>
        <v>0</v>
      </c>
      <c r="X9" s="70"/>
    </row>
    <row r="10" s="20" customFormat="1" spans="1:24">
      <c r="A10" s="59"/>
      <c r="E10" s="53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5"/>
      <c r="X10" s="70"/>
    </row>
    <row r="11" s="20" customFormat="1" spans="1:24">
      <c r="A11" s="59"/>
      <c r="E11" s="53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5"/>
      <c r="X11" s="70"/>
    </row>
    <row r="12" s="20" customFormat="1" spans="1:24">
      <c r="A12" s="59"/>
      <c r="E12" s="53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5"/>
      <c r="X12" s="70"/>
    </row>
    <row r="13" s="20" customFormat="1" spans="1:24">
      <c r="A13" s="59"/>
      <c r="E13" s="53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5"/>
      <c r="X13" s="70"/>
    </row>
    <row r="14" s="20" customFormat="1" spans="1:24">
      <c r="A14" s="59"/>
      <c r="E14" s="53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5"/>
      <c r="X14" s="70"/>
    </row>
    <row r="15" s="20" customFormat="1" spans="1:24">
      <c r="A15" s="59"/>
      <c r="E15" s="53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5"/>
      <c r="X15" s="70"/>
    </row>
    <row r="16" s="20" customFormat="1" spans="1:24">
      <c r="A16" s="59"/>
      <c r="E16" s="53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5"/>
      <c r="X16" s="70"/>
    </row>
    <row r="17" s="20" customFormat="1" ht="13.5" spans="1:24">
      <c r="A17" s="59"/>
      <c r="E17" s="60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2"/>
      <c r="X17" s="70"/>
    </row>
    <row r="20" s="63" customFormat="1" ht="15" spans="1:24">
      <c r="A20" s="43"/>
    </row>
    <row r="21" s="63" customFormat="1" ht="14.25" spans="1:24">
      <c r="A21" s="43" t="s">
        <v>61</v>
      </c>
      <c r="B21" s="74"/>
      <c r="C21" s="74"/>
      <c r="D21" s="74"/>
      <c r="E21" s="75">
        <f>SUM(E22:E26)</f>
        <v>28.33</v>
      </c>
      <c r="F21" s="76">
        <v>0</v>
      </c>
    </row>
    <row r="22" s="63" customFormat="1" ht="14.25" spans="1:24">
      <c r="A22" s="43"/>
      <c r="B22" s="74" t="s">
        <v>24</v>
      </c>
      <c r="C22" s="74"/>
      <c r="D22" s="74"/>
      <c r="E22" s="77">
        <v>18.33</v>
      </c>
      <c r="F22" s="78"/>
      <c r="G22" s="79"/>
    </row>
    <row r="23" s="63" customFormat="1" ht="14.25" spans="1:24">
      <c r="A23" s="43"/>
      <c r="B23" s="74" t="s">
        <v>25</v>
      </c>
      <c r="C23" s="74"/>
      <c r="D23" s="74"/>
      <c r="E23" s="77"/>
      <c r="F23" s="78">
        <v>0</v>
      </c>
    </row>
    <row r="24" s="63" customFormat="1" ht="14.25" spans="1:24">
      <c r="A24" s="43"/>
      <c r="B24" s="74" t="s">
        <v>62</v>
      </c>
      <c r="C24" s="74"/>
      <c r="D24" s="74"/>
      <c r="E24" s="77"/>
      <c r="F24" s="78">
        <v>0</v>
      </c>
    </row>
    <row r="25" s="63" customFormat="1" ht="14.25" spans="1:24">
      <c r="A25" s="43"/>
      <c r="B25" s="74" t="s">
        <v>63</v>
      </c>
      <c r="C25" s="74"/>
      <c r="D25" s="74"/>
      <c r="E25" s="77">
        <v>10</v>
      </c>
      <c r="F25" s="78"/>
    </row>
    <row r="26" s="63" customFormat="1" ht="15" spans="1:24">
      <c r="A26" s="43"/>
      <c r="B26" s="74" t="s">
        <v>64</v>
      </c>
      <c r="C26" s="74"/>
      <c r="D26" s="74"/>
      <c r="E26" s="80">
        <v>0</v>
      </c>
      <c r="F26" s="81"/>
    </row>
  </sheetData>
  <mergeCells count="6">
    <mergeCell ref="G3:H3"/>
    <mergeCell ref="I3:Q3"/>
    <mergeCell ref="R3:U3"/>
    <mergeCell ref="V3:W3"/>
    <mergeCell ref="E3:E4"/>
    <mergeCell ref="F3:F4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9"/>
  <sheetViews>
    <sheetView workbookViewId="0">
      <selection activeCell="H33" sqref="H33"/>
    </sheetView>
  </sheetViews>
  <sheetFormatPr defaultColWidth="9.18333333333333" defaultRowHeight="12.75"/>
  <cols>
    <col min="1" max="1" width="12.3666666666667" style="21" customWidth="1"/>
    <col min="2" max="2" width="9.81666666666667" style="22" customWidth="1"/>
    <col min="3" max="3" width="10.3666666666667" style="22" customWidth="1"/>
    <col min="4" max="4" width="12.6333333333333" style="22" customWidth="1"/>
    <col min="5" max="5" width="12" style="22" customWidth="1"/>
    <col min="6" max="6" width="8.45" style="22" customWidth="1"/>
    <col min="7" max="7" width="9.45" style="22" customWidth="1"/>
    <col min="8" max="8" width="12.725" style="22" customWidth="1"/>
    <col min="9" max="9" width="12.6333333333333" style="22" customWidth="1"/>
    <col min="10" max="10" width="8.81666666666667" style="22" customWidth="1"/>
    <col min="11" max="11" width="4.63333333333333" style="22" customWidth="1"/>
    <col min="12" max="12" width="8.36666666666667" style="22" customWidth="1"/>
    <col min="13" max="13" width="10.1833333333333" style="22" customWidth="1"/>
    <col min="14" max="14" width="7.18333333333333" style="22" customWidth="1"/>
    <col min="15" max="15" width="6.81666666666667" style="22" customWidth="1"/>
    <col min="16" max="16" width="7.45" style="22" customWidth="1"/>
    <col min="17" max="17" width="11.45" style="22" customWidth="1"/>
    <col min="18" max="19" width="8.36666666666667" style="22" customWidth="1"/>
    <col min="20" max="21" width="8" style="22" customWidth="1"/>
    <col min="22" max="16384" width="9.18333333333333" style="22"/>
  </cols>
  <sheetData>
    <row r="1" ht="13.5" spans="1:21">
      <c r="A1" s="21" t="str">
        <f ca="1">MID(CELL("filename",A1),FIND("]",CELL("filename",A1))+1,256)</f>
        <v>Hong Kong EE</v>
      </c>
      <c r="C1" s="23"/>
      <c r="D1" s="23"/>
      <c r="E1" s="23"/>
      <c r="F1" s="23"/>
      <c r="H1" s="24"/>
    </row>
    <row r="2" ht="13.5" spans="1:21">
      <c r="A2" s="25"/>
      <c r="B2" s="23"/>
      <c r="C2" s="23"/>
      <c r="D2" s="23"/>
      <c r="E2" s="23"/>
      <c r="F2" s="23"/>
      <c r="H2" s="26" t="s">
        <v>65</v>
      </c>
    </row>
    <row r="3" s="19" customFormat="1" ht="14" customHeight="1" spans="1:21">
      <c r="A3" s="27"/>
      <c r="B3" s="28" t="s">
        <v>66</v>
      </c>
      <c r="C3" s="28" t="s">
        <v>67</v>
      </c>
      <c r="D3" s="28" t="s">
        <v>68</v>
      </c>
      <c r="E3" s="28" t="s">
        <v>69</v>
      </c>
      <c r="F3" s="29" t="s">
        <v>38</v>
      </c>
      <c r="G3" s="30"/>
      <c r="H3" s="31" t="s">
        <v>70</v>
      </c>
      <c r="I3" s="32" t="s">
        <v>43</v>
      </c>
      <c r="J3" s="33"/>
      <c r="K3" s="33"/>
      <c r="L3" s="33"/>
      <c r="M3" s="33"/>
      <c r="N3" s="33"/>
      <c r="O3" s="33"/>
      <c r="P3" s="33"/>
      <c r="Q3" s="34"/>
      <c r="R3" s="35" t="s">
        <v>45</v>
      </c>
      <c r="S3" s="35"/>
      <c r="T3" s="35" t="s">
        <v>44</v>
      </c>
      <c r="U3" s="36"/>
    </row>
    <row r="4" s="19" customFormat="1" ht="26.25" spans="1:21">
      <c r="A4" s="27"/>
      <c r="B4" s="37"/>
      <c r="C4" s="37"/>
      <c r="D4" s="37"/>
      <c r="E4" s="37"/>
      <c r="F4" s="38" t="s">
        <v>71</v>
      </c>
      <c r="G4" s="38" t="s">
        <v>72</v>
      </c>
      <c r="H4" s="39"/>
      <c r="I4" s="40" t="s">
        <v>46</v>
      </c>
      <c r="J4" s="41" t="s">
        <v>48</v>
      </c>
      <c r="K4" s="41" t="s">
        <v>49</v>
      </c>
      <c r="L4" s="41" t="s">
        <v>50</v>
      </c>
      <c r="M4" s="41" t="s">
        <v>51</v>
      </c>
      <c r="N4" s="41" t="s">
        <v>52</v>
      </c>
      <c r="O4" s="41" t="s">
        <v>53</v>
      </c>
      <c r="P4" s="40" t="s">
        <v>54</v>
      </c>
      <c r="Q4" s="40" t="s">
        <v>73</v>
      </c>
      <c r="R4" s="40" t="s">
        <v>46</v>
      </c>
      <c r="S4" s="41" t="s">
        <v>59</v>
      </c>
      <c r="T4" s="40" t="s">
        <v>46</v>
      </c>
      <c r="U4" s="42" t="s">
        <v>74</v>
      </c>
    </row>
    <row r="5" s="19" customFormat="1" ht="15" spans="1:21">
      <c r="A5" s="43"/>
      <c r="B5" s="44"/>
      <c r="C5" s="44"/>
      <c r="D5" s="44"/>
      <c r="E5" s="44"/>
      <c r="F5" s="44"/>
      <c r="G5" s="44"/>
      <c r="H5" s="45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7"/>
    </row>
    <row r="6" s="20" customFormat="1" ht="14.25" spans="1:21">
      <c r="A6" s="48" t="s">
        <v>75</v>
      </c>
      <c r="B6" s="49"/>
      <c r="C6" s="49"/>
      <c r="D6" s="49"/>
      <c r="E6" s="49"/>
      <c r="F6" s="49"/>
      <c r="G6" s="49"/>
      <c r="H6" s="50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2"/>
    </row>
    <row r="7" s="20" customFormat="1" ht="14.25" spans="1:21">
      <c r="A7" s="48"/>
      <c r="B7" s="49"/>
      <c r="C7" s="49"/>
      <c r="D7" s="49"/>
      <c r="E7" s="49"/>
      <c r="F7" s="49"/>
      <c r="G7" s="49"/>
      <c r="H7" s="53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5"/>
    </row>
    <row r="8" s="20" customFormat="1" ht="14.25" spans="1:21">
      <c r="A8" s="56"/>
      <c r="B8" s="57"/>
      <c r="C8" s="57"/>
      <c r="D8" s="57"/>
      <c r="E8" s="57"/>
      <c r="F8" s="57"/>
      <c r="G8" s="57"/>
      <c r="H8" s="53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5"/>
    </row>
    <row r="9" s="20" customFormat="1" ht="14.25" spans="1:21">
      <c r="A9" s="56"/>
      <c r="B9" s="58"/>
      <c r="C9" s="58"/>
      <c r="D9" s="58"/>
      <c r="E9" s="58"/>
      <c r="F9" s="58"/>
      <c r="G9" s="58"/>
      <c r="H9" s="53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5"/>
    </row>
    <row r="10" s="20" customFormat="1" ht="14.25" spans="1:21">
      <c r="A10" s="48"/>
      <c r="B10" s="58" t="str">
        <f>PN!B9</f>
        <v>CUS1503</v>
      </c>
      <c r="C10" s="58" t="str">
        <f>PN!B8</f>
        <v>UE Corp</v>
      </c>
      <c r="D10" s="58">
        <f>'Hong Kong-L'!A8</f>
        <v>0</v>
      </c>
      <c r="E10" s="58">
        <f>'Hong Kong-L'!B8</f>
        <v>0</v>
      </c>
      <c r="F10" s="57" t="str">
        <f>'Hong Kong-L'!C2</f>
        <v>2026/3/1</v>
      </c>
      <c r="G10" s="57" t="str">
        <f>'Hong Kong-L'!E2</f>
        <v>2026/3/31</v>
      </c>
      <c r="H10" s="53">
        <f>I10+R10+T10</f>
        <v>0</v>
      </c>
      <c r="I10" s="54">
        <f>SUM(J10:Q10)</f>
        <v>0</v>
      </c>
      <c r="J10" s="54">
        <f>'Hong Kong-L'!C8</f>
        <v>0</v>
      </c>
      <c r="K10" s="54">
        <f>'Hong Kong-L'!D8</f>
        <v>0</v>
      </c>
      <c r="L10" s="54">
        <f>'Hong Kong-L'!E8</f>
        <v>0</v>
      </c>
      <c r="M10" s="54">
        <f>'Hong Kong-L'!F8</f>
        <v>0</v>
      </c>
      <c r="N10" s="54">
        <f>'Hong Kong-L'!G8</f>
        <v>0</v>
      </c>
      <c r="O10" s="54">
        <f>'Hong Kong-L'!H8</f>
        <v>0</v>
      </c>
      <c r="P10" s="54">
        <f>'Hong Kong-L'!I8</f>
        <v>0</v>
      </c>
      <c r="Q10" s="54">
        <f>'Hong Kong-L'!P8</f>
        <v>0</v>
      </c>
      <c r="R10" s="54">
        <f>SUM(S10:S10)</f>
        <v>0</v>
      </c>
      <c r="S10" s="54">
        <f>'Hong Kong-L'!J8</f>
        <v>0</v>
      </c>
      <c r="T10" s="54">
        <f>SUM(U10:U10)</f>
        <v>0</v>
      </c>
      <c r="U10" s="55">
        <f>'Hong Kong-L'!N8</f>
        <v>0</v>
      </c>
    </row>
    <row r="11" s="20" customFormat="1" spans="1:21">
      <c r="A11" s="59"/>
      <c r="H11" s="53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5"/>
    </row>
    <row r="12" s="20" customFormat="1" spans="1:21">
      <c r="A12" s="59"/>
      <c r="H12" s="53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5"/>
    </row>
    <row r="13" s="20" customFormat="1" spans="1:21">
      <c r="A13" s="59"/>
      <c r="H13" s="53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5"/>
    </row>
    <row r="14" s="20" customFormat="1" spans="1:21">
      <c r="A14" s="59"/>
      <c r="H14" s="53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5"/>
    </row>
    <row r="15" s="20" customFormat="1" spans="1:21">
      <c r="A15" s="59"/>
      <c r="H15" s="53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5"/>
    </row>
    <row r="16" s="20" customFormat="1" spans="1:21">
      <c r="A16" s="59"/>
      <c r="H16" s="53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5"/>
    </row>
    <row r="17" s="20" customFormat="1" spans="1:21">
      <c r="A17" s="59"/>
      <c r="H17" s="53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5"/>
    </row>
    <row r="18" s="20" customFormat="1" spans="1:21">
      <c r="A18" s="59"/>
      <c r="H18" s="53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5"/>
    </row>
    <row r="19" s="20" customFormat="1" ht="13.5" spans="1:21">
      <c r="A19" s="59"/>
      <c r="H19" s="60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2"/>
    </row>
  </sheetData>
  <mergeCells count="9">
    <mergeCell ref="F3:G3"/>
    <mergeCell ref="I3:Q3"/>
    <mergeCell ref="R3:S3"/>
    <mergeCell ref="T3:U3"/>
    <mergeCell ref="B3:B4"/>
    <mergeCell ref="C3:C4"/>
    <mergeCell ref="D3:D4"/>
    <mergeCell ref="E3:E4"/>
    <mergeCell ref="H3:H4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3"/>
  <sheetViews>
    <sheetView zoomScale="115" zoomScaleNormal="115" workbookViewId="0">
      <selection activeCell="J18" sqref="J18"/>
    </sheetView>
  </sheetViews>
  <sheetFormatPr defaultColWidth="8.81666666666667" defaultRowHeight="14.25"/>
  <cols>
    <col min="1" max="1" width="6.63333333333333" customWidth="1"/>
    <col min="2" max="2" width="23.1833333333333" customWidth="1"/>
    <col min="3" max="3" width="11.1833333333333" customWidth="1"/>
    <col min="4" max="4" width="8" customWidth="1"/>
    <col min="5" max="5" width="10.6333333333333" customWidth="1"/>
    <col min="6" max="6" width="12" customWidth="1"/>
    <col min="7" max="8" width="15" customWidth="1"/>
    <col min="9" max="10" width="9" customWidth="1"/>
    <col min="11" max="11" width="12.5416666666667" customWidth="1"/>
    <col min="12" max="12" width="10.3666666666667" customWidth="1"/>
    <col min="13" max="13" width="9" customWidth="1"/>
    <col min="14" max="14" width="9.63333333333333" customWidth="1"/>
    <col min="16" max="16" width="12.8166666666667" customWidth="1"/>
    <col min="17" max="18" width="15" customWidth="1"/>
    <col min="19" max="19" width="13.1833333333333" customWidth="1"/>
    <col min="20" max="20" width="10.6333333333333" customWidth="1"/>
    <col min="22" max="22" width="9.45" customWidth="1"/>
    <col min="42" max="42" width="10.6333333333333" customWidth="1"/>
  </cols>
  <sheetData>
    <row r="1" spans="1:20">
      <c r="A1" s="2" t="s">
        <v>5</v>
      </c>
      <c r="B1" s="2"/>
      <c r="C1" s="3" t="str">
        <f>PN!B8</f>
        <v>UE Corp</v>
      </c>
    </row>
    <row r="2" spans="1:20">
      <c r="A2" s="2" t="s">
        <v>76</v>
      </c>
      <c r="B2" s="2"/>
      <c r="C2" s="4" t="s">
        <v>77</v>
      </c>
      <c r="D2" s="2" t="s">
        <v>78</v>
      </c>
      <c r="E2" s="4" t="s">
        <v>79</v>
      </c>
    </row>
    <row r="3" spans="1:20">
      <c r="A3" s="2" t="s">
        <v>80</v>
      </c>
      <c r="B3" s="2"/>
      <c r="C3" s="5" t="s">
        <v>81</v>
      </c>
    </row>
    <row r="6" ht="15"/>
    <row r="7" s="1" customFormat="1" ht="57.75" spans="1:20">
      <c r="A7" s="6" t="s">
        <v>82</v>
      </c>
      <c r="B7" s="7" t="s">
        <v>83</v>
      </c>
      <c r="C7" s="7" t="s">
        <v>48</v>
      </c>
      <c r="D7" s="7" t="s">
        <v>49</v>
      </c>
      <c r="E7" s="7" t="s">
        <v>50</v>
      </c>
      <c r="F7" s="7" t="s">
        <v>51</v>
      </c>
      <c r="G7" s="7" t="s">
        <v>52</v>
      </c>
      <c r="H7" s="7" t="s">
        <v>53</v>
      </c>
      <c r="I7" s="7" t="s">
        <v>54</v>
      </c>
      <c r="J7" s="7" t="s">
        <v>84</v>
      </c>
      <c r="K7" s="7" t="s">
        <v>43</v>
      </c>
      <c r="L7" s="7" t="s">
        <v>56</v>
      </c>
      <c r="M7" s="7" t="s">
        <v>57</v>
      </c>
      <c r="N7" s="7" t="s">
        <v>74</v>
      </c>
      <c r="O7" s="7" t="s">
        <v>85</v>
      </c>
      <c r="P7" s="7" t="s">
        <v>73</v>
      </c>
      <c r="Q7" s="7" t="s">
        <v>86</v>
      </c>
      <c r="R7" s="8" t="s">
        <v>87</v>
      </c>
    </row>
    <row r="8" spans="1:20">
      <c r="A8" s="9"/>
      <c r="B8" s="10"/>
      <c r="C8" s="11"/>
      <c r="D8" s="12"/>
      <c r="E8" s="11"/>
      <c r="F8" s="13"/>
      <c r="G8" s="13"/>
      <c r="H8" s="13"/>
      <c r="I8" s="13"/>
      <c r="J8" s="14"/>
      <c r="K8" s="13"/>
      <c r="L8" s="13"/>
      <c r="M8" s="13"/>
      <c r="N8" s="13"/>
      <c r="O8" s="13"/>
      <c r="P8" s="15"/>
      <c r="Q8" s="11"/>
      <c r="R8" s="16"/>
      <c r="T8" s="17"/>
    </row>
    <row r="9" spans="1:20">
      <c r="A9" s="9"/>
      <c r="B9" s="10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</row>
    <row r="10" spans="1:20">
      <c r="A10" s="9"/>
      <c r="B10" s="10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</row>
    <row r="11" spans="1:20">
      <c r="A11" s="9"/>
      <c r="B11" s="10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</row>
    <row r="12" ht="15" spans="1:20">
      <c r="A12" s="9"/>
      <c r="B12" s="18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</row>
    <row r="13" ht="15" spans="1:20">
      <c r="A13" s="9"/>
      <c r="B13" s="18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</row>
  </sheetData>
  <mergeCells count="3">
    <mergeCell ref="A1:B1"/>
    <mergeCell ref="A2:B2"/>
    <mergeCell ref="A3:B3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CB81C1AA-15EC-4ADB-A46F-B6AE36F878FA}">
  <ds:schemaRefs/>
</ds:datastoreItem>
</file>

<file path=customXml/itemProps2.xml><?xml version="1.0" encoding="utf-8"?>
<ds:datastoreItem xmlns:ds="http://schemas.openxmlformats.org/officeDocument/2006/customXml" ds:itemID="{E2A9B423-83D3-49E0-BE6D-5522DEF8F0D3}">
  <ds:schemaRefs/>
</ds:datastoreItem>
</file>

<file path=customXml/itemProps3.xml><?xml version="1.0" encoding="utf-8"?>
<ds:datastoreItem xmlns:ds="http://schemas.openxmlformats.org/officeDocument/2006/customXml" ds:itemID="{9E9AD923-1F03-4A18-A21B-E8C15E3D4F2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PN</vt:lpstr>
      <vt:lpstr>Hong Kong</vt:lpstr>
      <vt:lpstr>Hong Kong EE</vt:lpstr>
      <vt:lpstr>Hong Kong-L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</dc:creator>
  <cp:lastModifiedBy>给我，高高的飞起来啊！！</cp:lastModifiedBy>
  <dcterms:created xsi:type="dcterms:W3CDTF">2019-04-02T09:07:00Z</dcterms:created>
  <cp:lastPrinted>2025-03-05T21:09:00Z</cp:lastPrinted>
  <dcterms:modified xsi:type="dcterms:W3CDTF">2026-07-09T05:43:59Z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0x010100AAA55CC3C3BD834BA343262FD5D71E76</vt:lpwstr>
  </property>
  <property fmtid="{D5CDD505-2E9C-101B-9397-08002B2CF9AE}" pid="3" name="WorkbookGuid">
    <vt:lpwstr>a8ef3fbe-4e27-48f7-a0b1-3e7729cc8ae0</vt:lpwstr>
  </property>
  <property fmtid="{D5CDD505-2E9C-101B-9397-08002B2CF9AE}" pid="4" name="MediaServiceImageTags">
    <vt:lpwstr/>
  </property>
  <property fmtid="{D5CDD505-2E9C-101B-9397-08002B2CF9AE}" pid="5" name="ICV">
    <vt:lpwstr>610C834055764C5A8554B3C1FE6A1FC8_12</vt:lpwstr>
  </property>
  <property fmtid="{D5CDD505-2E9C-101B-9397-08002B2CF9AE}" pid="6" name="KSOProductBuildVer">
    <vt:lpwstr>2052-12.1.0.26375</vt:lpwstr>
  </property>
  <property fmtid="{D5CDD505-2E9C-101B-9397-08002B2CF9AE}" pid="7" name="CalculationRule">
    <vt:i4>0</vt:i4>
  </property>
</Properties>
</file>