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xmlns:r="http://schemas.openxmlformats.org/officeDocument/2006/relationships" name="PN" sheetId="1" state="visible" r:id="rId1"/>
    <sheet xmlns:r="http://schemas.openxmlformats.org/officeDocument/2006/relationships" name="Hong Kong" sheetId="2" state="visible" r:id="rId2"/>
    <sheet xmlns:r="http://schemas.openxmlformats.org/officeDocument/2006/relationships" name="Hong Kong EE" sheetId="3" state="visible" r:id="rId3"/>
    <sheet xmlns:r="http://schemas.openxmlformats.org/officeDocument/2006/relationships" name="Hong Kong-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[$-10409]#,##0.00;\(#,##0.00\)"/>
    <numFmt numFmtId="165" formatCode="#,##0.000_);\(#,##0.000\)"/>
    <numFmt numFmtId="166" formatCode="#,##0.00_ "/>
    <numFmt numFmtId="167" formatCode="_(&quot;$&quot;* #,##0.00_);_(&quot;$&quot;* \(#,##0.00\);_(&quot;$&quot;* &quot;-&quot;??_);_(@_)"/>
    <numFmt numFmtId="168" formatCode="0.0000"/>
    <numFmt numFmtId="169" formatCode="yyyy/m/d"/>
  </numFmts>
  <fonts count="55">
    <font>
      <name val="等线"/>
      <charset val="134"/>
      <color theme="1"/>
      <sz val="11"/>
      <scheme val="minor"/>
    </font>
    <font>
      <name val="等线"/>
      <charset val="134"/>
      <color rgb="FF000000"/>
      <sz val="11"/>
      <scheme val="minor"/>
    </font>
    <font>
      <name val="等线"/>
      <charset val="134"/>
      <color rgb="FF000000"/>
      <sz val="11"/>
      <scheme val="minor"/>
    </font>
    <font>
      <name val="等线"/>
      <charset val="134"/>
      <color theme="1"/>
      <sz val="11"/>
      <scheme val="minor"/>
    </font>
    <font>
      <name val="Verdana"/>
      <charset val="134"/>
      <color rgb="FF000000"/>
      <sz val="8"/>
    </font>
    <font>
      <name val="Calibri"/>
      <charset val="134"/>
      <color rgb="FF000000"/>
      <sz val="11"/>
    </font>
    <font>
      <name val="等线"/>
      <charset val="134"/>
      <color theme="1"/>
      <sz val="10"/>
      <scheme val="minor"/>
    </font>
    <font>
      <name val="等线"/>
      <charset val="134"/>
      <b val="1"/>
      <color theme="1"/>
      <sz val="10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color rgb="FF000000"/>
      <sz val="11"/>
      <scheme val="minor"/>
    </font>
    <font>
      <name val="等线"/>
      <charset val="134"/>
      <color rgb="FF000000"/>
      <sz val="10"/>
      <scheme val="minor"/>
    </font>
    <font>
      <name val="等线"/>
      <charset val="134"/>
      <color theme="1"/>
      <sz val="10"/>
      <scheme val="minor"/>
    </font>
    <font>
      <name val="等线"/>
      <charset val="134"/>
      <color theme="0" tint="-0.499984740745262"/>
      <sz val="8"/>
      <scheme val="minor"/>
    </font>
    <font>
      <name val="等线"/>
      <charset val="134"/>
      <b val="1"/>
      <sz val="11"/>
      <scheme val="minor"/>
    </font>
    <font>
      <name val="等线"/>
      <charset val="134"/>
      <i val="1"/>
      <color theme="1"/>
      <sz val="8"/>
      <scheme val="minor"/>
    </font>
    <font>
      <name val="等线"/>
      <charset val="134"/>
      <b val="1"/>
      <color theme="1"/>
      <sz val="8"/>
      <scheme val="minor"/>
    </font>
    <font>
      <name val="等线"/>
      <charset val="134"/>
      <b val="1"/>
      <i val="1"/>
      <color theme="1"/>
      <sz val="8"/>
      <scheme val="minor"/>
    </font>
    <font>
      <name val="等线"/>
      <charset val="134"/>
      <color theme="1"/>
      <sz val="8"/>
      <scheme val="minor"/>
    </font>
    <font>
      <name val="等线"/>
      <charset val="134"/>
      <b val="1"/>
      <color rgb="FF0066B3"/>
      <sz val="12"/>
      <scheme val="minor"/>
    </font>
    <font>
      <name val="等线"/>
      <charset val="134"/>
      <sz val="10.5"/>
      <scheme val="minor"/>
    </font>
    <font>
      <name val="等线"/>
      <charset val="134"/>
      <b val="1"/>
      <color theme="1"/>
      <sz val="24"/>
      <scheme val="minor"/>
    </font>
    <font>
      <name val="等线"/>
      <charset val="134"/>
      <b val="1"/>
      <color theme="1"/>
      <sz val="18"/>
      <scheme val="minor"/>
    </font>
    <font>
      <name val="等线"/>
      <charset val="134"/>
      <b val="1"/>
      <color theme="1"/>
      <sz val="10"/>
      <scheme val="minor"/>
    </font>
    <font>
      <name val="等线"/>
      <charset val="134"/>
      <color theme="0" tint="-0.499984740745262"/>
      <sz val="9"/>
      <scheme val="minor"/>
    </font>
    <font>
      <name val="等线"/>
      <charset val="134"/>
      <color rgb="FF000000"/>
      <sz val="9"/>
      <scheme val="minor"/>
    </font>
    <font>
      <name val="等线"/>
      <charset val="134"/>
      <color theme="1"/>
      <sz val="9"/>
      <scheme val="minor"/>
    </font>
    <font>
      <name val="等线"/>
      <charset val="134"/>
      <color theme="1"/>
      <sz val="10.5"/>
      <scheme val="minor"/>
    </font>
    <font>
      <name val="等线"/>
      <charset val="134"/>
      <b val="1"/>
      <sz val="12"/>
      <scheme val="minor"/>
    </font>
    <font>
      <name val="等线"/>
      <charset val="134"/>
      <b val="1"/>
      <i val="1"/>
      <color theme="1"/>
      <sz val="12"/>
      <scheme val="minor"/>
    </font>
    <font>
      <name val="等线"/>
      <charset val="134"/>
      <b val="1"/>
      <color theme="1"/>
      <sz val="12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i val="1"/>
      <color theme="1"/>
      <sz val="11"/>
      <scheme val="minor"/>
    </font>
    <font>
      <name val="等线"/>
      <charset val="134"/>
      <i val="1"/>
      <color theme="1"/>
      <sz val="10"/>
      <scheme val="minor"/>
    </font>
    <font>
      <name val="等线"/>
      <charset val="134"/>
      <b val="1"/>
      <i val="1"/>
      <color theme="1"/>
      <sz val="10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8DC63F"/>
      <sz val="12"/>
      <scheme val="minor"/>
    </font>
  </fonts>
  <fills count="38">
    <fill>
      <patternFill/>
    </fill>
    <fill>
      <patternFill patternType="gray125"/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hair">
        <color theme="8" tint="0.599963377788629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</borders>
  <cellStyleXfs count="51">
    <xf numFmtId="0" fontId="34" fillId="0" borderId="0"/>
    <xf numFmtId="43" fontId="34" fillId="0" borderId="0" applyAlignment="1">
      <alignment vertical="center"/>
    </xf>
    <xf numFmtId="44" fontId="34" fillId="0" borderId="0" applyAlignment="1">
      <alignment vertical="center"/>
    </xf>
    <xf numFmtId="9" fontId="34" fillId="0" borderId="0" applyAlignment="1">
      <alignment vertical="center"/>
    </xf>
    <xf numFmtId="41" fontId="34" fillId="0" borderId="0" applyAlignment="1">
      <alignment vertical="center"/>
    </xf>
    <xf numFmtId="42" fontId="34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34" fillId="7" borderId="62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63" applyAlignment="1">
      <alignment vertical="center"/>
    </xf>
    <xf numFmtId="0" fontId="41" fillId="0" borderId="63" applyAlignment="1">
      <alignment vertical="center"/>
    </xf>
    <xf numFmtId="0" fontId="42" fillId="0" borderId="64" applyAlignment="1">
      <alignment vertical="center"/>
    </xf>
    <xf numFmtId="0" fontId="42" fillId="0" borderId="0" applyAlignment="1">
      <alignment vertical="center"/>
    </xf>
    <xf numFmtId="0" fontId="43" fillId="8" borderId="65" applyAlignment="1">
      <alignment vertical="center"/>
    </xf>
    <xf numFmtId="0" fontId="44" fillId="9" borderId="66" applyAlignment="1">
      <alignment vertical="center"/>
    </xf>
    <xf numFmtId="0" fontId="45" fillId="9" borderId="65" applyAlignment="1">
      <alignment vertical="center"/>
    </xf>
    <xf numFmtId="0" fontId="46" fillId="10" borderId="67" applyAlignment="1">
      <alignment vertical="center"/>
    </xf>
    <xf numFmtId="0" fontId="47" fillId="0" borderId="68" applyAlignment="1">
      <alignment vertical="center"/>
    </xf>
    <xf numFmtId="0" fontId="48" fillId="0" borderId="69" applyAlignment="1">
      <alignment vertical="center"/>
    </xf>
    <xf numFmtId="0" fontId="49" fillId="11" borderId="0" applyAlignment="1">
      <alignment vertical="center"/>
    </xf>
    <xf numFmtId="0" fontId="50" fillId="12" borderId="0" applyAlignment="1">
      <alignment vertical="center"/>
    </xf>
    <xf numFmtId="0" fontId="51" fillId="13" borderId="0" applyAlignment="1">
      <alignment vertical="center"/>
    </xf>
    <xf numFmtId="0" fontId="52" fillId="14" borderId="0" applyAlignment="1">
      <alignment vertical="center"/>
    </xf>
    <xf numFmtId="0" fontId="53" fillId="15" borderId="0" applyAlignment="1">
      <alignment vertical="center"/>
    </xf>
    <xf numFmtId="0" fontId="53" fillId="16" borderId="0" applyAlignment="1">
      <alignment vertical="center"/>
    </xf>
    <xf numFmtId="0" fontId="52" fillId="17" borderId="0" applyAlignment="1">
      <alignment vertical="center"/>
    </xf>
    <xf numFmtId="0" fontId="52" fillId="18" borderId="0" applyAlignment="1">
      <alignment vertical="center"/>
    </xf>
    <xf numFmtId="0" fontId="53" fillId="19" borderId="0" applyAlignment="1">
      <alignment vertical="center"/>
    </xf>
    <xf numFmtId="0" fontId="53" fillId="20" borderId="0" applyAlignment="1">
      <alignment vertical="center"/>
    </xf>
    <xf numFmtId="0" fontId="52" fillId="21" borderId="0" applyAlignment="1">
      <alignment vertical="center"/>
    </xf>
    <xf numFmtId="0" fontId="52" fillId="22" borderId="0" applyAlignment="1">
      <alignment vertical="center"/>
    </xf>
    <xf numFmtId="0" fontId="53" fillId="23" borderId="0" applyAlignment="1">
      <alignment vertical="center"/>
    </xf>
    <xf numFmtId="0" fontId="53" fillId="24" borderId="0" applyAlignment="1">
      <alignment vertical="center"/>
    </xf>
    <xf numFmtId="0" fontId="52" fillId="25" borderId="0" applyAlignment="1">
      <alignment vertical="center"/>
    </xf>
    <xf numFmtId="0" fontId="52" fillId="26" borderId="0" applyAlignment="1">
      <alignment vertical="center"/>
    </xf>
    <xf numFmtId="0" fontId="53" fillId="27" borderId="0" applyAlignment="1">
      <alignment vertical="center"/>
    </xf>
    <xf numFmtId="0" fontId="53" fillId="28" borderId="0" applyAlignment="1">
      <alignment vertical="center"/>
    </xf>
    <xf numFmtId="0" fontId="52" fillId="29" borderId="0" applyAlignment="1">
      <alignment vertical="center"/>
    </xf>
    <xf numFmtId="0" fontId="52" fillId="30" borderId="0" applyAlignment="1">
      <alignment vertical="center"/>
    </xf>
    <xf numFmtId="0" fontId="53" fillId="31" borderId="0" applyAlignment="1">
      <alignment vertical="center"/>
    </xf>
    <xf numFmtId="0" fontId="53" fillId="32" borderId="0" applyAlignment="1">
      <alignment vertical="center"/>
    </xf>
    <xf numFmtId="0" fontId="52" fillId="33" borderId="0" applyAlignment="1">
      <alignment vertical="center"/>
    </xf>
    <xf numFmtId="0" fontId="52" fillId="34" borderId="0" applyAlignment="1">
      <alignment vertical="center"/>
    </xf>
    <xf numFmtId="0" fontId="53" fillId="35" borderId="0" applyAlignment="1">
      <alignment vertical="center"/>
    </xf>
    <xf numFmtId="0" fontId="53" fillId="36" borderId="0" applyAlignment="1">
      <alignment vertical="center"/>
    </xf>
    <xf numFmtId="0" fontId="52" fillId="37" borderId="0" applyAlignment="1">
      <alignment vertical="center"/>
    </xf>
    <xf numFmtId="0" fontId="9" fillId="0" borderId="0"/>
    <xf numFmtId="0" fontId="34" fillId="0" borderId="0" applyAlignment="1">
      <alignment vertical="center"/>
    </xf>
  </cellStyleXfs>
  <cellXfs count="217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49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2" borderId="1" applyAlignment="1" pivotButton="0" quotePrefix="0" xfId="0">
      <alignment vertical="center" wrapText="1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 wrapText="1"/>
    </xf>
    <xf numFmtId="0" fontId="1" fillId="0" borderId="4" pivotButton="0" quotePrefix="0" xfId="0"/>
    <xf numFmtId="0" fontId="1" fillId="0" borderId="5" pivotButton="0" quotePrefix="0" xfId="0"/>
    <xf numFmtId="164" fontId="2" fillId="0" borderId="6" applyAlignment="1" pivotButton="0" quotePrefix="0" xfId="0">
      <alignment vertical="center" wrapText="1" readingOrder="1"/>
    </xf>
    <xf numFmtId="0" fontId="3" fillId="0" borderId="6" pivotButton="0" quotePrefix="0" xfId="0"/>
    <xf numFmtId="2" fontId="0" fillId="0" borderId="5" pivotButton="0" quotePrefix="0" xfId="0"/>
    <xf numFmtId="0" fontId="0" fillId="0" borderId="6" pivotButton="0" quotePrefix="0" xfId="0"/>
    <xf numFmtId="164" fontId="4" fillId="0" borderId="6" applyAlignment="1" pivotButton="0" quotePrefix="0" xfId="0">
      <alignment vertical="center" wrapText="1" readingOrder="1"/>
    </xf>
    <xf numFmtId="165" fontId="0" fillId="0" borderId="7" pivotButton="0" quotePrefix="0" xfId="0"/>
    <xf numFmtId="2" fontId="0" fillId="0" borderId="0" pivotButton="0" quotePrefix="0" xfId="0"/>
    <xf numFmtId="0" fontId="5" fillId="0" borderId="8" pivotButton="0" quotePrefix="0" xfId="0"/>
    <xf numFmtId="0" fontId="6" fillId="0" borderId="0" applyAlignment="1" pivotButton="0" quotePrefix="0" xfId="0">
      <alignment horizontal="center" vertical="center"/>
    </xf>
    <xf numFmtId="0" fontId="6" fillId="3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7" fillId="0" borderId="1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3" fillId="0" borderId="13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vertical="center"/>
    </xf>
    <xf numFmtId="40" fontId="6" fillId="3" borderId="25" applyAlignment="1" pivotButton="0" quotePrefix="0" xfId="0">
      <alignment vertical="center"/>
    </xf>
    <xf numFmtId="40" fontId="6" fillId="3" borderId="26" applyAlignment="1" pivotButton="0" quotePrefix="0" xfId="0">
      <alignment vertical="center"/>
    </xf>
    <xf numFmtId="40" fontId="6" fillId="3" borderId="27" applyAlignment="1" pivotButton="0" quotePrefix="0" xfId="0">
      <alignment vertical="center"/>
    </xf>
    <xf numFmtId="40" fontId="6" fillId="3" borderId="28" applyAlignment="1" pivotButton="0" quotePrefix="0" xfId="0">
      <alignment vertical="center"/>
    </xf>
    <xf numFmtId="40" fontId="6" fillId="3" borderId="29" applyAlignment="1" pivotButton="0" quotePrefix="0" xfId="0">
      <alignment vertical="center"/>
    </xf>
    <xf numFmtId="40" fontId="6" fillId="3" borderId="30" applyAlignment="1" pivotButton="0" quotePrefix="0" xfId="0">
      <alignment vertical="center"/>
    </xf>
    <xf numFmtId="0" fontId="3" fillId="3" borderId="0" applyAlignment="1" pivotButton="0" quotePrefix="0" xfId="0">
      <alignment horizontal="left" vertical="center"/>
    </xf>
    <xf numFmtId="49" fontId="0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7" fillId="3" borderId="0" applyAlignment="1" pivotButton="0" quotePrefix="0" xfId="0">
      <alignment horizontal="left" vertical="center"/>
    </xf>
    <xf numFmtId="40" fontId="6" fillId="3" borderId="31" applyAlignment="1" pivotButton="0" quotePrefix="0" xfId="0">
      <alignment vertical="center"/>
    </xf>
    <xf numFmtId="40" fontId="6" fillId="3" borderId="32" applyAlignment="1" pivotButton="0" quotePrefix="0" xfId="0">
      <alignment vertical="center"/>
    </xf>
    <xf numFmtId="40" fontId="6" fillId="3" borderId="3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6" fillId="0" borderId="0" applyAlignment="1" pivotButton="0" quotePrefix="0" xfId="0">
      <alignment vertical="center"/>
    </xf>
    <xf numFmtId="0" fontId="7" fillId="0" borderId="34" applyAlignment="1" pivotButton="0" quotePrefix="0" xfId="0">
      <alignment vertical="center"/>
    </xf>
    <xf numFmtId="0" fontId="6" fillId="0" borderId="11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6" fillId="0" borderId="15" applyAlignment="1" pivotButton="0" quotePrefix="0" xfId="0">
      <alignment horizontal="center" vertical="center" wrapText="1"/>
    </xf>
    <xf numFmtId="40" fontId="6" fillId="3" borderId="0" applyAlignment="1" pivotButton="0" quotePrefix="0" xfId="0">
      <alignment vertical="center"/>
    </xf>
    <xf numFmtId="0" fontId="6" fillId="3" borderId="0" applyAlignment="1" pivotButton="0" quotePrefix="0" xfId="0">
      <alignment horizontal="left" vertical="center"/>
    </xf>
    <xf numFmtId="49" fontId="6" fillId="3" borderId="0" applyAlignment="1" pivotButton="0" quotePrefix="0" xfId="0">
      <alignment vertical="center"/>
    </xf>
    <xf numFmtId="14" fontId="6" fillId="3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40" fontId="10" fillId="0" borderId="35" applyAlignment="1" pivotButton="0" quotePrefix="0" xfId="0">
      <alignment vertical="center"/>
    </xf>
    <xf numFmtId="40" fontId="10" fillId="0" borderId="36" applyAlignment="1" pivotButton="0" quotePrefix="0" xfId="0">
      <alignment vertical="center"/>
    </xf>
    <xf numFmtId="40" fontId="10" fillId="0" borderId="37" applyAlignment="1" pivotButton="0" quotePrefix="0" xfId="0">
      <alignment vertical="center"/>
    </xf>
    <xf numFmtId="40" fontId="10" fillId="0" borderId="38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40" fontId="10" fillId="0" borderId="39" applyAlignment="1" pivotButton="0" quotePrefix="0" xfId="0">
      <alignment vertical="center"/>
    </xf>
    <xf numFmtId="40" fontId="10" fillId="0" borderId="4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top" wrapText="1"/>
    </xf>
    <xf numFmtId="14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vertical="center"/>
    </xf>
    <xf numFmtId="14" fontId="26" fillId="0" borderId="0" applyAlignment="1" pivotButton="0" quotePrefix="0" xfId="0">
      <alignment horizontal="left" vertical="center"/>
    </xf>
    <xf numFmtId="0" fontId="27" fillId="4" borderId="41" applyAlignment="1" pivotButton="0" quotePrefix="0" xfId="0">
      <alignment horizontal="center" vertical="center"/>
    </xf>
    <xf numFmtId="0" fontId="27" fillId="4" borderId="42" applyAlignment="1" pivotButton="0" quotePrefix="0" xfId="0">
      <alignment horizontal="center" vertical="center"/>
    </xf>
    <xf numFmtId="0" fontId="27" fillId="4" borderId="43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28" fillId="0" borderId="44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 indent="1"/>
    </xf>
    <xf numFmtId="43" fontId="28" fillId="0" borderId="0" applyAlignment="1" pivotButton="0" quotePrefix="0" xfId="0">
      <alignment horizontal="left" vertical="center"/>
    </xf>
    <xf numFmtId="167" fontId="29" fillId="0" borderId="45" applyAlignment="1" pivotButton="0" quotePrefix="0" xfId="0">
      <alignment horizontal="left" vertical="center"/>
    </xf>
    <xf numFmtId="166" fontId="14" fillId="0" borderId="0" applyAlignment="1" pivotButton="0" quotePrefix="0" xfId="0">
      <alignment horizontal="right" vertical="center"/>
    </xf>
    <xf numFmtId="0" fontId="11" fillId="0" borderId="44" applyAlignment="1" pivotButton="0" quotePrefix="0" xfId="0">
      <alignment horizontal="left" vertical="center" indent="3"/>
    </xf>
    <xf numFmtId="0" fontId="11" fillId="0" borderId="0" applyAlignment="1" pivotButton="0" quotePrefix="0" xfId="0">
      <alignment horizontal="left" vertical="center" indent="3"/>
    </xf>
    <xf numFmtId="43" fontId="11" fillId="0" borderId="0" applyAlignment="1" pivotButton="0" quotePrefix="0" xfId="0">
      <alignment horizontal="left" vertical="center" indent="1"/>
    </xf>
    <xf numFmtId="167" fontId="11" fillId="0" borderId="45" applyAlignment="1" pivotButton="0" quotePrefix="0" xfId="0">
      <alignment horizontal="left" vertical="center"/>
    </xf>
    <xf numFmtId="166" fontId="15" fillId="0" borderId="0" applyAlignment="1" pivotButton="0" quotePrefix="0" xfId="0">
      <alignment horizontal="right" vertical="center"/>
    </xf>
    <xf numFmtId="166" fontId="17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0" fontId="11" fillId="0" borderId="4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3" fontId="11" fillId="0" borderId="0" applyAlignment="1" pivotButton="0" quotePrefix="0" xfId="0">
      <alignment horizontal="left" vertical="center"/>
    </xf>
    <xf numFmtId="167" fontId="28" fillId="0" borderId="45" applyAlignment="1" pivotButton="0" quotePrefix="0" xfId="0">
      <alignment horizontal="left" vertical="center"/>
    </xf>
    <xf numFmtId="166" fontId="16" fillId="0" borderId="0" applyAlignment="1" pivotButton="0" quotePrefix="0" xfId="0">
      <alignment horizontal="right" vertical="center"/>
    </xf>
    <xf numFmtId="0" fontId="11" fillId="0" borderId="44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0" fontId="30" fillId="0" borderId="44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 indent="1"/>
    </xf>
    <xf numFmtId="43" fontId="17" fillId="0" borderId="0" applyAlignment="1" pivotButton="0" quotePrefix="0" xfId="0">
      <alignment horizontal="left" vertical="center"/>
    </xf>
    <xf numFmtId="167" fontId="17" fillId="0" borderId="45" applyAlignment="1" pivotButton="0" quotePrefix="0" xfId="0">
      <alignment horizontal="left" vertical="center"/>
    </xf>
    <xf numFmtId="0" fontId="31" fillId="0" borderId="46" applyAlignment="1" pivotButton="0" quotePrefix="0" xfId="0">
      <alignment horizontal="left" vertical="center" indent="1"/>
    </xf>
    <xf numFmtId="0" fontId="31" fillId="0" borderId="47" applyAlignment="1" pivotButton="0" quotePrefix="0" xfId="0">
      <alignment horizontal="left" vertical="center" indent="1"/>
    </xf>
    <xf numFmtId="43" fontId="31" fillId="0" borderId="47" applyAlignment="1" pivotButton="0" quotePrefix="0" xfId="0">
      <alignment horizontal="left" vertical="center"/>
    </xf>
    <xf numFmtId="167" fontId="31" fillId="0" borderId="48" applyAlignment="1" pivotButton="0" quotePrefix="0" xfId="0">
      <alignment horizontal="left" vertical="center"/>
    </xf>
    <xf numFmtId="0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43" fontId="31" fillId="0" borderId="0" applyAlignment="1" pivotButton="0" quotePrefix="0" xfId="0">
      <alignment vertical="center"/>
    </xf>
    <xf numFmtId="167" fontId="31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vertical="center" wrapText="1"/>
    </xf>
    <xf numFmtId="168" fontId="32" fillId="0" borderId="0" applyAlignment="1" pivotButton="0" quotePrefix="0" xfId="0">
      <alignment horizontal="left" vertical="center" indent="1"/>
    </xf>
    <xf numFmtId="43" fontId="33" fillId="0" borderId="49" applyAlignment="1" pivotButton="0" quotePrefix="0" xfId="0">
      <alignment horizontal="right" vertical="center"/>
    </xf>
    <xf numFmtId="43" fontId="33" fillId="0" borderId="50" applyAlignment="1" pivotButton="0" quotePrefix="0" xfId="0">
      <alignment horizontal="right" vertical="center"/>
    </xf>
    <xf numFmtId="167" fontId="33" fillId="0" borderId="51" applyAlignment="1" pivotButton="0" quotePrefix="0" xfId="0">
      <alignment horizontal="right" vertical="center"/>
    </xf>
    <xf numFmtId="0" fontId="32" fillId="0" borderId="0" applyAlignment="1" pivotButton="0" quotePrefix="0" xfId="0">
      <alignment vertical="center"/>
    </xf>
    <xf numFmtId="43" fontId="33" fillId="0" borderId="52" applyAlignment="1" pivotButton="0" quotePrefix="0" xfId="0">
      <alignment horizontal="right" vertical="center"/>
    </xf>
    <xf numFmtId="43" fontId="33" fillId="0" borderId="0" applyAlignment="1" pivotButton="0" quotePrefix="0" xfId="0">
      <alignment horizontal="right" vertical="center"/>
    </xf>
    <xf numFmtId="167" fontId="33" fillId="0" borderId="53" applyAlignment="1" pivotButton="0" quotePrefix="0" xfId="0">
      <alignment horizontal="right" vertical="center"/>
    </xf>
    <xf numFmtId="40" fontId="31" fillId="0" borderId="0" applyAlignment="1" pivotButton="0" quotePrefix="0" xfId="0">
      <alignment vertical="center"/>
    </xf>
    <xf numFmtId="40" fontId="33" fillId="0" borderId="54" applyAlignment="1" pivotButton="0" quotePrefix="0" xfId="0">
      <alignment horizontal="right" vertical="center"/>
    </xf>
    <xf numFmtId="40" fontId="33" fillId="0" borderId="55" applyAlignment="1" pivotButton="0" quotePrefix="0" xfId="0">
      <alignment horizontal="right" vertical="center"/>
    </xf>
    <xf numFmtId="167" fontId="33" fillId="0" borderId="56" applyAlignment="1" pivotButton="0" quotePrefix="0" xfId="0">
      <alignment horizontal="right" vertical="center"/>
    </xf>
    <xf numFmtId="43" fontId="30" fillId="0" borderId="52" applyAlignment="1" pivotButton="0" quotePrefix="0" xfId="0">
      <alignment horizontal="right" vertical="center"/>
    </xf>
    <xf numFmtId="43" fontId="30" fillId="0" borderId="0" applyAlignment="1" pivotButton="0" quotePrefix="0" xfId="0">
      <alignment horizontal="right" vertical="center"/>
    </xf>
    <xf numFmtId="167" fontId="30" fillId="0" borderId="53" applyAlignment="1" pivotButton="0" quotePrefix="0" xfId="0">
      <alignment horizontal="right" vertical="center"/>
    </xf>
    <xf numFmtId="43" fontId="30" fillId="0" borderId="52" applyAlignment="1" pivotButton="0" quotePrefix="0" xfId="0">
      <alignment horizontal="right" vertical="center" indent="1"/>
    </xf>
    <xf numFmtId="43" fontId="30" fillId="0" borderId="0" applyAlignment="1" pivotButton="0" quotePrefix="0" xfId="0">
      <alignment horizontal="right" vertical="center" indent="1"/>
    </xf>
    <xf numFmtId="0" fontId="30" fillId="0" borderId="0" applyAlignment="1" pivotButton="0" quotePrefix="0" xfId="0">
      <alignment vertical="center"/>
    </xf>
    <xf numFmtId="43" fontId="30" fillId="0" borderId="57" applyAlignment="1" pivotButton="0" quotePrefix="0" xfId="0">
      <alignment horizontal="right" vertical="center"/>
    </xf>
    <xf numFmtId="43" fontId="30" fillId="0" borderId="58" applyAlignment="1" pivotButton="0" quotePrefix="0" xfId="0">
      <alignment horizontal="right" vertical="center"/>
    </xf>
    <xf numFmtId="167" fontId="30" fillId="0" borderId="59" applyAlignment="1" pivotButton="0" quotePrefix="0" xfId="0">
      <alignment horizontal="right" vertical="center"/>
    </xf>
    <xf numFmtId="167" fontId="17" fillId="0" borderId="0" applyAlignment="1" pivotButton="0" quotePrefix="0" xfId="0">
      <alignment vertical="center"/>
    </xf>
    <xf numFmtId="0" fontId="30" fillId="5" borderId="0" applyAlignment="1" pivotButton="0" quotePrefix="0" xfId="0">
      <alignment horizontal="center"/>
    </xf>
    <xf numFmtId="166" fontId="17" fillId="6" borderId="0" applyAlignment="1" pivotButton="0" quotePrefix="0" xfId="0">
      <alignment horizontal="left" vertical="center" wrapText="1" indent="2"/>
    </xf>
    <xf numFmtId="166" fontId="17" fillId="6" borderId="60" applyAlignment="1" pivotButton="0" quotePrefix="0" xfId="0">
      <alignment horizontal="left" vertical="center" wrapText="1" indent="2"/>
    </xf>
    <xf numFmtId="166" fontId="17" fillId="6" borderId="61" applyAlignment="1" pivotButton="0" quotePrefix="0" xfId="0">
      <alignment horizontal="left" vertical="center" wrapText="1" indent="2"/>
    </xf>
    <xf numFmtId="0" fontId="0" fillId="0" borderId="42" pivotButton="0" quotePrefix="0" xfId="0"/>
    <xf numFmtId="43" fontId="28" fillId="0" borderId="0" applyAlignment="1" pivotButton="0" quotePrefix="0" xfId="0">
      <alignment horizontal="left" vertical="center"/>
    </xf>
    <xf numFmtId="167" fontId="29" fillId="0" borderId="45" applyAlignment="1" pivotButton="0" quotePrefix="0" xfId="0">
      <alignment horizontal="left" vertical="center"/>
    </xf>
    <xf numFmtId="166" fontId="14" fillId="0" borderId="0" applyAlignment="1" pivotButton="0" quotePrefix="0" xfId="0">
      <alignment horizontal="right" vertical="center"/>
    </xf>
    <xf numFmtId="43" fontId="11" fillId="0" borderId="0" applyAlignment="1" pivotButton="0" quotePrefix="0" xfId="0">
      <alignment horizontal="left" vertical="center" indent="1"/>
    </xf>
    <xf numFmtId="167" fontId="11" fillId="0" borderId="45" applyAlignment="1" pivotButton="0" quotePrefix="0" xfId="0">
      <alignment horizontal="left" vertical="center"/>
    </xf>
    <xf numFmtId="166" fontId="15" fillId="0" borderId="0" applyAlignment="1" pivotButton="0" quotePrefix="0" xfId="0">
      <alignment horizontal="right" vertical="center"/>
    </xf>
    <xf numFmtId="166" fontId="17" fillId="0" borderId="0" applyAlignment="1" pivotButton="0" quotePrefix="0" xfId="0">
      <alignment horizontal="right" vertical="center"/>
    </xf>
    <xf numFmtId="43" fontId="11" fillId="0" borderId="0" applyAlignment="1" pivotButton="0" quotePrefix="0" xfId="0">
      <alignment horizontal="left" vertical="center"/>
    </xf>
    <xf numFmtId="167" fontId="28" fillId="0" borderId="45" applyAlignment="1" pivotButton="0" quotePrefix="0" xfId="0">
      <alignment horizontal="left" vertical="center"/>
    </xf>
    <xf numFmtId="166" fontId="16" fillId="0" borderId="0" applyAlignment="1" pivotButton="0" quotePrefix="0" xfId="0">
      <alignment horizontal="right" vertical="center"/>
    </xf>
    <xf numFmtId="43" fontId="17" fillId="0" borderId="0" applyAlignment="1" pivotButton="0" quotePrefix="0" xfId="0">
      <alignment horizontal="left" vertical="center"/>
    </xf>
    <xf numFmtId="167" fontId="17" fillId="0" borderId="45" applyAlignment="1" pivotButton="0" quotePrefix="0" xfId="0">
      <alignment horizontal="left" vertical="center"/>
    </xf>
    <xf numFmtId="0" fontId="0" fillId="0" borderId="47" pivotButton="0" quotePrefix="0" xfId="0"/>
    <xf numFmtId="43" fontId="31" fillId="0" borderId="47" applyAlignment="1" pivotButton="0" quotePrefix="0" xfId="0">
      <alignment horizontal="left" vertical="center"/>
    </xf>
    <xf numFmtId="167" fontId="31" fillId="0" borderId="48" applyAlignment="1" pivotButton="0" quotePrefix="0" xfId="0">
      <alignment horizontal="left" vertical="center"/>
    </xf>
    <xf numFmtId="43" fontId="31" fillId="0" borderId="0" applyAlignment="1" pivotButton="0" quotePrefix="0" xfId="0">
      <alignment vertical="center"/>
    </xf>
    <xf numFmtId="167" fontId="31" fillId="0" borderId="0" applyAlignment="1" pivotButton="0" quotePrefix="0" xfId="0">
      <alignment horizontal="right" vertical="center"/>
    </xf>
    <xf numFmtId="168" fontId="32" fillId="0" borderId="0" applyAlignment="1" pivotButton="0" quotePrefix="0" xfId="0">
      <alignment horizontal="left" vertical="center" indent="1"/>
    </xf>
    <xf numFmtId="43" fontId="33" fillId="0" borderId="49" applyAlignment="1" pivotButton="0" quotePrefix="0" xfId="0">
      <alignment horizontal="right" vertical="center"/>
    </xf>
    <xf numFmtId="0" fontId="0" fillId="0" borderId="50" pivotButton="0" quotePrefix="0" xfId="0"/>
    <xf numFmtId="167" fontId="33" fillId="0" borderId="51" applyAlignment="1" pivotButton="0" quotePrefix="0" xfId="0">
      <alignment horizontal="right" vertical="center"/>
    </xf>
    <xf numFmtId="43" fontId="33" fillId="0" borderId="52" applyAlignment="1" pivotButton="0" quotePrefix="0" xfId="0">
      <alignment horizontal="right" vertical="center"/>
    </xf>
    <xf numFmtId="167" fontId="33" fillId="0" borderId="53" applyAlignment="1" pivotButton="0" quotePrefix="0" xfId="0">
      <alignment horizontal="right" vertical="center"/>
    </xf>
    <xf numFmtId="0" fontId="0" fillId="0" borderId="55" pivotButton="0" quotePrefix="0" xfId="0"/>
    <xf numFmtId="167" fontId="33" fillId="0" borderId="56" applyAlignment="1" pivotButton="0" quotePrefix="0" xfId="0">
      <alignment horizontal="right" vertical="center"/>
    </xf>
    <xf numFmtId="43" fontId="30" fillId="0" borderId="52" applyAlignment="1" pivotButton="0" quotePrefix="0" xfId="0">
      <alignment horizontal="right" vertical="center"/>
    </xf>
    <xf numFmtId="167" fontId="30" fillId="0" borderId="53" applyAlignment="1" pivotButton="0" quotePrefix="0" xfId="0">
      <alignment horizontal="right" vertical="center"/>
    </xf>
    <xf numFmtId="43" fontId="30" fillId="0" borderId="52" applyAlignment="1" pivotButton="0" quotePrefix="0" xfId="0">
      <alignment horizontal="right" vertical="center" indent="1"/>
    </xf>
    <xf numFmtId="43" fontId="30" fillId="0" borderId="57" applyAlignment="1" pivotButton="0" quotePrefix="0" xfId="0">
      <alignment horizontal="right" vertical="center"/>
    </xf>
    <xf numFmtId="0" fontId="0" fillId="0" borderId="58" pivotButton="0" quotePrefix="0" xfId="0"/>
    <xf numFmtId="167" fontId="30" fillId="0" borderId="59" applyAlignment="1" pivotButton="0" quotePrefix="0" xfId="0">
      <alignment horizontal="right" vertical="center"/>
    </xf>
    <xf numFmtId="167" fontId="17" fillId="0" borderId="0" applyAlignment="1" pivotButton="0" quotePrefix="0" xfId="0">
      <alignment vertical="center"/>
    </xf>
    <xf numFmtId="166" fontId="17" fillId="6" borderId="60" applyAlignment="1" pivotButton="0" quotePrefix="0" xfId="0">
      <alignment horizontal="left" vertical="center" wrapText="1" indent="2"/>
    </xf>
    <xf numFmtId="0" fontId="0" fillId="0" borderId="60" pivotButton="0" quotePrefix="0" xfId="0"/>
    <xf numFmtId="166" fontId="17" fillId="6" borderId="61" applyAlignment="1" pivotButton="0" quotePrefix="0" xfId="0">
      <alignment horizontal="left" vertical="center" wrapText="1" indent="2"/>
    </xf>
    <xf numFmtId="169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73" pivotButton="0" quotePrefix="0" xfId="0"/>
    <xf numFmtId="0" fontId="0" fillId="0" borderId="75" pivotButton="0" quotePrefix="0" xfId="0"/>
    <xf numFmtId="0" fontId="3" fillId="0" borderId="76" applyAlignment="1" pivotButton="0" quotePrefix="0" xfId="0">
      <alignment horizontal="center" vertical="center" wrapText="1"/>
    </xf>
    <xf numFmtId="0" fontId="0" fillId="0" borderId="13" pivotButton="0" quotePrefix="0" xfId="0"/>
    <xf numFmtId="169" fontId="0" fillId="0" borderId="0" pivotButton="0" quotePrefix="0" xfId="0"/>
    <xf numFmtId="164" fontId="2" fillId="0" borderId="6" applyAlignment="1" pivotButton="0" quotePrefix="0" xfId="0">
      <alignment vertical="center" wrapText="1" readingOrder="1"/>
    </xf>
    <xf numFmtId="164" fontId="4" fillId="0" borderId="6" applyAlignment="1" pivotButton="0" quotePrefix="0" xfId="0">
      <alignment vertical="center" wrapText="1" readingOrder="1"/>
    </xf>
    <xf numFmtId="165" fontId="0" fillId="0" borderId="7" pivotButton="0" quotePrefix="0" xfId="0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 2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1095828</colOff>
      <row>2</row>
      <rowOff>109286</rowOff>
    </to>
    <pic>
      <nvPicPr>
        <cNvPr id="2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266315" cy="5314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topLeftCell="A7" zoomScale="150" zoomScaleNormal="150" workbookViewId="0">
      <selection activeCell="H19" sqref="H19"/>
    </sheetView>
  </sheetViews>
  <sheetFormatPr baseColWidth="8" defaultColWidth="9.18333333333333" defaultRowHeight="11.25"/>
  <cols>
    <col width="15.3666666666667" customWidth="1" style="88" min="1" max="1"/>
    <col width="23.45" customWidth="1" style="88" min="2" max="2"/>
    <col width="4.45" customWidth="1" style="88" min="3" max="3"/>
    <col width="15.1833333333333" customWidth="1" style="88" min="4" max="4"/>
    <col width="12.5416666666667" customWidth="1" style="88" min="5" max="5"/>
    <col width="14.3666666666667" customWidth="1" style="89" min="6" max="6"/>
    <col width="9.18333333333333" customWidth="1" style="89" min="7" max="7"/>
    <col width="9.18333333333333" customWidth="1" style="88" min="8" max="8"/>
    <col width="9.18333333333333" customWidth="1" style="88" min="9" max="9"/>
    <col width="9.18333333333333" customWidth="1" style="88" min="10" max="16384"/>
  </cols>
  <sheetData>
    <row r="1" ht="19" customHeight="1">
      <c r="B1" s="90" t="inlineStr">
        <is>
          <t>NNRoad – Employer of Record, Payroll Worldwide</t>
        </is>
      </c>
      <c r="G1" s="91" t="n"/>
      <c r="H1" s="89" t="n"/>
    </row>
    <row r="2" ht="14.25" customHeight="1">
      <c r="B2" s="92" t="inlineStr">
        <is>
          <t>333 W San Carlos St., Suite 600, San Jose, CA 95113, USA</t>
        </is>
      </c>
      <c r="G2" s="91" t="n"/>
      <c r="H2" s="89" t="n"/>
    </row>
    <row r="3" ht="18" customFormat="1" customHeight="1" s="82">
      <c r="B3" s="92" t="inlineStr">
        <is>
          <t>USA: +1 (669) 377-5080 | www.NNRoad.com</t>
        </is>
      </c>
      <c r="G3" s="91" t="n"/>
      <c r="H3" s="91" t="n"/>
    </row>
    <row r="4" ht="14" customFormat="1" customHeight="1" s="82">
      <c r="G4" s="91" t="n"/>
      <c r="H4" s="91" t="n"/>
    </row>
    <row r="5" ht="32" customFormat="1" customHeight="1" s="82">
      <c r="A5" s="93" t="inlineStr">
        <is>
          <t>INVOICE</t>
        </is>
      </c>
      <c r="G5" s="91" t="n"/>
      <c r="H5" s="91" t="n"/>
    </row>
    <row r="6" ht="12" customFormat="1" customHeight="1" s="82">
      <c r="A6" s="94" t="n"/>
      <c r="B6" s="94" t="n"/>
      <c r="C6" s="94" t="n"/>
      <c r="D6" s="94" t="n"/>
      <c r="E6" s="94" t="n"/>
      <c r="F6" s="94" t="n"/>
      <c r="G6" s="91" t="n"/>
      <c r="H6" s="91" t="n"/>
    </row>
    <row r="7" ht="13" customFormat="1" customHeight="1" s="82">
      <c r="A7" s="95" t="inlineStr">
        <is>
          <t>Bill to:</t>
        </is>
      </c>
      <c r="B7" s="95" t="n"/>
      <c r="C7" s="95" t="n"/>
      <c r="D7" s="95" t="n"/>
      <c r="E7" s="95" t="n"/>
      <c r="G7" s="91" t="n"/>
      <c r="H7" s="91" t="n"/>
    </row>
    <row r="8" ht="13" customFormat="1" customHeight="1" s="83">
      <c r="A8" s="96" t="inlineStr">
        <is>
          <t>Company name:</t>
        </is>
      </c>
      <c r="B8" s="97" t="inlineStr">
        <is>
          <t>UE Corp</t>
        </is>
      </c>
      <c r="C8" s="98" t="n"/>
      <c r="D8" s="96" t="inlineStr">
        <is>
          <t>Currency</t>
        </is>
      </c>
      <c r="E8" s="96" t="n"/>
      <c r="F8" s="97" t="inlineStr">
        <is>
          <t>USD</t>
        </is>
      </c>
      <c r="G8" s="99" t="n"/>
    </row>
    <row r="9" ht="13" customFormat="1" customHeight="1" s="83">
      <c r="A9" s="96" t="inlineStr">
        <is>
          <t>Client ID:</t>
        </is>
      </c>
      <c r="B9" s="97" t="inlineStr">
        <is>
          <t>CUS1503</t>
        </is>
      </c>
      <c r="C9" s="100" t="n"/>
      <c r="D9" s="96" t="inlineStr">
        <is>
          <t>Invoice number</t>
        </is>
      </c>
      <c r="E9" s="96" t="n"/>
      <c r="F9" s="97" t="inlineStr">
        <is>
          <t>PN-CUS1503-031820261</t>
        </is>
      </c>
      <c r="G9" s="99" t="n"/>
    </row>
    <row r="10" ht="13" customFormat="1" customHeight="1" s="82">
      <c r="A10" s="96" t="inlineStr">
        <is>
          <t>Address:</t>
        </is>
      </c>
      <c r="B10" s="101" t="inlineStr">
        <is>
          <t>168 Georgetown Rd., Canonsburg, Pennsylvanis, USA</t>
        </is>
      </c>
      <c r="C10" s="100" t="n"/>
      <c r="D10" s="96" t="inlineStr">
        <is>
          <t>Invoice date</t>
        </is>
      </c>
      <c r="E10" s="96" t="n"/>
      <c r="F10" s="102">
        <f>TODAY()</f>
        <v/>
      </c>
      <c r="G10" s="91" t="n"/>
    </row>
    <row r="11" ht="12" customFormat="1" customHeight="1" s="83">
      <c r="A11" s="103" t="n"/>
      <c r="D11" s="96" t="inlineStr">
        <is>
          <t>Due date</t>
        </is>
      </c>
      <c r="E11" s="96" t="n"/>
      <c r="F11" s="102" t="n">
        <v>46104</v>
      </c>
      <c r="G11" s="99" t="n"/>
    </row>
    <row r="12" ht="12" customFormat="1" customHeight="1" s="82">
      <c r="A12" s="104" t="n"/>
      <c r="B12" s="104" t="n"/>
      <c r="C12" s="104" t="n"/>
      <c r="D12" s="104" t="n"/>
      <c r="E12" s="105" t="n"/>
      <c r="G12" s="91" t="n"/>
    </row>
    <row r="13" ht="12" customHeight="1"/>
    <row r="14" ht="28" customFormat="1" customHeight="1" s="84">
      <c r="A14" s="106" t="inlineStr">
        <is>
          <t>Description</t>
        </is>
      </c>
      <c r="B14" s="169" t="n"/>
      <c r="C14" s="169" t="n"/>
      <c r="D14" s="107" t="n"/>
      <c r="E14" s="107">
        <f>"Amount "&amp;'Hong Kong'!C6</f>
        <v/>
      </c>
      <c r="F14" s="108" t="inlineStr">
        <is>
          <t>Approx. In USD*</t>
        </is>
      </c>
      <c r="G14" s="109" t="n"/>
    </row>
    <row r="15" ht="16" customFormat="1" customHeight="1" s="85">
      <c r="A15" s="110" t="inlineStr">
        <is>
          <t>EOR/PEO Cost</t>
        </is>
      </c>
      <c r="D15" s="111" t="n"/>
      <c r="E15" s="170">
        <f>SUM(E16:E18)</f>
        <v/>
      </c>
      <c r="F15" s="171">
        <f>SUM(F16:F18)</f>
        <v/>
      </c>
      <c r="G15" s="172" t="n"/>
    </row>
    <row r="16" ht="12.75" customFormat="1" customHeight="1" s="86">
      <c r="A16" s="115">
        <f>"- Labor cost for "&amp;'Hong Kong'!B9&amp;"  -  "&amp;MONTH('Hong Kong'!B2)&amp;"-"&amp;YEAR('Hong Kong'!C2)</f>
        <v/>
      </c>
      <c r="D16" s="116" t="n"/>
      <c r="E16" s="173">
        <f>'Hong Kong'!I9+'Hong Kong'!R9-'Hong Kong'!P9</f>
        <v/>
      </c>
      <c r="F16" s="174">
        <f>E16/$B$28</f>
        <v/>
      </c>
      <c r="G16" s="175" t="n"/>
    </row>
    <row r="17" ht="12.75" customHeight="1">
      <c r="A17" s="115">
        <f>"- "&amp;+"Expense claim for "&amp;'Hong Kong'!B9&amp;"  -  "&amp;MONTH('Hong Kong'!B2)&amp;"-"&amp;YEAR('Hong Kong'!C2)</f>
        <v/>
      </c>
      <c r="D17" s="116" t="n"/>
      <c r="E17" s="173">
        <f>'Hong Kong'!V9</f>
        <v/>
      </c>
      <c r="F17" s="174">
        <f>E17/$B$28</f>
        <v/>
      </c>
      <c r="G17" s="176" t="n"/>
    </row>
    <row r="18" ht="12.75" customHeight="1">
      <c r="A18" s="115">
        <f>"- Office Rental"</f>
        <v/>
      </c>
      <c r="D18" s="121" t="n"/>
      <c r="E18" s="173">
        <f>'Hong Kong'!P6</f>
        <v/>
      </c>
      <c r="F18" s="174">
        <f>E18/$B$28</f>
        <v/>
      </c>
      <c r="G18" s="176" t="n"/>
    </row>
    <row r="19" ht="12.75" customHeight="1">
      <c r="A19" s="122" t="n"/>
      <c r="D19" s="123" t="n"/>
      <c r="E19" s="177" t="n"/>
      <c r="F19" s="174" t="n"/>
      <c r="G19" s="176" t="n"/>
    </row>
    <row r="20" ht="16" customFormat="1" customHeight="1" s="87">
      <c r="A20" s="110" t="inlineStr">
        <is>
          <t>Service Fee</t>
        </is>
      </c>
      <c r="D20" s="111" t="n"/>
      <c r="E20" s="170">
        <f>SUM(E21:E22)</f>
        <v/>
      </c>
      <c r="F20" s="178">
        <f>SUM(F21:F22)</f>
        <v/>
      </c>
      <c r="G20" s="179" t="n"/>
    </row>
    <row r="21" ht="12.75" customHeight="1">
      <c r="A21" s="127">
        <f>"- "&amp;+"Management Fee - "&amp;MONTH('Hong Kong'!B2)&amp;"-"&amp;YEAR('Hong Kong'!B2)</f>
        <v/>
      </c>
      <c r="D21" s="128" t="n"/>
      <c r="E21" s="177">
        <f>'Hong Kong'!G9</f>
        <v/>
      </c>
      <c r="F21" s="174">
        <f>E21/$B$28</f>
        <v/>
      </c>
      <c r="G21" s="176" t="n"/>
    </row>
    <row r="22" ht="12.75" customHeight="1">
      <c r="A22" s="127" t="n"/>
      <c r="D22" s="128" t="n"/>
      <c r="E22" s="177" t="inlineStr">
        <is>
          <t xml:space="preserve"> </t>
        </is>
      </c>
      <c r="F22" s="174" t="n"/>
      <c r="G22" s="176" t="n"/>
    </row>
    <row r="23" ht="12.75" customHeight="1">
      <c r="A23" s="127" t="n"/>
      <c r="D23" s="128" t="n"/>
      <c r="E23" s="177" t="n"/>
      <c r="F23" s="174" t="n"/>
      <c r="G23" s="176" t="n"/>
    </row>
    <row r="24" ht="14.25" customHeight="1">
      <c r="A24" s="129" t="n"/>
      <c r="D24" s="130" t="n"/>
      <c r="E24" s="180" t="n"/>
      <c r="F24" s="181" t="n"/>
      <c r="G24" s="176" t="n"/>
    </row>
    <row r="25" ht="15" customFormat="1" customHeight="1" s="85">
      <c r="A25" s="133" t="inlineStr">
        <is>
          <t xml:space="preserve">EOR/PEO Service Cost		</t>
        </is>
      </c>
      <c r="B25" s="182" t="n"/>
      <c r="C25" s="182" t="n"/>
      <c r="D25" s="182" t="n"/>
      <c r="E25" s="183">
        <f>E15+E20</f>
        <v/>
      </c>
      <c r="F25" s="184">
        <f>F15+F20</f>
        <v/>
      </c>
      <c r="G25" s="172" t="n"/>
    </row>
    <row r="26" ht="14.25" customFormat="1" customHeight="1" s="85">
      <c r="A26" s="137" t="n"/>
      <c r="B26" s="137" t="n"/>
      <c r="C26" s="138" t="n"/>
      <c r="D26" s="138" t="n"/>
      <c r="E26" s="185" t="n"/>
      <c r="F26" s="186" t="n"/>
      <c r="G26" s="172" t="n"/>
    </row>
    <row r="27" ht="15" customFormat="1" customHeight="1" s="85">
      <c r="A27" s="141" t="n"/>
      <c r="B27" s="141" t="n"/>
      <c r="C27" s="141" t="n"/>
      <c r="D27" s="141" t="n"/>
      <c r="E27" s="185" t="n"/>
      <c r="F27" s="186" t="n"/>
      <c r="G27" s="172" t="n"/>
    </row>
    <row r="28" ht="25.5" customHeight="1">
      <c r="A28" s="142">
        <f>"*FX rate  USD:  "&amp;'Hong Kong'!C6</f>
        <v/>
      </c>
      <c r="B28" s="187">
        <f>7.81039098*0.97</f>
        <v/>
      </c>
      <c r="C28" s="185" t="n"/>
      <c r="D28" s="188" t="inlineStr">
        <is>
          <t>EOR/PEO Service Cost</t>
        </is>
      </c>
      <c r="E28" s="189" t="n"/>
      <c r="F28" s="190">
        <f>F25</f>
        <v/>
      </c>
      <c r="G28" s="176" t="n"/>
    </row>
    <row r="29" ht="16" customFormat="1" customHeight="1" s="86">
      <c r="A29" s="147" t="n"/>
      <c r="B29" s="147" t="n"/>
      <c r="C29" s="185" t="n"/>
      <c r="D29" s="191" t="inlineStr">
        <is>
          <t xml:space="preserve">Outstanding payment </t>
        </is>
      </c>
      <c r="F29" s="192">
        <f>'Hong Kong'!E22</f>
        <v/>
      </c>
      <c r="G29" s="175" t="n"/>
    </row>
    <row r="30" ht="14.25" customFormat="1" customHeight="1" s="86">
      <c r="A30" s="147" t="n"/>
      <c r="B30" s="147" t="n"/>
      <c r="C30" s="185" t="n"/>
      <c r="D30" s="191" t="inlineStr">
        <is>
          <t xml:space="preserve">FX difference </t>
        </is>
      </c>
      <c r="F30" s="192">
        <f>'Hong Kong'!E23</f>
        <v/>
      </c>
      <c r="G30" s="175" t="n"/>
    </row>
    <row r="31" ht="14.25" customHeight="1">
      <c r="A31" s="147" t="n"/>
      <c r="B31" s="147" t="n"/>
      <c r="C31" s="185" t="n"/>
      <c r="D31" s="191" t="inlineStr">
        <is>
          <t xml:space="preserve">Interests of delay </t>
        </is>
      </c>
      <c r="F31" s="192">
        <f>'Hong Kong'!E24</f>
        <v/>
      </c>
      <c r="G31" s="176" t="n"/>
    </row>
    <row r="32" ht="15" customHeight="1">
      <c r="A32" s="147" t="n"/>
      <c r="B32" s="147" t="n"/>
      <c r="C32" s="151" t="n"/>
      <c r="D32" s="152" t="inlineStr">
        <is>
          <t xml:space="preserve">Bank Charges </t>
        </is>
      </c>
      <c r="E32" s="193" t="n"/>
      <c r="F32" s="194">
        <f>'Hong Kong'!E25</f>
        <v/>
      </c>
      <c r="G32" s="176" t="n"/>
    </row>
    <row r="33" ht="14.25" customHeight="1">
      <c r="A33" s="147" t="n"/>
      <c r="B33" s="147" t="n"/>
      <c r="C33" s="185" t="n"/>
      <c r="D33" s="195" t="inlineStr">
        <is>
          <t xml:space="preserve">Sub Total (Excluding Tax)		</t>
        </is>
      </c>
      <c r="F33" s="196">
        <f>SUM(F28:F32)</f>
        <v/>
      </c>
      <c r="G33" s="176" t="n"/>
    </row>
    <row r="34" ht="14.25" customHeight="1">
      <c r="A34" s="147" t="n"/>
      <c r="B34" s="147" t="n"/>
      <c r="C34" s="185" t="n"/>
      <c r="D34" s="197" t="inlineStr">
        <is>
          <t>Tax</t>
        </is>
      </c>
      <c r="F34" s="196">
        <f>'Hong Kong'!F6</f>
        <v/>
      </c>
      <c r="G34" s="176" t="n"/>
    </row>
    <row r="35" ht="15" customHeight="1">
      <c r="A35" s="160" t="n"/>
      <c r="B35" s="160" t="n"/>
      <c r="C35" s="185" t="n"/>
      <c r="D35" s="198" t="inlineStr">
        <is>
          <t xml:space="preserve">Total		</t>
        </is>
      </c>
      <c r="E35" s="199" t="n"/>
      <c r="F35" s="200">
        <f>SUM(F33:F34)</f>
        <v/>
      </c>
      <c r="G35" s="176" t="n"/>
      <c r="H35" s="201" t="n"/>
    </row>
    <row r="36" ht="14.25" customHeight="1">
      <c r="A36" s="130" t="n"/>
      <c r="B36" s="130" t="n"/>
      <c r="C36" s="130" t="n"/>
      <c r="D36" s="130" t="n"/>
      <c r="E36" s="151" t="n"/>
      <c r="F36" s="151" t="n"/>
      <c r="G36" s="176" t="n"/>
    </row>
    <row r="37" ht="14.25" customHeight="1">
      <c r="A37" s="130" t="n"/>
      <c r="B37" s="130" t="n"/>
      <c r="C37" s="130" t="n"/>
      <c r="D37" s="130" t="n"/>
      <c r="E37" s="151" t="n"/>
      <c r="F37" s="151" t="n"/>
      <c r="G37" s="176" t="n"/>
    </row>
    <row r="38">
      <c r="G38" s="176" t="n"/>
    </row>
    <row r="39" ht="19" customHeight="1">
      <c r="A39" s="165" t="inlineStr">
        <is>
          <t xml:space="preserve">Please pay the Invoice in FULL AMOUNT </t>
        </is>
      </c>
    </row>
    <row r="40" ht="61" customHeight="1">
      <c r="A40" s="202" t="inlineStr">
        <is>
          <t>Beneficiary: NNROAD, INC.
Bank Name: Chase Bank
Bank Account: 132827913
Bank Add.: 690 River Oaks Parkway Ste A, San Jose, CA 95134, USA</t>
        </is>
      </c>
      <c r="C40" s="203" t="n"/>
      <c r="D40" s="204" t="inlineStr">
        <is>
          <t xml:space="preserve">
SWIFT BIC (international transfer): CHASUS33XXX
Routing Number (domestic wire transfer): 021000021
Routing Number (domestic ACH and direct deposit): 322271627</t>
        </is>
      </c>
    </row>
    <row r="41">
      <c r="A41" s="88" t="inlineStr">
        <is>
          <t>Notes:</t>
        </is>
      </c>
    </row>
    <row r="42" ht="11" customHeight="1">
      <c r="A42" s="85" t="inlineStr">
        <is>
          <t>1. Please ensure that you include the Invoice Number when making your payment. This will help us accurately process and allocate your payment .</t>
        </is>
      </c>
      <c r="B42" s="85" t="n"/>
      <c r="C42" s="85" t="n"/>
      <c r="D42" s="85" t="n"/>
      <c r="E42" s="85" t="n"/>
      <c r="F42" s="85" t="n"/>
    </row>
    <row r="43">
      <c r="A43" s="85" t="inlineStr">
        <is>
          <t>2. This document becomes a Tax Invoice/Receipt upon payment. Please retain a copy for your records.</t>
        </is>
      </c>
    </row>
    <row r="44">
      <c r="A44" s="85" t="inlineStr">
        <is>
          <t>3. This is a computer generated document.  No Signature required.</t>
        </is>
      </c>
    </row>
  </sheetData>
  <mergeCells count="28">
    <mergeCell ref="D34:E34"/>
    <mergeCell ref="B3:F3"/>
    <mergeCell ref="A18:C18"/>
    <mergeCell ref="A21:C21"/>
    <mergeCell ref="D31:E31"/>
    <mergeCell ref="B2:F2"/>
    <mergeCell ref="A23:C23"/>
    <mergeCell ref="A14:C14"/>
    <mergeCell ref="A5:F5"/>
    <mergeCell ref="A22:C22"/>
    <mergeCell ref="A17:C17"/>
    <mergeCell ref="D32:E32"/>
    <mergeCell ref="B1:F1"/>
    <mergeCell ref="B10:B11"/>
    <mergeCell ref="A20:C20"/>
    <mergeCell ref="A19:C19"/>
    <mergeCell ref="A40:C40"/>
    <mergeCell ref="D28:E28"/>
    <mergeCell ref="A25:D25"/>
    <mergeCell ref="A15:C15"/>
    <mergeCell ref="A39:F39"/>
    <mergeCell ref="A24:C24"/>
    <mergeCell ref="D30:E30"/>
    <mergeCell ref="D33:E33"/>
    <mergeCell ref="D29:E29"/>
    <mergeCell ref="D40:F40"/>
    <mergeCell ref="A16:C16"/>
    <mergeCell ref="D35:E35"/>
  </mergeCells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zoomScale="92" zoomScaleNormal="92" workbookViewId="0">
      <selection activeCell="I31" sqref="I31"/>
    </sheetView>
  </sheetViews>
  <sheetFormatPr baseColWidth="8" defaultColWidth="9.18333333333333" defaultRowHeight="12.75"/>
  <cols>
    <col width="8.81666666666667" customWidth="1" style="21" min="1" max="1"/>
    <col width="18" customWidth="1" style="22" min="2" max="2"/>
    <col width="11.8166666666667" customWidth="1" style="22" min="3" max="3"/>
    <col width="7.45" customWidth="1" style="22" min="4" max="4"/>
    <col width="9.81666666666667" customWidth="1" style="22" min="5" max="5"/>
    <col width="7.18333333333333" customWidth="1" style="22" min="6" max="6"/>
    <col width="8.81666666666667" customWidth="1" style="22" min="7" max="10"/>
    <col width="4.81666666666667" customWidth="1" style="22" min="11" max="11"/>
    <col width="5.36666666666667" customWidth="1" style="22" min="12" max="12"/>
    <col width="5.63333333333333" customWidth="1" style="22" min="13" max="13"/>
    <col width="7.18333333333333" customWidth="1" style="22" min="14" max="14"/>
    <col width="6.81666666666667" customWidth="1" style="22" min="15" max="15"/>
    <col width="8" customWidth="1" style="22" min="16" max="16"/>
    <col width="9" customWidth="1" style="22" min="17" max="17"/>
    <col width="8" customWidth="1" style="22" min="18" max="18"/>
    <col width="11" customWidth="1" style="22" min="19" max="19"/>
    <col width="8" customWidth="1" style="22" min="20" max="20"/>
    <col width="5.81666666666667" customWidth="1" style="22" min="21" max="21"/>
    <col width="8.81666666666667" customWidth="1" style="22" min="22" max="23"/>
    <col width="9.18333333333333" customWidth="1" style="22" min="24" max="16384"/>
  </cols>
  <sheetData>
    <row r="1" ht="13.5" customHeight="1">
      <c r="A1" s="21">
        <f>MID(CELL("filename",A1),FIND("]",CELL("filename",A1))+1,256)</f>
        <v/>
      </c>
    </row>
    <row r="2" ht="13.5" customHeight="1">
      <c r="A2" s="25" t="inlineStr">
        <is>
          <t>Pay Period</t>
        </is>
      </c>
      <c r="B2" s="205">
        <f>'Hong Kong-L'!C2</f>
        <v/>
      </c>
      <c r="C2" s="205">
        <f>'Hong Kong-L'!E2</f>
        <v/>
      </c>
      <c r="E2" s="65" t="inlineStr">
        <is>
          <t>ER</t>
        </is>
      </c>
    </row>
    <row r="3" ht="14" customFormat="1" customHeight="1" s="19">
      <c r="A3" s="25" t="n"/>
      <c r="B3" s="206" t="n"/>
      <c r="E3" s="66" t="inlineStr">
        <is>
          <t>Sum</t>
        </is>
      </c>
      <c r="F3" s="67" t="inlineStr">
        <is>
          <t>Business
Tax</t>
        </is>
      </c>
      <c r="G3" s="68" t="inlineStr">
        <is>
          <t>Management Fee</t>
        </is>
      </c>
      <c r="H3" s="207" t="n"/>
      <c r="I3" s="35" t="inlineStr">
        <is>
          <t>Gross Salary</t>
        </is>
      </c>
      <c r="J3" s="207" t="n"/>
      <c r="K3" s="207" t="n"/>
      <c r="L3" s="207" t="n"/>
      <c r="M3" s="207" t="n"/>
      <c r="N3" s="207" t="n"/>
      <c r="O3" s="207" t="n"/>
      <c r="P3" s="207" t="n"/>
      <c r="Q3" s="208" t="n"/>
      <c r="R3" s="35" t="inlineStr">
        <is>
          <t>Mandatory Contribution</t>
        </is>
      </c>
      <c r="S3" s="207" t="n"/>
      <c r="T3" s="207" t="n"/>
      <c r="U3" s="208" t="n"/>
      <c r="V3" s="35" t="inlineStr">
        <is>
          <t>Expense Claim</t>
        </is>
      </c>
      <c r="W3" s="208" t="n"/>
    </row>
    <row r="4" ht="39" customFormat="1" customHeight="1" s="19">
      <c r="E4" s="209" t="n"/>
      <c r="F4" s="210" t="n"/>
      <c r="G4" s="40" t="inlineStr">
        <is>
          <t>Subtotal</t>
        </is>
      </c>
      <c r="H4" s="41" t="inlineStr">
        <is>
          <t>Recurring
Fee</t>
        </is>
      </c>
      <c r="I4" s="40" t="inlineStr">
        <is>
          <t>Subtotal</t>
        </is>
      </c>
      <c r="J4" s="41" t="inlineStr">
        <is>
          <t>Base Salary</t>
        </is>
      </c>
      <c r="K4" s="41" t="inlineStr">
        <is>
          <t>OT</t>
        </is>
      </c>
      <c r="L4" s="41" t="inlineStr">
        <is>
          <t>Salary Adjusment</t>
        </is>
      </c>
      <c r="M4" s="41" t="inlineStr">
        <is>
          <t>Bonus</t>
        </is>
      </c>
      <c r="N4" s="41" t="inlineStr">
        <is>
          <t>Leave Payment</t>
        </is>
      </c>
      <c r="O4" s="41" t="inlineStr">
        <is>
          <t>Backpay</t>
        </is>
      </c>
      <c r="P4" s="40" t="inlineStr">
        <is>
          <t xml:space="preserve">Other </t>
        </is>
      </c>
      <c r="Q4" s="41" t="inlineStr">
        <is>
          <t>Net 
Adjustment</t>
        </is>
      </c>
      <c r="R4" s="40" t="inlineStr">
        <is>
          <t>Subtotal</t>
        </is>
      </c>
      <c r="S4" s="41" t="inlineStr">
        <is>
          <t>Employees' Compensation Insurance</t>
        </is>
      </c>
      <c r="T4" s="41" t="inlineStr">
        <is>
          <t>MPF ER</t>
        </is>
      </c>
      <c r="U4" s="41" t="inlineStr">
        <is>
          <t>Others</t>
        </is>
      </c>
      <c r="V4" s="40" t="inlineStr">
        <is>
          <t>Subtotal</t>
        </is>
      </c>
      <c r="W4" s="42" t="inlineStr">
        <is>
          <t>Expense
Claim</t>
        </is>
      </c>
    </row>
    <row r="5" ht="13.5" customFormat="1" customHeight="1" s="19">
      <c r="A5" s="21" t="n"/>
      <c r="E5" s="45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7" t="n"/>
    </row>
    <row r="6" customFormat="1" s="20">
      <c r="A6" s="59" t="n"/>
      <c r="B6" s="20" t="inlineStr">
        <is>
          <t>Sum</t>
        </is>
      </c>
      <c r="C6" s="20" t="inlineStr">
        <is>
          <t>(HKD)</t>
        </is>
      </c>
      <c r="E6" s="53">
        <f>SUM(E9:E17)</f>
        <v/>
      </c>
      <c r="F6" s="54">
        <f>SUM(F9:F17)</f>
        <v/>
      </c>
      <c r="G6" s="54">
        <f>SUM(G9:G17)</f>
        <v/>
      </c>
      <c r="H6" s="54">
        <f>SUM(H9:H17)</f>
        <v/>
      </c>
      <c r="I6" s="54">
        <f>SUM(I9:I17)</f>
        <v/>
      </c>
      <c r="J6" s="54">
        <f>SUM(J9:J17)</f>
        <v/>
      </c>
      <c r="K6" s="54">
        <f>SUM(K9:K17)</f>
        <v/>
      </c>
      <c r="L6" s="54">
        <f>SUM(L9:L17)</f>
        <v/>
      </c>
      <c r="M6" s="54">
        <f>SUM(M9:M17)</f>
        <v/>
      </c>
      <c r="N6" s="54">
        <f>SUM(N9:N17)</f>
        <v/>
      </c>
      <c r="O6" s="54">
        <f>SUM(O9:O17)</f>
        <v/>
      </c>
      <c r="P6" s="54">
        <f>SUM(P9:P17)</f>
        <v/>
      </c>
      <c r="Q6" s="54">
        <f>SUM(Q9:Q17)</f>
        <v/>
      </c>
      <c r="R6" s="54">
        <f>SUM(R9:R17)</f>
        <v/>
      </c>
      <c r="S6" s="54">
        <f>SUM(S9:S17)</f>
        <v/>
      </c>
      <c r="T6" s="54">
        <f>SUM(T9:T17)</f>
        <v/>
      </c>
      <c r="U6" s="54">
        <f>SUM(U9:U17)</f>
        <v/>
      </c>
      <c r="V6" s="54">
        <f>SUM(V9:V17)</f>
        <v/>
      </c>
      <c r="W6" s="55">
        <f>SUM(W9:W17)</f>
        <v/>
      </c>
      <c r="X6" s="70" t="n"/>
    </row>
    <row r="7" customFormat="1" s="20">
      <c r="A7" s="71" t="n"/>
      <c r="B7" s="72" t="n"/>
      <c r="C7" s="73" t="n"/>
      <c r="E7" s="53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  <c r="R7" s="54" t="n"/>
      <c r="S7" s="54" t="n"/>
      <c r="T7" s="54" t="n"/>
      <c r="U7" s="54" t="n"/>
      <c r="V7" s="54" t="n"/>
      <c r="W7" s="55" t="n"/>
      <c r="X7" s="70" t="n"/>
    </row>
    <row r="8" customFormat="1" s="20">
      <c r="A8" s="71" t="n"/>
      <c r="E8" s="53" t="n"/>
      <c r="F8" s="54" t="n"/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5" t="n"/>
      <c r="X8" s="70" t="n"/>
    </row>
    <row r="9" customFormat="1" s="20">
      <c r="A9" s="59" t="n"/>
      <c r="B9" s="20">
        <f>'Hong Kong-L'!B8</f>
        <v/>
      </c>
      <c r="C9" s="20">
        <f>'Hong Kong EE'!D10</f>
        <v/>
      </c>
      <c r="E9" s="53">
        <f>F9+G9+I9+R9+V9</f>
        <v/>
      </c>
      <c r="F9" s="54" t="n">
        <v>0</v>
      </c>
      <c r="G9" s="54">
        <f>SUM(H9:H9)</f>
        <v/>
      </c>
      <c r="H9" s="54">
        <f>MAX(600*PN!B28,(I9+R9+V9)*16%)</f>
        <v/>
      </c>
      <c r="I9" s="54">
        <f>SUM(J9:Q9)</f>
        <v/>
      </c>
      <c r="J9" s="54">
        <f>'Hong Kong-L'!C8</f>
        <v/>
      </c>
      <c r="K9" s="54">
        <f>'Hong Kong-L'!D8</f>
        <v/>
      </c>
      <c r="L9" s="54">
        <f>'Hong Kong-L'!E8</f>
        <v/>
      </c>
      <c r="M9" s="54">
        <f>'Hong Kong-L'!F8</f>
        <v/>
      </c>
      <c r="N9" s="54">
        <f>'Hong Kong-L'!G8</f>
        <v/>
      </c>
      <c r="O9" s="54">
        <f>'Hong Kong-L'!H8</f>
        <v/>
      </c>
      <c r="P9" s="54">
        <f>'Hong Kong-L'!I8</f>
        <v/>
      </c>
      <c r="Q9" s="54">
        <f>'Hong Kong-L'!P8</f>
        <v/>
      </c>
      <c r="R9" s="54">
        <f>SUM(S9:U9)</f>
        <v/>
      </c>
      <c r="S9" s="54">
        <f>'Hong Kong-L'!L8</f>
        <v/>
      </c>
      <c r="T9" s="54">
        <f>'Hong Kong-L'!M8</f>
        <v/>
      </c>
      <c r="U9" s="54">
        <f>'Hong Kong-L'!O8</f>
        <v/>
      </c>
      <c r="V9" s="54">
        <f>SUM(W9:W9)</f>
        <v/>
      </c>
      <c r="W9" s="55">
        <f>'Hong Kong-L'!J8</f>
        <v/>
      </c>
      <c r="X9" s="70" t="n"/>
    </row>
    <row r="10" customFormat="1" s="20">
      <c r="A10" s="59" t="n"/>
      <c r="E10" s="53" t="n"/>
      <c r="F10" s="54" t="n"/>
      <c r="G10" s="54" t="n"/>
      <c r="H10" s="54" t="n"/>
      <c r="I10" s="54" t="n"/>
      <c r="J10" s="54" t="n"/>
      <c r="K10" s="54" t="n"/>
      <c r="L10" s="54" t="n"/>
      <c r="M10" s="54" t="n"/>
      <c r="N10" s="54" t="n"/>
      <c r="O10" s="54" t="n"/>
      <c r="P10" s="54" t="n"/>
      <c r="Q10" s="54" t="n"/>
      <c r="R10" s="54" t="n"/>
      <c r="S10" s="54" t="n"/>
      <c r="T10" s="54" t="n"/>
      <c r="U10" s="54" t="n"/>
      <c r="V10" s="54" t="n"/>
      <c r="W10" s="55" t="n"/>
      <c r="X10" s="70" t="n"/>
    </row>
    <row r="11" customFormat="1" s="20">
      <c r="A11" s="59" t="n"/>
      <c r="E11" s="53" t="n"/>
      <c r="F11" s="54" t="n"/>
      <c r="G11" s="54" t="n"/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5" t="n"/>
      <c r="X11" s="70" t="n"/>
    </row>
    <row r="12" customFormat="1" s="20">
      <c r="A12" s="59" t="n"/>
      <c r="E12" s="53" t="n"/>
      <c r="F12" s="54" t="n"/>
      <c r="G12" s="54" t="n"/>
      <c r="H12" s="54" t="n"/>
      <c r="I12" s="54" t="n"/>
      <c r="J12" s="54" t="n"/>
      <c r="K12" s="54" t="n"/>
      <c r="L12" s="54" t="n"/>
      <c r="M12" s="54" t="n"/>
      <c r="N12" s="54" t="n"/>
      <c r="O12" s="54" t="n"/>
      <c r="P12" s="54" t="n"/>
      <c r="Q12" s="54" t="n"/>
      <c r="R12" s="54" t="n"/>
      <c r="S12" s="54" t="n"/>
      <c r="T12" s="54" t="n"/>
      <c r="U12" s="54" t="n"/>
      <c r="V12" s="54" t="n"/>
      <c r="W12" s="55" t="n"/>
      <c r="X12" s="70" t="n"/>
    </row>
    <row r="13" customFormat="1" s="20">
      <c r="A13" s="59" t="n"/>
      <c r="E13" s="53" t="n"/>
      <c r="F13" s="54" t="n"/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  <c r="P13" s="54" t="n"/>
      <c r="Q13" s="54" t="n"/>
      <c r="R13" s="54" t="n"/>
      <c r="S13" s="54" t="n"/>
      <c r="T13" s="54" t="n"/>
      <c r="U13" s="54" t="n"/>
      <c r="V13" s="54" t="n"/>
      <c r="W13" s="55" t="n"/>
      <c r="X13" s="70" t="n"/>
    </row>
    <row r="14" customFormat="1" s="20">
      <c r="A14" s="59" t="n"/>
      <c r="E14" s="53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  <c r="P14" s="54" t="n"/>
      <c r="Q14" s="54" t="n"/>
      <c r="R14" s="54" t="n"/>
      <c r="S14" s="54" t="n"/>
      <c r="T14" s="54" t="n"/>
      <c r="U14" s="54" t="n"/>
      <c r="V14" s="54" t="n"/>
      <c r="W14" s="55" t="n"/>
      <c r="X14" s="70" t="n"/>
    </row>
    <row r="15" customFormat="1" s="20">
      <c r="A15" s="59" t="n"/>
      <c r="E15" s="53" t="n"/>
      <c r="F15" s="54" t="n"/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  <c r="P15" s="54" t="n"/>
      <c r="Q15" s="54" t="n"/>
      <c r="R15" s="54" t="n"/>
      <c r="S15" s="54" t="n"/>
      <c r="T15" s="54" t="n"/>
      <c r="U15" s="54" t="n"/>
      <c r="V15" s="54" t="n"/>
      <c r="W15" s="55" t="n"/>
      <c r="X15" s="70" t="n"/>
    </row>
    <row r="16" customFormat="1" s="20">
      <c r="A16" s="59" t="n"/>
      <c r="E16" s="53" t="n"/>
      <c r="F16" s="54" t="n"/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  <c r="P16" s="54" t="n"/>
      <c r="Q16" s="54" t="n"/>
      <c r="R16" s="54" t="n"/>
      <c r="S16" s="54" t="n"/>
      <c r="T16" s="54" t="n"/>
      <c r="U16" s="54" t="n"/>
      <c r="V16" s="54" t="n"/>
      <c r="W16" s="55" t="n"/>
      <c r="X16" s="70" t="n"/>
    </row>
    <row r="17" ht="13.5" customFormat="1" customHeight="1" s="20">
      <c r="A17" s="59" t="n"/>
      <c r="E17" s="60" t="n"/>
      <c r="F17" s="61" t="n"/>
      <c r="G17" s="61" t="n"/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1" t="n"/>
      <c r="U17" s="61" t="n"/>
      <c r="V17" s="61" t="n"/>
      <c r="W17" s="62" t="n"/>
      <c r="X17" s="70" t="n"/>
    </row>
    <row r="20" ht="15" customFormat="1" customHeight="1" s="63">
      <c r="A20" s="43" t="n"/>
    </row>
    <row r="21" ht="14.25" customFormat="1" customHeight="1" s="63">
      <c r="A21" s="43" t="inlineStr">
        <is>
          <t>Other Fee</t>
        </is>
      </c>
      <c r="B21" s="74" t="n"/>
      <c r="C21" s="74" t="n"/>
      <c r="D21" s="74" t="n"/>
      <c r="E21" s="75">
        <f>SUM(E22:E26)</f>
        <v/>
      </c>
      <c r="F21" s="76" t="n">
        <v>0</v>
      </c>
    </row>
    <row r="22" ht="14.25" customFormat="1" customHeight="1" s="63">
      <c r="A22" s="43" t="n"/>
      <c r="B22" s="74" t="inlineStr">
        <is>
          <t xml:space="preserve">Outstanding payment </t>
        </is>
      </c>
      <c r="C22" s="74" t="n"/>
      <c r="D22" s="74" t="n"/>
      <c r="E22" s="77" t="n">
        <v>18.33</v>
      </c>
      <c r="F22" s="78" t="n"/>
      <c r="G22" s="79" t="n"/>
    </row>
    <row r="23" ht="14.25" customFormat="1" customHeight="1" s="63">
      <c r="A23" s="43" t="n"/>
      <c r="B23" s="74" t="inlineStr">
        <is>
          <t xml:space="preserve">FX difference </t>
        </is>
      </c>
      <c r="C23" s="74" t="n"/>
      <c r="D23" s="74" t="n"/>
      <c r="E23" s="77" t="n"/>
      <c r="F23" s="78" t="n">
        <v>0</v>
      </c>
    </row>
    <row r="24" ht="14.25" customFormat="1" customHeight="1" s="63">
      <c r="A24" s="43" t="n"/>
      <c r="B24" s="74" t="inlineStr">
        <is>
          <t>Interests of delay</t>
        </is>
      </c>
      <c r="C24" s="74" t="n"/>
      <c r="D24" s="74" t="n"/>
      <c r="E24" s="77" t="n"/>
      <c r="F24" s="78" t="n">
        <v>0</v>
      </c>
    </row>
    <row r="25" ht="14.25" customFormat="1" customHeight="1" s="63">
      <c r="A25" s="43" t="n"/>
      <c r="B25" s="74" t="inlineStr">
        <is>
          <t>Bank Charges</t>
        </is>
      </c>
      <c r="C25" s="74" t="n"/>
      <c r="D25" s="74" t="n"/>
      <c r="E25" s="77" t="n">
        <v>10</v>
      </c>
      <c r="F25" s="78" t="n"/>
    </row>
    <row r="26" ht="15" customFormat="1" customHeight="1" s="63">
      <c r="A26" s="43" t="n"/>
      <c r="B26" s="74" t="inlineStr">
        <is>
          <t xml:space="preserve">Invoice adjustment </t>
        </is>
      </c>
      <c r="C26" s="74" t="n"/>
      <c r="D26" s="74" t="n"/>
      <c r="E26" s="80" t="n">
        <v>0</v>
      </c>
      <c r="F26" s="81" t="n"/>
    </row>
  </sheetData>
  <mergeCells count="6">
    <mergeCell ref="R3:U3"/>
    <mergeCell ref="E3:E4"/>
    <mergeCell ref="F3:F4"/>
    <mergeCell ref="I3:Q3"/>
    <mergeCell ref="G3:H3"/>
    <mergeCell ref="V3:W3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H33" sqref="H33"/>
    </sheetView>
  </sheetViews>
  <sheetFormatPr baseColWidth="8" defaultColWidth="9.18333333333333" defaultRowHeight="12.75"/>
  <cols>
    <col width="12.3666666666667" customWidth="1" style="21" min="1" max="1"/>
    <col width="9.81666666666667" customWidth="1" style="22" min="2" max="2"/>
    <col width="10.3666666666667" customWidth="1" style="22" min="3" max="3"/>
    <col width="12.6333333333333" customWidth="1" style="22" min="4" max="4"/>
    <col width="12" customWidth="1" style="22" min="5" max="5"/>
    <col width="8.449999999999999" customWidth="1" style="22" min="6" max="6"/>
    <col width="9.449999999999999" customWidth="1" style="22" min="7" max="7"/>
    <col width="12.725" customWidth="1" style="22" min="8" max="8"/>
    <col width="12.6333333333333" customWidth="1" style="22" min="9" max="9"/>
    <col width="8.81666666666667" customWidth="1" style="22" min="10" max="10"/>
    <col width="4.63333333333333" customWidth="1" style="22" min="11" max="11"/>
    <col width="8.366666666666671" customWidth="1" style="22" min="12" max="12"/>
    <col width="10.1833333333333" customWidth="1" style="22" min="13" max="13"/>
    <col width="7.18333333333333" customWidth="1" style="22" min="14" max="14"/>
    <col width="6.81666666666667" customWidth="1" style="22" min="15" max="15"/>
    <col width="7.45" customWidth="1" style="22" min="16" max="16"/>
    <col width="11.45" customWidth="1" style="22" min="17" max="17"/>
    <col width="8.366666666666671" customWidth="1" style="22" min="18" max="19"/>
    <col width="8" customWidth="1" style="22" min="20" max="21"/>
    <col width="9.18333333333333" customWidth="1" style="22" min="22" max="16384"/>
  </cols>
  <sheetData>
    <row r="1" ht="13.5" customHeight="1">
      <c r="A1" s="21">
        <f>MID(CELL("filename",A1),FIND("]",CELL("filename",A1))+1,256)</f>
        <v/>
      </c>
      <c r="C1" s="206" t="n"/>
      <c r="D1" s="206" t="n"/>
      <c r="E1" s="206" t="n"/>
      <c r="F1" s="206" t="n"/>
      <c r="H1" s="24" t="n"/>
    </row>
    <row r="2" ht="13.5" customHeight="1">
      <c r="A2" s="25" t="n"/>
      <c r="B2" s="206" t="n"/>
      <c r="C2" s="206" t="n"/>
      <c r="D2" s="206" t="n"/>
      <c r="E2" s="206" t="n"/>
      <c r="F2" s="206" t="n"/>
      <c r="H2" s="26" t="inlineStr">
        <is>
          <t>EE</t>
        </is>
      </c>
    </row>
    <row r="3" ht="14" customFormat="1" customHeight="1" s="19">
      <c r="A3" s="27" t="n"/>
      <c r="B3" s="28" t="inlineStr">
        <is>
          <t>Client Code</t>
        </is>
      </c>
      <c r="C3" s="28" t="inlineStr">
        <is>
          <t>Client Name</t>
        </is>
      </c>
      <c r="D3" s="28" t="inlineStr">
        <is>
          <t>EE Code</t>
        </is>
      </c>
      <c r="E3" s="28" t="inlineStr">
        <is>
          <t>EE Name</t>
        </is>
      </c>
      <c r="F3" s="211" t="inlineStr">
        <is>
          <t>Pay Period</t>
        </is>
      </c>
      <c r="G3" s="212" t="n"/>
      <c r="H3" s="31" t="inlineStr">
        <is>
          <t>Net
Income</t>
        </is>
      </c>
      <c r="I3" s="35" t="inlineStr">
        <is>
          <t>Gross Salary</t>
        </is>
      </c>
      <c r="J3" s="207" t="n"/>
      <c r="K3" s="207" t="n"/>
      <c r="L3" s="207" t="n"/>
      <c r="M3" s="207" t="n"/>
      <c r="N3" s="207" t="n"/>
      <c r="O3" s="207" t="n"/>
      <c r="P3" s="207" t="n"/>
      <c r="Q3" s="208" t="n"/>
      <c r="R3" s="35" t="inlineStr">
        <is>
          <t>Expense Claim</t>
        </is>
      </c>
      <c r="S3" s="208" t="n"/>
      <c r="T3" s="35" t="inlineStr">
        <is>
          <t>Mandatory Contribution</t>
        </is>
      </c>
      <c r="U3" s="208" t="n"/>
    </row>
    <row r="4" ht="26.25" customFormat="1" customHeight="1" s="19">
      <c r="A4" s="27" t="n"/>
      <c r="B4" s="209" t="n"/>
      <c r="C4" s="209" t="n"/>
      <c r="D4" s="209" t="n"/>
      <c r="E4" s="209" t="n"/>
      <c r="F4" s="38" t="inlineStr">
        <is>
          <t>From</t>
        </is>
      </c>
      <c r="G4" s="38" t="inlineStr">
        <is>
          <t>To</t>
        </is>
      </c>
      <c r="H4" s="209" t="n"/>
      <c r="I4" s="40" t="inlineStr">
        <is>
          <t>Subtotal</t>
        </is>
      </c>
      <c r="J4" s="41" t="inlineStr">
        <is>
          <t>Base Salary</t>
        </is>
      </c>
      <c r="K4" s="41" t="inlineStr">
        <is>
          <t>OT</t>
        </is>
      </c>
      <c r="L4" s="41" t="inlineStr">
        <is>
          <t>Salary Adjusment</t>
        </is>
      </c>
      <c r="M4" s="41" t="inlineStr">
        <is>
          <t>Bonus</t>
        </is>
      </c>
      <c r="N4" s="41" t="inlineStr">
        <is>
          <t>Leave Payment</t>
        </is>
      </c>
      <c r="O4" s="41" t="inlineStr">
        <is>
          <t>Backpay</t>
        </is>
      </c>
      <c r="P4" s="40" t="inlineStr">
        <is>
          <t xml:space="preserve">Other </t>
        </is>
      </c>
      <c r="Q4" s="40" t="inlineStr">
        <is>
          <t>Net Adjustment</t>
        </is>
      </c>
      <c r="R4" s="40" t="inlineStr">
        <is>
          <t>Subtotal</t>
        </is>
      </c>
      <c r="S4" s="41" t="inlineStr">
        <is>
          <t>Expense
Claim</t>
        </is>
      </c>
      <c r="T4" s="40" t="inlineStr">
        <is>
          <t>Subtotal</t>
        </is>
      </c>
      <c r="U4" s="42" t="inlineStr">
        <is>
          <t>MPF EE</t>
        </is>
      </c>
    </row>
    <row r="5" ht="15" customFormat="1" customHeight="1" s="19">
      <c r="A5" s="43" t="n"/>
      <c r="B5" s="44" t="n"/>
      <c r="C5" s="44" t="n"/>
      <c r="D5" s="44" t="n"/>
      <c r="E5" s="44" t="n"/>
      <c r="F5" s="44" t="n"/>
      <c r="G5" s="44" t="n"/>
      <c r="H5" s="45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7" t="n"/>
    </row>
    <row r="6" ht="14.25" customFormat="1" customHeight="1" s="20">
      <c r="A6" s="48" t="inlineStr">
        <is>
          <t>EOR/PEO(HKD)</t>
        </is>
      </c>
      <c r="B6" s="49" t="n"/>
      <c r="C6" s="49" t="n"/>
      <c r="D6" s="49" t="n"/>
      <c r="E6" s="49" t="n"/>
      <c r="F6" s="49" t="n"/>
      <c r="G6" s="49" t="n"/>
      <c r="H6" s="50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2" t="n"/>
    </row>
    <row r="7" ht="14.25" customFormat="1" customHeight="1" s="20">
      <c r="A7" s="48" t="n"/>
      <c r="B7" s="49" t="n"/>
      <c r="C7" s="49" t="n"/>
      <c r="D7" s="49" t="n"/>
      <c r="E7" s="49" t="n"/>
      <c r="F7" s="49" t="n"/>
      <c r="G7" s="49" t="n"/>
      <c r="H7" s="53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  <c r="R7" s="54" t="n"/>
      <c r="S7" s="54" t="n"/>
      <c r="T7" s="54" t="n"/>
      <c r="U7" s="55" t="n"/>
    </row>
    <row r="8" ht="14.25" customFormat="1" customHeight="1" s="20">
      <c r="A8" s="56" t="n"/>
      <c r="B8" s="57" t="n"/>
      <c r="C8" s="57" t="n"/>
      <c r="D8" s="57" t="n"/>
      <c r="E8" s="57" t="n"/>
      <c r="F8" s="57" t="n"/>
      <c r="G8" s="57" t="n"/>
      <c r="H8" s="53" t="n"/>
      <c r="I8" s="54" t="n"/>
      <c r="J8" s="54" t="n"/>
      <c r="K8" s="54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5" t="n"/>
    </row>
    <row r="9" ht="14.25" customFormat="1" customHeight="1" s="20">
      <c r="A9" s="56" t="n"/>
      <c r="B9" s="58" t="n"/>
      <c r="C9" s="58" t="n"/>
      <c r="D9" s="58" t="n"/>
      <c r="E9" s="58" t="n"/>
      <c r="F9" s="58" t="n"/>
      <c r="G9" s="58" t="n"/>
      <c r="H9" s="53" t="n"/>
      <c r="I9" s="54" t="n"/>
      <c r="J9" s="54" t="n"/>
      <c r="K9" s="54" t="n"/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5" t="n"/>
    </row>
    <row r="10" ht="14.25" customFormat="1" customHeight="1" s="20">
      <c r="A10" s="48" t="n"/>
      <c r="B10" s="58">
        <f>PN!B9</f>
        <v/>
      </c>
      <c r="C10" s="58">
        <f>PN!B8</f>
        <v/>
      </c>
      <c r="D10" s="58">
        <f>'Hong Kong-L'!A8</f>
        <v/>
      </c>
      <c r="E10" s="58">
        <f>'Hong Kong-L'!B8</f>
        <v/>
      </c>
      <c r="F10" s="57">
        <f>'Hong Kong-L'!C2</f>
        <v/>
      </c>
      <c r="G10" s="57">
        <f>'Hong Kong-L'!E2</f>
        <v/>
      </c>
      <c r="H10" s="53">
        <f>I10+R10+T10</f>
        <v/>
      </c>
      <c r="I10" s="54">
        <f>SUM(J10:Q10)</f>
        <v/>
      </c>
      <c r="J10" s="54">
        <f>'Hong Kong-L'!C8</f>
        <v/>
      </c>
      <c r="K10" s="54">
        <f>'Hong Kong-L'!D8</f>
        <v/>
      </c>
      <c r="L10" s="54">
        <f>'Hong Kong-L'!E8</f>
        <v/>
      </c>
      <c r="M10" s="54">
        <f>'Hong Kong-L'!F8</f>
        <v/>
      </c>
      <c r="N10" s="54">
        <f>'Hong Kong-L'!G8</f>
        <v/>
      </c>
      <c r="O10" s="54">
        <f>'Hong Kong-L'!H8</f>
        <v/>
      </c>
      <c r="P10" s="54">
        <f>'Hong Kong-L'!I8</f>
        <v/>
      </c>
      <c r="Q10" s="54">
        <f>'Hong Kong-L'!P8</f>
        <v/>
      </c>
      <c r="R10" s="54">
        <f>SUM(S10:S10)</f>
        <v/>
      </c>
      <c r="S10" s="54">
        <f>'Hong Kong-L'!J8</f>
        <v/>
      </c>
      <c r="T10" s="54">
        <f>SUM(U10:U10)</f>
        <v/>
      </c>
      <c r="U10" s="55">
        <f>'Hong Kong-L'!N8</f>
        <v/>
      </c>
    </row>
    <row r="11" customFormat="1" s="20">
      <c r="A11" s="59" t="n"/>
      <c r="H11" s="53" t="n"/>
      <c r="I11" s="54" t="n"/>
      <c r="J11" s="54" t="n"/>
      <c r="K11" s="54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5" t="n"/>
    </row>
    <row r="12" customFormat="1" s="20">
      <c r="A12" s="59" t="n"/>
      <c r="H12" s="53" t="n"/>
      <c r="I12" s="54" t="n"/>
      <c r="J12" s="54" t="n"/>
      <c r="K12" s="54" t="n"/>
      <c r="L12" s="54" t="n"/>
      <c r="M12" s="54" t="n"/>
      <c r="N12" s="54" t="n"/>
      <c r="O12" s="54" t="n"/>
      <c r="P12" s="54" t="n"/>
      <c r="Q12" s="54" t="n"/>
      <c r="R12" s="54" t="n"/>
      <c r="S12" s="54" t="n"/>
      <c r="T12" s="54" t="n"/>
      <c r="U12" s="55" t="n"/>
    </row>
    <row r="13" customFormat="1" s="20">
      <c r="A13" s="59" t="n"/>
      <c r="H13" s="53" t="n"/>
      <c r="I13" s="54" t="n"/>
      <c r="J13" s="54" t="n"/>
      <c r="K13" s="54" t="n"/>
      <c r="L13" s="54" t="n"/>
      <c r="M13" s="54" t="n"/>
      <c r="N13" s="54" t="n"/>
      <c r="O13" s="54" t="n"/>
      <c r="P13" s="54" t="n"/>
      <c r="Q13" s="54" t="n"/>
      <c r="R13" s="54" t="n"/>
      <c r="S13" s="54" t="n"/>
      <c r="T13" s="54" t="n"/>
      <c r="U13" s="55" t="n"/>
    </row>
    <row r="14" customFormat="1" s="20">
      <c r="A14" s="59" t="n"/>
      <c r="H14" s="53" t="n"/>
      <c r="I14" s="54" t="n"/>
      <c r="J14" s="54" t="n"/>
      <c r="K14" s="54" t="n"/>
      <c r="L14" s="54" t="n"/>
      <c r="M14" s="54" t="n"/>
      <c r="N14" s="54" t="n"/>
      <c r="O14" s="54" t="n"/>
      <c r="P14" s="54" t="n"/>
      <c r="Q14" s="54" t="n"/>
      <c r="R14" s="54" t="n"/>
      <c r="S14" s="54" t="n"/>
      <c r="T14" s="54" t="n"/>
      <c r="U14" s="55" t="n"/>
    </row>
    <row r="15" customFormat="1" s="20">
      <c r="A15" s="59" t="n"/>
      <c r="H15" s="53" t="n"/>
      <c r="I15" s="54" t="n"/>
      <c r="J15" s="54" t="n"/>
      <c r="K15" s="54" t="n"/>
      <c r="L15" s="54" t="n"/>
      <c r="M15" s="54" t="n"/>
      <c r="N15" s="54" t="n"/>
      <c r="O15" s="54" t="n"/>
      <c r="P15" s="54" t="n"/>
      <c r="Q15" s="54" t="n"/>
      <c r="R15" s="54" t="n"/>
      <c r="S15" s="54" t="n"/>
      <c r="T15" s="54" t="n"/>
      <c r="U15" s="55" t="n"/>
    </row>
    <row r="16" customFormat="1" s="20">
      <c r="A16" s="59" t="n"/>
      <c r="H16" s="53" t="n"/>
      <c r="I16" s="54" t="n"/>
      <c r="J16" s="54" t="n"/>
      <c r="K16" s="54" t="n"/>
      <c r="L16" s="54" t="n"/>
      <c r="M16" s="54" t="n"/>
      <c r="N16" s="54" t="n"/>
      <c r="O16" s="54" t="n"/>
      <c r="P16" s="54" t="n"/>
      <c r="Q16" s="54" t="n"/>
      <c r="R16" s="54" t="n"/>
      <c r="S16" s="54" t="n"/>
      <c r="T16" s="54" t="n"/>
      <c r="U16" s="55" t="n"/>
    </row>
    <row r="17" customFormat="1" s="20">
      <c r="A17" s="59" t="n"/>
      <c r="H17" s="53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4" t="n"/>
      <c r="U17" s="55" t="n"/>
    </row>
    <row r="18" customFormat="1" s="20">
      <c r="A18" s="59" t="n"/>
      <c r="H18" s="53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4" t="n"/>
      <c r="U18" s="55" t="n"/>
    </row>
    <row r="19" ht="13.5" customFormat="1" customHeight="1" s="20">
      <c r="A19" s="59" t="n"/>
      <c r="H19" s="60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61" t="n"/>
      <c r="U19" s="62" t="n"/>
    </row>
  </sheetData>
  <mergeCells count="9">
    <mergeCell ref="F3:G3"/>
    <mergeCell ref="C3:C4"/>
    <mergeCell ref="B3:B4"/>
    <mergeCell ref="E3:E4"/>
    <mergeCell ref="H3:H4"/>
    <mergeCell ref="D3:D4"/>
    <mergeCell ref="R3:S3"/>
    <mergeCell ref="I3:Q3"/>
    <mergeCell ref="T3:U3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3"/>
  <sheetViews>
    <sheetView zoomScale="115" zoomScaleNormal="115" workbookViewId="0">
      <selection activeCell="J18" sqref="J18"/>
    </sheetView>
  </sheetViews>
  <sheetFormatPr baseColWidth="8" defaultColWidth="8.81666666666667" defaultRowHeight="14.25"/>
  <cols>
    <col width="6.63333333333333" customWidth="1" min="1" max="1"/>
    <col width="23.1833333333333" customWidth="1" min="2" max="2"/>
    <col width="11.1833333333333" customWidth="1" min="3" max="3"/>
    <col width="8" customWidth="1" min="4" max="4"/>
    <col width="10.6333333333333" customWidth="1" min="5" max="5"/>
    <col width="12" customWidth="1" min="6" max="6"/>
    <col width="15" customWidth="1" min="7" max="8"/>
    <col width="9" customWidth="1" min="9" max="10"/>
    <col width="12.5416666666667" customWidth="1" min="11" max="11"/>
    <col width="10.3666666666667" customWidth="1" min="12" max="12"/>
    <col width="9" customWidth="1" min="13" max="13"/>
    <col width="9.633333333333329" customWidth="1" min="14" max="14"/>
    <col width="12.8166666666667" customWidth="1" min="16" max="16"/>
    <col width="15" customWidth="1" min="17" max="18"/>
    <col width="13.1833333333333" customWidth="1" min="19" max="19"/>
    <col width="10.6333333333333" customWidth="1" min="20" max="20"/>
    <col width="9.449999999999999" customWidth="1" min="22" max="22"/>
    <col width="10.6333333333333" customWidth="1" min="42" max="42"/>
  </cols>
  <sheetData>
    <row r="1">
      <c r="A1" s="2" t="inlineStr">
        <is>
          <t>Company name:</t>
        </is>
      </c>
      <c r="C1" s="3">
        <f>PN!B8</f>
        <v/>
      </c>
    </row>
    <row r="2">
      <c r="A2" s="2" t="inlineStr">
        <is>
          <t>Payroll period:</t>
        </is>
      </c>
      <c r="C2" s="213" t="inlineStr">
        <is>
          <t>2026/3/1</t>
        </is>
      </c>
      <c r="D2" s="2" t="inlineStr">
        <is>
          <t>to</t>
        </is>
      </c>
      <c r="E2" s="213" t="inlineStr">
        <is>
          <t>2026/3/31</t>
        </is>
      </c>
    </row>
    <row r="3">
      <c r="A3" s="2" t="inlineStr">
        <is>
          <t xml:space="preserve">Currency: </t>
        </is>
      </c>
      <c r="C3" s="5" t="inlineStr">
        <is>
          <t>HKD</t>
        </is>
      </c>
    </row>
    <row r="4"/>
    <row r="5"/>
    <row r="6" ht="15" customHeight="1"/>
    <row r="7" ht="57.75" customFormat="1" customHeight="1" s="1">
      <c r="A7" s="6" t="inlineStr">
        <is>
          <t>No. of EE</t>
        </is>
      </c>
      <c r="B7" s="7" t="inlineStr">
        <is>
          <t>Name of Employee</t>
        </is>
      </c>
      <c r="C7" s="7" t="inlineStr">
        <is>
          <t>Base Salary</t>
        </is>
      </c>
      <c r="D7" s="7" t="inlineStr">
        <is>
          <t>OT</t>
        </is>
      </c>
      <c r="E7" s="7" t="inlineStr">
        <is>
          <t>Salary Adjusment</t>
        </is>
      </c>
      <c r="F7" s="7" t="inlineStr">
        <is>
          <t>Bonus</t>
        </is>
      </c>
      <c r="G7" s="7" t="inlineStr">
        <is>
          <t>Leave Payment</t>
        </is>
      </c>
      <c r="H7" s="7" t="inlineStr">
        <is>
          <t>Backpay</t>
        </is>
      </c>
      <c r="I7" s="7" t="inlineStr">
        <is>
          <t xml:space="preserve">Other </t>
        </is>
      </c>
      <c r="J7" s="7" t="inlineStr">
        <is>
          <t>Expense Reimbursment</t>
        </is>
      </c>
      <c r="K7" s="7" t="inlineStr">
        <is>
          <t>Gross Salary</t>
        </is>
      </c>
      <c r="L7" s="7" t="inlineStr">
        <is>
          <t>Employees' Compensation Insurance</t>
        </is>
      </c>
      <c r="M7" s="7" t="inlineStr">
        <is>
          <t>MPF ER</t>
        </is>
      </c>
      <c r="N7" s="7" t="inlineStr">
        <is>
          <t>MPF EE</t>
        </is>
      </c>
      <c r="O7" s="7" t="inlineStr">
        <is>
          <t>Medical Insurance</t>
        </is>
      </c>
      <c r="P7" s="7" t="inlineStr">
        <is>
          <t>Net Adjustment</t>
        </is>
      </c>
      <c r="Q7" s="7" t="inlineStr">
        <is>
          <t>Net Pay</t>
        </is>
      </c>
      <c r="R7" s="8" t="inlineStr">
        <is>
          <t>Total Cost</t>
        </is>
      </c>
    </row>
    <row r="8">
      <c r="A8" s="9" t="n"/>
      <c r="B8" s="10" t="n"/>
      <c r="C8" s="214" t="n"/>
      <c r="D8" s="12" t="n"/>
      <c r="E8" s="214" t="n"/>
      <c r="F8" s="13" t="n"/>
      <c r="G8" s="13" t="n"/>
      <c r="H8" s="13" t="n"/>
      <c r="I8" s="13" t="n"/>
      <c r="J8" s="14" t="n"/>
      <c r="K8" s="13" t="n"/>
      <c r="L8" s="13" t="n"/>
      <c r="M8" s="13" t="n"/>
      <c r="N8" s="13" t="n"/>
      <c r="O8" s="13" t="n"/>
      <c r="P8" s="215" t="n"/>
      <c r="Q8" s="214" t="n"/>
      <c r="R8" s="216" t="n"/>
      <c r="T8" s="17" t="n"/>
    </row>
    <row r="9">
      <c r="A9" s="9" t="n"/>
      <c r="B9" s="10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</row>
    <row r="10">
      <c r="A10" s="9" t="n"/>
      <c r="B10" s="10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</row>
    <row r="11">
      <c r="A11" s="9" t="n"/>
      <c r="B11" s="10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</row>
    <row r="12" ht="15" customHeight="1">
      <c r="A12" s="9" t="n"/>
      <c r="B12" s="18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</row>
    <row r="13" ht="15" customHeight="1">
      <c r="A13" s="9" t="n"/>
      <c r="B13" s="18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</row>
  </sheetData>
  <mergeCells count="3">
    <mergeCell ref="A3:B3"/>
    <mergeCell ref="A2:B2"/>
    <mergeCell ref="A1:B1"/>
  </mergeCells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Miguel</dc:creator>
  <dcterms:created xmlns:dcterms="http://purl.org/dc/terms/" xmlns:xsi="http://www.w3.org/2001/XMLSchema-instance" xsi:type="dcterms:W3CDTF">2019-04-02T09:07:00Z</dcterms:created>
  <dcterms:modified xmlns:dcterms="http://purl.org/dc/terms/" xmlns:xsi="http://www.w3.org/2001/XMLSchema-instance" xsi:type="dcterms:W3CDTF">2026-07-24T10:47:30Z</dcterms:modified>
  <cp:lastModifiedBy>给我，高高的飞起来啊！！</cp:lastModifiedBy>
  <cp:lastPrinted>2025-03-05T21:09:00Z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0x010100AAA55CC3C3BD834BA343262FD5D71E76</vt:lpwstr>
  </property>
  <property name="WorkbookGuid" fmtid="{D5CDD505-2E9C-101B-9397-08002B2CF9AE}" pid="3">
    <vt:lpwstr xmlns:vt="http://schemas.openxmlformats.org/officeDocument/2006/docPropsVTypes">a8ef3fbe-4e27-48f7-a0b1-3e7729cc8ae0</vt:lpwstr>
  </property>
  <property name="MediaServiceImageTags" fmtid="{D5CDD505-2E9C-101B-9397-08002B2CF9AE}" pid="4">
    <vt:lpwstr xmlns:vt="http://schemas.openxmlformats.org/officeDocument/2006/docPropsVTypes"/>
  </property>
  <property name="ICV" fmtid="{D5CDD505-2E9C-101B-9397-08002B2CF9AE}" pid="5">
    <vt:lpwstr xmlns:vt="http://schemas.openxmlformats.org/officeDocument/2006/docPropsVTypes">610C834055764C5A8554B3C1FE6A1FC8_12</vt:lpwstr>
  </property>
  <property name="KSOProductBuildVer" fmtid="{D5CDD505-2E9C-101B-9397-08002B2CF9AE}" pid="6">
    <vt:lpwstr xmlns:vt="http://schemas.openxmlformats.org/officeDocument/2006/docPropsVTypes">2052-12.1.0.26375</vt:lpwstr>
  </property>
  <property name="CalculationRule" fmtid="{D5CDD505-2E9C-101B-9397-08002B2CF9AE}" pid="7">
    <vt:i4 xmlns:vt="http://schemas.openxmlformats.org/officeDocument/2006/docPropsVTypes">0</vt:i4>
  </property>
</Properties>
</file>