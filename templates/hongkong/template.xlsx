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Up-工资哥All项目\转换\templates\hongkong\"/>
    </mc:Choice>
  </mc:AlternateContent>
  <bookViews>
    <workbookView windowWidth="27945" windowHeight="12255"/>
  </bookViews>
  <sheets>
    <sheet name="PN" sheetId="1" r:id="rId1"/>
    <sheet name="Hong Kong" sheetId="2" r:id="rId2"/>
    <sheet name="Hong Kong EE" sheetId="3" r:id="rId3"/>
    <sheet name="Hong Kong-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<sst xmlns="http://schemas.openxmlformats.org/spreadsheetml/2006/main" count="120" uniqueCount="86">
  <si>
    <t>NNRoad – Employer of Record, Payroll Worldwide</t>
  </si>
  <si>
    <t>333 W San Carlos St., Suite 600, San Jose, CA 95113, USA</t>
  </si>
  <si>
    <t>USA: +1 (669) 377-5080 | www.NNRoad.com</t>
  </si>
  <si>
    <t>INVOICE</t>
  </si>
  <si>
    <t>Bill to:</t>
  </si>
  <si>
    <t>Company name:</t>
  </si>
  <si>
    <t>Currency</t>
  </si>
  <si>
    <t>USD</t>
  </si>
  <si>
    <t>Client ID:</t>
  </si>
  <si>
    <t>Invoice number</t>
  </si>
  <si>
    <t>Address:</t>
  </si>
  <si>
    <t>Invoice date</t>
  </si>
  <si>
    <t>Due date</t>
  </si>
  <si>
    <t>Description</t>
  </si>
  <si>
    <t>Approx. In USD*</t>
  </si>
  <si>
    <t>EOR/PEO Cost</t>
  </si>
  <si>
    <t>Service Fee</t>
  </si>
  <si>
    <t xml:space="preserve"> 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</si>
  <si>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</si>
  <si>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</si>
  <si>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</si>
  <si>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</si>
  <si>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</si>
  <si>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</si>
  <si>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</si>
  <si>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</si>
  <si>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</si>
  <si>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</si>
  <si>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</si>
  <si>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</si>
  <si>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</si>
  <si>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</si>
  <si>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</si>
  <si>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</si>
  <si>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Hong Kong</t>
  </si>
  <si>
    <t>Pay Period</t>
  </si>
  <si>
    <t>ER</t>
  </si>
  <si>
    <t>Sum</t>
  </si>
  <si>
    <t>Business
Tax</t>
  </si>
  <si>
    <t>Management Fee</t>
  </si>
  <si>
    <t>Gross Salary</t>
  </si>
  <si>
    <t>Mandatory Contribution</t>
  </si>
  <si>
    <t>Expense Claim</t>
  </si>
  <si>
    <t>Subtotal</t>
  </si>
  <si>
    <t>Recurring
Fee</t>
  </si>
  <si>
    <t>Base Salary</t>
  </si>
  <si>
    <t>OT</t>
  </si>
  <si>
    <t>Salary Adjusment</t>
  </si>
  <si>
    <t>Bonus</t>
  </si>
  <si>
    <t>Leave Payment</t>
  </si>
  <si>
    <t>Backpay</t>
  </si>
  <si>
    <t xml:space="preserve">Other </t>
  </si>
  <si>
    <t>Net 
Adjustment</t>
  </si>
  <si>
    <t>Employees' Compensation Insurance</t>
  </si>
  <si>
    <t>MPF ER</t>
  </si>
  <si>
    <t>Others</t>
  </si>
  <si>
    <t>Expense
Claim</t>
  </si>
  <si>
    <t>(HKD)</t>
  </si>
  <si>
    <t>Other Fee</t>
  </si>
  <si>
    <t>Interests of delay</t>
  </si>
  <si>
    <t>Bank Charges</t>
  </si>
  <si>
    <t xml:space="preserve">Invoice adjustment </t>
  </si>
  <si>
    <t>Hong Kong EE</t>
  </si>
  <si>
    <t>EE</t>
  </si>
  <si>
    <t>Client Code</t>
  </si>
  <si>
    <t>Client Name</t>
  </si>
  <si>
    <t>EE Code</t>
  </si>
  <si>
    <t>EE Name</t>
  </si>
  <si>
    <t>Net
Income</t>
  </si>
  <si>
    <t>From</t>
  </si>
  <si>
    <t>To</t>
  </si>
  <si>
    <t>Net Adjustment</t>
  </si>
  <si>
    <t>MPF EE</t>
  </si>
  <si>
    <t>EOR/PEO(HKD)</t>
  </si>
  <si>
    <t>Payroll period:</t>
  </si>
  <si>
    <t>2026/3/1</t>
  </si>
  <si>
    <t>to</t>
  </si>
  <si>
    <t>2026/3/31</t>
  </si>
  <si>
    <t xml:space="preserve">Currency: </t>
  </si>
  <si>
    <t>HKD</t>
  </si>
  <si>
    <t>No. of EE</t>
  </si>
  <si>
    <t>Name of Employee</t>
  </si>
  <si>
    <t>Expense Reimbursment</t>
  </si>
  <si>
    <t>Medical Insurance</t>
  </si>
  <si>
    <t>Net Pay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</si>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</sst>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0.00;\(#,##0.00\)"/>
    <numFmt numFmtId="177" formatCode="#,##0.000_);\(#,##0.000\)"/>
    <numFmt numFmtId="178" formatCode="#,##0.00_ "/>
    <numFmt numFmtId="179" formatCode="_(&quot;$&quot;* #,##0.00_);_(&quot;$&quot;* \(#,##0.00\);_(&quot;$&quot;* &quot;-&quot;??_);_(@_)"/>
    <numFmt numFmtId="180" formatCode="0.0000"/>
  </numFmts>
  <fonts count="47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8"/>
      <color rgb="FF000000"/>
      <name val="Verdana"/>
      <charset val="134"/>
    </font>
    <font>
      <sz val="11"/>
      <color rgb="FF000000"/>
      <name val="Calibri"/>
      <charset val="134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8"/>
      <color theme="0" tint="-0.499984740745262"/>
      <name val="等线"/>
      <charset val="134"/>
      <scheme val="minor"/>
    </font>
    <font>
      <b/>
      <sz val="11"/>
      <name val="等线"/>
      <charset val="134"/>
      <scheme val="minor"/>
    </font>
    <font>
      <i/>
      <sz val="8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i/>
      <sz val="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2"/>
      <color rgb="FF0066B3"/>
      <name val="等线"/>
      <charset val="134"/>
      <scheme val="minor"/>
    </font>
    <font>
      <sz val="10.5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9"/>
      <color theme="0" tint="-0.499984740745262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i/>
      <sz val="10"/>
      <color theme="1"/>
      <name val="等线"/>
      <charset val="134"/>
      <scheme val="minor"/>
    </font>
    <font>
      <b/>
      <i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7" borderId="63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64">
      <alignment vertical="center"/>
    </xf>
    <xf numFmtId="0" fontId="34" fillId="0" borderId="64">
      <alignment vertical="center"/>
    </xf>
    <xf numFmtId="0" fontId="35" fillId="0" borderId="65">
      <alignment vertical="center"/>
    </xf>
    <xf numFmtId="0" fontId="35" fillId="0" borderId="0">
      <alignment vertical="center"/>
    </xf>
    <xf numFmtId="0" fontId="36" fillId="8" borderId="66">
      <alignment vertical="center"/>
    </xf>
    <xf numFmtId="0" fontId="37" fillId="9" borderId="67">
      <alignment vertical="center"/>
    </xf>
    <xf numFmtId="0" fontId="38" fillId="9" borderId="66">
      <alignment vertical="center"/>
    </xf>
    <xf numFmtId="0" fontId="39" fillId="10" borderId="68">
      <alignment vertical="center"/>
    </xf>
    <xf numFmtId="0" fontId="40" fillId="0" borderId="69">
      <alignment vertical="center"/>
    </xf>
    <xf numFmtId="0" fontId="41" fillId="0" borderId="70">
      <alignment vertical="center"/>
    </xf>
    <xf numFmtId="0" fontId="42" fillId="11" borderId="0">
      <alignment vertical="center"/>
    </xf>
    <xf numFmtId="0" fontId="43" fillId="12" borderId="0">
      <alignment vertical="center"/>
    </xf>
    <xf numFmtId="0" fontId="44" fillId="13" borderId="0">
      <alignment vertical="center"/>
    </xf>
    <xf numFmtId="0" fontId="45" fillId="14" borderId="0">
      <alignment vertical="center"/>
    </xf>
    <xf numFmtId="0" fontId="46" fillId="15" borderId="0">
      <alignment vertical="center"/>
    </xf>
    <xf numFmtId="0" fontId="46" fillId="16" borderId="0">
      <alignment vertical="center"/>
    </xf>
    <xf numFmtId="0" fontId="45" fillId="17" borderId="0">
      <alignment vertical="center"/>
    </xf>
    <xf numFmtId="0" fontId="45" fillId="18" borderId="0">
      <alignment vertical="center"/>
    </xf>
    <xf numFmtId="0" fontId="46" fillId="19" borderId="0">
      <alignment vertical="center"/>
    </xf>
    <xf numFmtId="0" fontId="46" fillId="20" borderId="0">
      <alignment vertical="center"/>
    </xf>
    <xf numFmtId="0" fontId="45" fillId="21" borderId="0">
      <alignment vertical="center"/>
    </xf>
    <xf numFmtId="0" fontId="45" fillId="22" borderId="0">
      <alignment vertical="center"/>
    </xf>
    <xf numFmtId="0" fontId="46" fillId="23" borderId="0">
      <alignment vertical="center"/>
    </xf>
    <xf numFmtId="0" fontId="46" fillId="24" borderId="0">
      <alignment vertical="center"/>
    </xf>
    <xf numFmtId="0" fontId="45" fillId="25" borderId="0">
      <alignment vertical="center"/>
    </xf>
    <xf numFmtId="0" fontId="45" fillId="26" borderId="0">
      <alignment vertical="center"/>
    </xf>
    <xf numFmtId="0" fontId="46" fillId="27" borderId="0">
      <alignment vertical="center"/>
    </xf>
    <xf numFmtId="0" fontId="46" fillId="28" borderId="0">
      <alignment vertical="center"/>
    </xf>
    <xf numFmtId="0" fontId="45" fillId="29" borderId="0">
      <alignment vertical="center"/>
    </xf>
    <xf numFmtId="0" fontId="45" fillId="30" borderId="0">
      <alignment vertical="center"/>
    </xf>
    <xf numFmtId="0" fontId="46" fillId="3" borderId="0">
      <alignment vertical="center"/>
    </xf>
    <xf numFmtId="0" fontId="46" fillId="4" borderId="0">
      <alignment vertical="center"/>
    </xf>
    <xf numFmtId="0" fontId="45" fillId="2" borderId="0">
      <alignment vertical="center"/>
    </xf>
    <xf numFmtId="0" fontId="45" fillId="31" borderId="0">
      <alignment vertical="center"/>
    </xf>
    <xf numFmtId="0" fontId="46" fillId="32" borderId="0">
      <alignment vertical="center"/>
    </xf>
    <xf numFmtId="0" fontId="46" fillId="5" borderId="0">
      <alignment vertical="center"/>
    </xf>
    <xf numFmtId="0" fontId="45" fillId="33" borderId="0">
      <alignment vertical="center"/>
    </xf>
    <xf numFmtId="0" fontId="1" fillId="0" borderId="0"/>
    <xf numFmtId="0" fontId="0" fillId="0" borderId="0">
      <alignment vertical="center"/>
    </xf>
  </cellStyleXfs>
  <cellXfs count="15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5" xfId="0" applyFont="1" applyBorder="1"/>
    <xf numFmtId="176" fontId="1" fillId="0" borderId="6" xfId="0" applyNumberFormat="1" applyFont="1" applyBorder="1" applyAlignment="1">
      <alignment vertical="center" wrapText="1" readingOrder="1"/>
    </xf>
    <xf numFmtId="0" fontId="0" fillId="0" borderId="6" xfId="0" applyBorder="1"/>
    <xf numFmtId="2" fontId="0" fillId="0" borderId="5" xfId="0" applyNumberFormat="1" applyBorder="1"/>
    <xf numFmtId="176" fontId="2" fillId="0" borderId="6" xfId="0" applyNumberFormat="1" applyFont="1" applyBorder="1" applyAlignment="1">
      <alignment vertical="center" wrapText="1" readingOrder="1"/>
    </xf>
    <xf numFmtId="177" fontId="0" fillId="0" borderId="7" xfId="0" applyNumberFormat="1" applyBorder="1"/>
    <xf numFmtId="2" fontId="0" fillId="0" borderId="0" xfId="0" applyNumberFormat="1"/>
    <xf numFmtId="0" fontId="3" fillId="0" borderId="8" xfId="0" applyFont="1" applyBorder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78" fontId="4" fillId="0" borderId="0" xfId="0" applyNumberFormat="1" applyFont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/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40" fontId="4" fillId="3" borderId="24" xfId="0" applyNumberFormat="1" applyFont="1" applyFill="1" applyBorder="1" applyAlignment="1">
      <alignment vertical="center"/>
    </xf>
    <xf numFmtId="40" fontId="4" fillId="3" borderId="25" xfId="0" applyNumberFormat="1" applyFont="1" applyFill="1" applyBorder="1" applyAlignment="1">
      <alignment vertical="center"/>
    </xf>
    <xf numFmtId="40" fontId="4" fillId="3" borderId="26" xfId="0" applyNumberFormat="1" applyFont="1" applyFill="1" applyBorder="1" applyAlignment="1">
      <alignment vertical="center"/>
    </xf>
    <xf numFmtId="40" fontId="4" fillId="3" borderId="27" xfId="0" applyNumberFormat="1" applyFont="1" applyFill="1" applyBorder="1" applyAlignment="1">
      <alignment vertical="center"/>
    </xf>
    <xf numFmtId="40" fontId="4" fillId="3" borderId="28" xfId="0" applyNumberFormat="1" applyFont="1" applyFill="1" applyBorder="1" applyAlignment="1">
      <alignment vertical="center"/>
    </xf>
    <xf numFmtId="40" fontId="4" fillId="3" borderId="29" xfId="0" applyNumberFormat="1" applyFont="1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49" fontId="0" fillId="3" borderId="0" xfId="0" applyNumberForma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40" fontId="4" fillId="3" borderId="30" xfId="0" applyNumberFormat="1" applyFont="1" applyFill="1" applyBorder="1" applyAlignment="1">
      <alignment vertical="center"/>
    </xf>
    <xf numFmtId="40" fontId="4" fillId="3" borderId="31" xfId="0" applyNumberFormat="1" applyFont="1" applyFill="1" applyBorder="1" applyAlignment="1">
      <alignment vertical="center"/>
    </xf>
    <xf numFmtId="40" fontId="4" fillId="3" borderId="3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4" fontId="4" fillId="0" borderId="0" xfId="0" applyNumberFormat="1" applyFont="1" applyAlignment="1">
      <alignment vertical="center"/>
    </xf>
    <xf numFmtId="0" fontId="5" fillId="0" borderId="33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0" fillId="0" borderId="35" xfId="0" applyBorder="1"/>
    <xf numFmtId="40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vertical="center"/>
    </xf>
    <xf numFmtId="14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7" fillId="0" borderId="36" xfId="0" applyNumberFormat="1" applyFont="1" applyBorder="1" applyAlignment="1">
      <alignment vertical="center"/>
    </xf>
    <xf numFmtId="40" fontId="7" fillId="0" borderId="37" xfId="0" applyNumberFormat="1" applyFont="1" applyBorder="1" applyAlignment="1">
      <alignment vertical="center"/>
    </xf>
    <xf numFmtId="40" fontId="7" fillId="0" borderId="38" xfId="0" applyNumberFormat="1" applyFont="1" applyBorder="1" applyAlignment="1">
      <alignment vertical="center"/>
    </xf>
    <xf numFmtId="40" fontId="7" fillId="0" borderId="39" xfId="0" applyNumberFormat="1" applyFont="1" applyBorder="1" applyAlignment="1">
      <alignment vertical="center"/>
    </xf>
    <xf numFmtId="4" fontId="0" fillId="0" borderId="0" xfId="0" applyNumberFormat="1" applyAlignment="1">
      <alignment vertical="center"/>
    </xf>
    <xf numFmtId="40" fontId="7" fillId="0" borderId="40" xfId="0" applyNumberFormat="1" applyFont="1" applyBorder="1" applyAlignment="1">
      <alignment vertical="center"/>
    </xf>
    <xf numFmtId="40" fontId="7" fillId="0" borderId="4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horizontal="right" vertical="top" wrapText="1"/>
    </xf>
    <xf numFmtId="14" fontId="19" fillId="0" borderId="0" xfId="0" applyNumberFormat="1" applyFont="1" applyAlignment="1">
      <alignment vertical="center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14" fontId="21" fillId="0" borderId="0" xfId="0" applyNumberFormat="1" applyFont="1" applyAlignment="1">
      <alignment horizontal="left" vertical="center"/>
    </xf>
    <xf numFmtId="0" fontId="22" fillId="4" borderId="42" xfId="0" applyFont="1" applyFill="1" applyBorder="1" applyAlignment="1">
      <alignment horizontal="center" vertical="center"/>
    </xf>
    <xf numFmtId="0" fontId="0" fillId="0" borderId="43" xfId="0" applyBorder="1"/>
    <xf numFmtId="0" fontId="22" fillId="4" borderId="43" xfId="0" applyFont="1" applyFill="1" applyBorder="1" applyAlignment="1">
      <alignment horizontal="center" vertical="center"/>
    </xf>
    <xf numFmtId="0" fontId="22" fillId="4" borderId="44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3" fillId="0" borderId="45" xfId="0" applyFont="1" applyBorder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43" fontId="23" fillId="0" borderId="0" xfId="0" applyNumberFormat="1" applyFont="1" applyAlignment="1">
      <alignment horizontal="left" vertical="center"/>
    </xf>
    <xf numFmtId="179" fontId="24" fillId="0" borderId="46" xfId="0" applyNumberFormat="1" applyFont="1" applyBorder="1" applyAlignment="1">
      <alignment horizontal="left" vertical="center"/>
    </xf>
    <xf numFmtId="178" fontId="10" fillId="0" borderId="0" xfId="0" applyNumberFormat="1" applyFont="1" applyAlignment="1">
      <alignment horizontal="right" vertical="center"/>
    </xf>
    <xf numFmtId="0" fontId="4" fillId="0" borderId="45" xfId="0" applyFont="1" applyBorder="1" applyAlignment="1">
      <alignment horizontal="left" vertical="center" indent="3"/>
    </xf>
    <xf numFmtId="0" fontId="4" fillId="0" borderId="0" xfId="0" applyFont="1" applyAlignment="1">
      <alignment horizontal="left" vertical="center" indent="3"/>
    </xf>
    <xf numFmtId="43" fontId="4" fillId="0" borderId="0" xfId="0" applyNumberFormat="1" applyFont="1" applyAlignment="1">
      <alignment horizontal="left" vertical="center" indent="1"/>
    </xf>
    <xf numFmtId="179" fontId="4" fillId="0" borderId="46" xfId="0" applyNumberFormat="1" applyFont="1" applyBorder="1" applyAlignment="1">
      <alignment horizontal="left" vertical="center"/>
    </xf>
    <xf numFmtId="178" fontId="11" fillId="0" borderId="0" xfId="0" applyNumberFormat="1" applyFont="1" applyAlignment="1">
      <alignment horizontal="right" vertical="center"/>
    </xf>
    <xf numFmtId="178" fontId="1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0" fontId="4" fillId="0" borderId="45" xfId="0" applyFont="1" applyBorder="1" applyAlignment="1">
      <alignment horizontal="center" vertical="center"/>
    </xf>
    <xf numFmtId="43" fontId="4" fillId="0" borderId="0" xfId="0" applyNumberFormat="1" applyFont="1" applyAlignment="1">
      <alignment horizontal="left" vertical="center"/>
    </xf>
    <xf numFmtId="179" fontId="23" fillId="0" borderId="46" xfId="0" applyNumberFormat="1" applyFont="1" applyBorder="1" applyAlignment="1">
      <alignment horizontal="left" vertical="center"/>
    </xf>
    <xf numFmtId="178" fontId="12" fillId="0" borderId="0" xfId="0" applyNumberFormat="1" applyFont="1" applyAlignment="1">
      <alignment horizontal="right" vertical="center"/>
    </xf>
    <xf numFmtId="0" fontId="4" fillId="0" borderId="45" xfId="0" applyFont="1" applyBorder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6" fillId="0" borderId="45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43" fontId="13" fillId="0" borderId="0" xfId="0" applyNumberFormat="1" applyFont="1" applyAlignment="1">
      <alignment horizontal="left" vertical="center"/>
    </xf>
    <xf numFmtId="179" fontId="13" fillId="0" borderId="46" xfId="0" applyNumberFormat="1" applyFont="1" applyBorder="1" applyAlignment="1">
      <alignment horizontal="left" vertical="center"/>
    </xf>
    <xf numFmtId="0" fontId="25" fillId="0" borderId="47" xfId="0" applyFont="1" applyBorder="1" applyAlignment="1">
      <alignment horizontal="left" vertical="center" indent="1"/>
    </xf>
    <xf numFmtId="0" fontId="0" fillId="0" borderId="48" xfId="0" applyBorder="1"/>
    <xf numFmtId="43" fontId="25" fillId="0" borderId="48" xfId="0" applyNumberFormat="1" applyFont="1" applyBorder="1" applyAlignment="1">
      <alignment horizontal="left" vertical="center"/>
    </xf>
    <xf numFmtId="179" fontId="25" fillId="0" borderId="49" xfId="0" applyNumberFormat="1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3" fontId="25" fillId="0" borderId="0" xfId="0" applyNumberFormat="1" applyFont="1" applyAlignment="1">
      <alignment vertical="center"/>
    </xf>
    <xf numFmtId="179" fontId="25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 wrapText="1"/>
    </xf>
    <xf numFmtId="180" fontId="26" fillId="0" borderId="0" xfId="0" applyNumberFormat="1" applyFont="1" applyAlignment="1">
      <alignment horizontal="left" vertical="center" indent="1"/>
    </xf>
    <xf numFmtId="43" fontId="27" fillId="0" borderId="50" xfId="0" applyNumberFormat="1" applyFont="1" applyBorder="1" applyAlignment="1">
      <alignment horizontal="right" vertical="center"/>
    </xf>
    <xf numFmtId="0" fontId="0" fillId="0" borderId="51" xfId="0" applyBorder="1"/>
    <xf numFmtId="179" fontId="27" fillId="0" borderId="52" xfId="0" applyNumberFormat="1" applyFont="1" applyBorder="1" applyAlignment="1">
      <alignment horizontal="right" vertical="center"/>
    </xf>
    <xf numFmtId="0" fontId="26" fillId="0" borderId="0" xfId="0" applyFont="1" applyAlignment="1">
      <alignment vertical="center"/>
    </xf>
    <xf numFmtId="43" fontId="27" fillId="0" borderId="53" xfId="0" applyNumberFormat="1" applyFont="1" applyBorder="1" applyAlignment="1">
      <alignment horizontal="right" vertical="center"/>
    </xf>
    <xf numFmtId="179" fontId="27" fillId="0" borderId="54" xfId="0" applyNumberFormat="1" applyFont="1" applyBorder="1" applyAlignment="1">
      <alignment horizontal="right" vertical="center"/>
    </xf>
    <xf numFmtId="40" fontId="25" fillId="0" borderId="0" xfId="0" applyNumberFormat="1" applyFont="1" applyAlignment="1">
      <alignment vertical="center"/>
    </xf>
    <xf numFmtId="40" fontId="27" fillId="0" borderId="55" xfId="0" applyNumberFormat="1" applyFont="1" applyBorder="1" applyAlignment="1">
      <alignment horizontal="right" vertical="center"/>
    </xf>
    <xf numFmtId="0" fontId="0" fillId="0" borderId="56" xfId="0" applyBorder="1"/>
    <xf numFmtId="179" fontId="27" fillId="0" borderId="57" xfId="0" applyNumberFormat="1" applyFont="1" applyBorder="1" applyAlignment="1">
      <alignment horizontal="right" vertical="center"/>
    </xf>
    <xf numFmtId="43" fontId="6" fillId="0" borderId="53" xfId="0" applyNumberFormat="1" applyFont="1" applyBorder="1" applyAlignment="1">
      <alignment horizontal="right" vertical="center"/>
    </xf>
    <xf numFmtId="179" fontId="6" fillId="0" borderId="54" xfId="0" applyNumberFormat="1" applyFont="1" applyBorder="1" applyAlignment="1">
      <alignment horizontal="right" vertical="center"/>
    </xf>
    <xf numFmtId="43" fontId="6" fillId="0" borderId="53" xfId="0" applyNumberFormat="1" applyFont="1" applyBorder="1" applyAlignment="1">
      <alignment horizontal="right" vertical="center" indent="1"/>
    </xf>
    <xf numFmtId="0" fontId="6" fillId="0" borderId="0" xfId="0" applyFont="1" applyAlignment="1">
      <alignment vertical="center"/>
    </xf>
    <xf numFmtId="43" fontId="6" fillId="0" borderId="58" xfId="0" applyNumberFormat="1" applyFont="1" applyBorder="1" applyAlignment="1">
      <alignment horizontal="right" vertical="center"/>
    </xf>
    <xf numFmtId="0" fontId="0" fillId="0" borderId="59" xfId="0" applyBorder="1"/>
    <xf numFmtId="179" fontId="6" fillId="0" borderId="60" xfId="0" applyNumberFormat="1" applyFont="1" applyBorder="1" applyAlignment="1">
      <alignment horizontal="right" vertical="center"/>
    </xf>
    <xf numFmtId="179" fontId="13" fillId="0" borderId="0" xfId="0" applyNumberFormat="1" applyFont="1" applyAlignment="1">
      <alignment vertical="center"/>
    </xf>
    <xf numFmtId="0" fontId="6" fillId="5" borderId="0" xfId="0" applyFont="1" applyFill="1" applyAlignment="1">
      <alignment horizontal="center"/>
    </xf>
    <xf numFmtId="178" fontId="13" fillId="6" borderId="61" xfId="0" applyNumberFormat="1" applyFont="1" applyFill="1" applyBorder="1" applyAlignment="1">
      <alignment horizontal="left" vertical="center" wrapText="1" indent="2"/>
    </xf>
    <xf numFmtId="0" fontId="0" fillId="0" borderId="61" xfId="0" applyBorder="1"/>
    <xf numFmtId="178" fontId="13" fillId="6" borderId="62" xfId="0" applyNumberFormat="1" applyFont="1" applyFill="1" applyBorder="1" applyAlignment="1">
      <alignment horizontal="left" vertical="center" wrapText="1" indent="2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1095828</xdr:colOff>
      <xdr:row>2</xdr:row>
      <xdr:rowOff>109286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66315" cy="53149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zoomScale="150" zoomScaleNormal="150" workbookViewId="0">
      <selection activeCell="C7" sqref="C7"/>
    </sheetView>
  </sheetViews>
  <sheetFormatPr defaultColWidth="9.18333333333333" defaultRowHeight="11.25" outlineLevelCol="7"/>
  <cols>
    <col min="1" max="1" width="15.3666666666667" style="81" customWidth="1"/>
    <col min="2" max="2" width="23.45" style="81" customWidth="1"/>
    <col min="3" max="3" width="4.45" style="81" customWidth="1"/>
    <col min="4" max="4" width="15.1833333333333" style="81" customWidth="1"/>
    <col min="5" max="5" width="12.5416666666667" style="81" customWidth="1"/>
    <col min="6" max="6" width="14.3666666666667" style="82" customWidth="1"/>
    <col min="7" max="7" width="9.18333333333333" style="82" customWidth="1"/>
    <col min="8" max="16384" width="9.18333333333333" style="81" customWidth="1"/>
  </cols>
  <sheetData>
    <row r="1" ht="19" customHeight="1" spans="1:8">
      <c r="B1" s="83" t="s">
        <v>0</v>
      </c>
      <c r="G1" s="84"/>
      <c r="H1" s="82"/>
    </row>
    <row r="2" ht="14.25" customHeight="1" spans="1:8">
      <c r="B2" s="85" t="s">
        <v>1</v>
      </c>
      <c r="G2" s="84"/>
      <c r="H2" s="82"/>
    </row>
    <row r="3" s="21" customFormat="1" ht="18" customHeight="1" spans="1:8">
      <c r="B3" s="85" t="s">
        <v>2</v>
      </c>
      <c r="G3" s="84"/>
      <c r="H3" s="84"/>
    </row>
    <row r="4" s="21" customFormat="1" ht="14" customHeight="1" spans="1:8">
      <c r="G4" s="84"/>
      <c r="H4" s="84"/>
    </row>
    <row r="5" s="21" customFormat="1" ht="32" customHeight="1" spans="1:8">
      <c r="A5" s="86" t="s">
        <v>3</v>
      </c>
      <c r="G5" s="84"/>
      <c r="H5" s="84"/>
    </row>
    <row r="6" s="21" customFormat="1" ht="12" customHeight="1" spans="1:8">
      <c r="A6" s="87"/>
      <c r="B6" s="87"/>
      <c r="C6" s="87"/>
      <c r="D6" s="87"/>
      <c r="E6" s="87"/>
      <c r="F6" s="87"/>
      <c r="G6" s="84"/>
      <c r="H6" s="84"/>
    </row>
    <row r="7" s="21" customFormat="1" ht="13" customHeight="1" spans="1:8">
      <c r="A7" s="88" t="s">
        <v>4</v>
      </c>
      <c r="B7" s="88"/>
      <c r="C7" s="88"/>
      <c r="D7" s="88"/>
      <c r="E7" s="88"/>
      <c r="G7" s="84"/>
      <c r="H7" s="84"/>
    </row>
    <row r="8" s="76" customFormat="1" ht="13" customHeight="1" spans="1:8">
      <c r="A8" s="89" t="s">
        <v>5</v>
      </c>
      <c r="B8" s="90"/>
      <c r="C8" s="91"/>
      <c r="D8" s="89" t="s">
        <v>6</v>
      </c>
      <c r="E8" s="89"/>
      <c r="F8" s="90" t="s">
        <v>7</v>
      </c>
      <c r="G8" s="92"/>
    </row>
    <row r="9" s="76" customFormat="1" ht="13" customHeight="1" spans="1:8">
      <c r="A9" s="89" t="s">
        <v>8</v>
      </c>
      <c r="B9" s="90"/>
      <c r="C9" s="93"/>
      <c r="D9" s="89" t="s">
        <v>9</v>
      </c>
      <c r="E9" s="89"/>
      <c r="F9" s="90"/>
      <c r="G9" s="92"/>
    </row>
    <row r="10" s="21" customFormat="1" ht="13" customHeight="1" spans="1:8">
      <c r="A10" s="89" t="s">
        <v>10</v>
      </c>
      <c r="B10" s="94"/>
      <c r="C10" s="93"/>
      <c r="D10" s="89" t="s">
        <v>11</v>
      </c>
      <c r="E10" s="89"/>
      <c r="F10" s="95"/>
      <c r="G10" s="84"/>
    </row>
    <row r="11" s="76" customFormat="1" ht="12" customHeight="1" spans="1:8">
      <c r="A11" s="96"/>
      <c r="D11" s="89" t="s">
        <v>12</v>
      </c>
      <c r="E11" s="89"/>
      <c r="F11" s="95"/>
      <c r="G11" s="92"/>
    </row>
    <row r="12" s="21" customFormat="1" ht="12" customHeight="1" spans="1:8">
      <c r="A12" s="97"/>
      <c r="B12" s="97"/>
      <c r="C12" s="97"/>
      <c r="D12" s="97"/>
      <c r="E12" s="98"/>
      <c r="G12" s="84"/>
    </row>
    <row r="13" ht="12" customHeight="1"/>
    <row r="14" s="77" customFormat="1" ht="28" customHeight="1" spans="1:8">
      <c r="A14" s="99" t="s">
        <v>13</v>
      </c>
      <c r="B14" s="100"/>
      <c r="C14" s="100"/>
      <c r="D14" s="101"/>
      <c r="E14" s="101" t="str">
        <f>"Amount "&amp;'Hong Kong'!C6</f>
        <v>Amount (HKD)</v>
      </c>
      <c r="F14" s="102" t="s">
        <v>14</v>
      </c>
      <c r="G14" s="103"/>
    </row>
    <row r="15" s="78" customFormat="1" ht="16" customHeight="1" spans="1:8">
      <c r="A15" s="104" t="s">
        <v>15</v>
      </c>
      <c r="D15" s="105"/>
      <c r="E15" s="106">
        <f>SUM(E16:E18)</f>
        <v>0</v>
      </c>
      <c r="F15" s="107">
        <f>SUM(F16:F18)</f>
        <v>0</v>
      </c>
      <c r="G15" s="108"/>
    </row>
    <row r="16" s="79" customFormat="1" ht="12.75" customHeight="1" spans="1:8">
      <c r="A16" s="109" t="str">
        <f>"- Labor cost for "&amp;'Hong Kong'!B9&amp;"  -  "&amp;MONTH('Hong Kong'!B2)&amp;"-"&amp;YEAR('Hong Kong'!C2)</f>
        <v>- Labor cost for 0  -  3-2026</v>
      </c>
      <c r="D16" s="110"/>
      <c r="E16" s="111">
        <f>'Hong Kong'!I9+'Hong Kong'!R9-'Hong Kong'!P9</f>
        <v>0</v>
      </c>
      <c r="F16" s="112">
        <f>E16/$B$28</f>
        <v>0</v>
      </c>
      <c r="G16" s="113"/>
    </row>
    <row r="17" ht="12.75" customHeight="1" spans="1:7">
      <c r="A17" s="109" t="str">
        <f>"- "&amp;+"Expense claim for "&amp;'Hong Kong'!B9&amp;"  -  "&amp;MONTH('Hong Kong'!B2)&amp;"-"&amp;YEAR('Hong Kong'!C2)</f>
        <v>- Expense claim for 0  -  3-2026</v>
      </c>
      <c r="D17" s="110"/>
      <c r="E17" s="111">
        <f>'Hong Kong'!V9</f>
        <v>0</v>
      </c>
      <c r="F17" s="112">
        <f>E17/$B$28</f>
        <v>0</v>
      </c>
      <c r="G17" s="114"/>
    </row>
    <row r="18" ht="12.75" customHeight="1" spans="1:7">
      <c r="A18" s="109" t="str">
        <f>"- Office Rental"</f>
        <v>- Office Rental</v>
      </c>
      <c r="D18" s="115"/>
      <c r="E18" s="111">
        <f>'Hong Kong'!P6</f>
        <v>0</v>
      </c>
      <c r="F18" s="112">
        <f>E18/$B$28</f>
        <v>0</v>
      </c>
      <c r="G18" s="114"/>
    </row>
    <row r="19" ht="12.75" customHeight="1" spans="1:7">
      <c r="A19" s="116"/>
      <c r="D19" s="18"/>
      <c r="E19" s="117"/>
      <c r="F19" s="112"/>
      <c r="G19" s="114"/>
    </row>
    <row r="20" s="80" customFormat="1" ht="16" customHeight="1" spans="1:7">
      <c r="A20" s="104" t="s">
        <v>16</v>
      </c>
      <c r="D20" s="105"/>
      <c r="E20" s="106">
        <f>SUM(E21:E22)</f>
        <v>4545.64755036</v>
      </c>
      <c r="F20" s="118">
        <f>SUM(F21:F22)</f>
        <v>600</v>
      </c>
      <c r="G20" s="119"/>
    </row>
    <row r="21" ht="12.75" customHeight="1" spans="1:7">
      <c r="A21" s="120" t="str">
        <f>"- "&amp;+"Management Fee - "&amp;MONTH('Hong Kong'!B2)&amp;"-"&amp;YEAR('Hong Kong'!B2)</f>
        <v>- Management Fee - 3-2026</v>
      </c>
      <c r="D21" s="121"/>
      <c r="E21" s="117">
        <f>'Hong Kong'!G9</f>
        <v>4545.64755036</v>
      </c>
      <c r="F21" s="112">
        <f>E21/$B$28</f>
        <v>600</v>
      </c>
      <c r="G21" s="114"/>
    </row>
    <row r="22" ht="12.75" customHeight="1" spans="1:7">
      <c r="A22" s="120"/>
      <c r="D22" s="121"/>
      <c r="E22" s="117" t="s">
        <v>17</v>
      </c>
      <c r="F22" s="112"/>
      <c r="G22" s="114"/>
    </row>
    <row r="23" ht="12.75" customHeight="1" spans="1:7">
      <c r="A23" s="120"/>
      <c r="D23" s="121"/>
      <c r="E23" s="117"/>
      <c r="F23" s="112"/>
      <c r="G23" s="114"/>
    </row>
    <row r="24" ht="14.25" customHeight="1" spans="1:7">
      <c r="A24" s="122"/>
      <c r="D24" s="123"/>
      <c r="E24" s="124"/>
      <c r="F24" s="125"/>
      <c r="G24" s="114"/>
    </row>
    <row r="25" s="78" customFormat="1" ht="15" customHeight="1" spans="1:7">
      <c r="A25" s="126" t="s">
        <v>18</v>
      </c>
      <c r="B25" s="127"/>
      <c r="C25" s="127"/>
      <c r="D25" s="127"/>
      <c r="E25" s="128">
        <f>E15+E20</f>
        <v>4545.64755036</v>
      </c>
      <c r="F25" s="129">
        <f>F15+F20</f>
        <v>600</v>
      </c>
      <c r="G25" s="108"/>
    </row>
    <row r="26" s="78" customFormat="1" ht="14.25" customHeight="1" spans="1:7">
      <c r="A26" s="130"/>
      <c r="B26" s="130"/>
      <c r="C26" s="131"/>
      <c r="D26" s="131"/>
      <c r="E26" s="132"/>
      <c r="F26" s="133"/>
      <c r="G26" s="108"/>
    </row>
    <row r="27" s="78" customFormat="1" ht="15" customHeight="1" spans="1:7">
      <c r="A27" s="134"/>
      <c r="B27" s="134"/>
      <c r="C27" s="134"/>
      <c r="D27" s="134"/>
      <c r="E27" s="132"/>
      <c r="F27" s="133"/>
      <c r="G27" s="108"/>
    </row>
    <row r="28" ht="25.5" customHeight="1" spans="1:7">
      <c r="A28" s="135" t="str">
        <f>"*FX rate  USD:  "&amp;'Hong Kong'!C6</f>
        <v>*FX rate  USD:  (HKD)</v>
      </c>
      <c r="B28" s="136">
        <f>7.81039098*0.97</f>
        <v>7.5760792506</v>
      </c>
      <c r="C28" s="132"/>
      <c r="D28" s="137" t="s">
        <v>19</v>
      </c>
      <c r="E28" s="138"/>
      <c r="F28" s="139">
        <f>F25</f>
        <v>600</v>
      </c>
      <c r="G28" s="114"/>
    </row>
    <row r="29" s="79" customFormat="1" ht="16" customHeight="1" spans="1:7">
      <c r="A29" s="140"/>
      <c r="B29" s="140"/>
      <c r="C29" s="132"/>
      <c r="D29" s="141" t="s">
        <v>20</v>
      </c>
      <c r="F29" s="142">
        <f>'Hong Kong'!E22</f>
        <v>18.33</v>
      </c>
      <c r="G29" s="113"/>
    </row>
    <row r="30" s="79" customFormat="1" ht="14.25" customHeight="1" spans="1:7">
      <c r="A30" s="140"/>
      <c r="B30" s="140"/>
      <c r="C30" s="132"/>
      <c r="D30" s="141" t="s">
        <v>21</v>
      </c>
      <c r="F30" s="142">
        <f>'Hong Kong'!E23</f>
        <v>0</v>
      </c>
      <c r="G30" s="113"/>
    </row>
    <row r="31" ht="14.25" customHeight="1" spans="1:7">
      <c r="A31" s="140"/>
      <c r="B31" s="140"/>
      <c r="C31" s="132"/>
      <c r="D31" s="141" t="s">
        <v>22</v>
      </c>
      <c r="F31" s="142">
        <f>'Hong Kong'!E24</f>
        <v>0</v>
      </c>
      <c r="G31" s="114"/>
    </row>
    <row r="32" ht="15" customHeight="1" spans="1:7">
      <c r="A32" s="140"/>
      <c r="B32" s="140"/>
      <c r="C32" s="143"/>
      <c r="D32" s="144" t="s">
        <v>23</v>
      </c>
      <c r="E32" s="145"/>
      <c r="F32" s="146">
        <f>'Hong Kong'!E25</f>
        <v>10</v>
      </c>
      <c r="G32" s="114"/>
    </row>
    <row r="33" ht="14.25" customHeight="1" spans="1:8">
      <c r="A33" s="140"/>
      <c r="B33" s="140"/>
      <c r="C33" s="132"/>
      <c r="D33" s="147" t="s">
        <v>24</v>
      </c>
      <c r="F33" s="148">
        <f>SUM(F28:F32)</f>
        <v>628.33</v>
      </c>
      <c r="G33" s="114"/>
    </row>
    <row r="34" ht="14.25" customHeight="1" spans="1:8">
      <c r="A34" s="140"/>
      <c r="B34" s="140"/>
      <c r="C34" s="132"/>
      <c r="D34" s="149" t="s">
        <v>25</v>
      </c>
      <c r="F34" s="148">
        <f>'Hong Kong'!F6</f>
        <v>0</v>
      </c>
      <c r="G34" s="114"/>
    </row>
    <row r="35" ht="15" customHeight="1" spans="1:8">
      <c r="A35" s="150"/>
      <c r="B35" s="150"/>
      <c r="C35" s="132"/>
      <c r="D35" s="151" t="s">
        <v>26</v>
      </c>
      <c r="E35" s="152"/>
      <c r="F35" s="153">
        <f>SUM(F33:F34)</f>
        <v>628.33</v>
      </c>
      <c r="G35" s="114"/>
      <c r="H35" s="154"/>
    </row>
    <row r="36" ht="14.25" customHeight="1" spans="1:8">
      <c r="A36" s="123"/>
      <c r="B36" s="123"/>
      <c r="C36" s="123"/>
      <c r="D36" s="123"/>
      <c r="E36" s="143"/>
      <c r="F36" s="143"/>
      <c r="G36" s="114"/>
    </row>
    <row r="37" ht="14.25" customHeight="1" spans="1:8">
      <c r="A37" s="123"/>
      <c r="B37" s="123"/>
      <c r="C37" s="123"/>
      <c r="D37" s="123"/>
      <c r="E37" s="143"/>
      <c r="F37" s="143"/>
      <c r="G37" s="114"/>
    </row>
    <row r="38" spans="1:8">
      <c r="G38" s="114"/>
    </row>
    <row r="39" ht="19" customHeight="1" spans="1:8">
      <c r="A39" s="155" t="s">
        <v>27</v>
      </c>
    </row>
    <row r="40" ht="61" customHeight="1" spans="1:8">
      <c r="A40" s="156" t="s">
        <v>28</v>
      </c>
      <c r="C40" s="157"/>
      <c r="D40" s="158" t="s">
        <v>29</v>
      </c>
    </row>
    <row r="41" spans="1:8">
      <c r="A41" s="81" t="s">
        <v>30</v>
      </c>
    </row>
    <row r="42" ht="11" customHeight="1" spans="1:8">
      <c r="A42" s="78" t="s">
        <v>31</v>
      </c>
      <c r="B42" s="78"/>
      <c r="C42" s="78"/>
      <c r="D42" s="78"/>
      <c r="E42" s="78"/>
      <c r="F42" s="78"/>
    </row>
    <row r="43" spans="1:8">
      <c r="A43" s="78" t="s">
        <v>32</v>
      </c>
    </row>
    <row r="44" spans="1:8">
      <c r="A44" s="78" t="s">
        <v>33</v>
      </c>
    </row>
  </sheetData>
  <mergeCells count="28">
    <mergeCell ref="B1:F1"/>
    <mergeCell ref="B2:F2"/>
    <mergeCell ref="B3:F3"/>
    <mergeCell ref="A5:F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D25"/>
    <mergeCell ref="D28:E28"/>
    <mergeCell ref="D29:E29"/>
    <mergeCell ref="D30:E30"/>
    <mergeCell ref="D31:E31"/>
    <mergeCell ref="D32:E32"/>
    <mergeCell ref="D33:E33"/>
    <mergeCell ref="D34:E34"/>
    <mergeCell ref="D35:E35"/>
    <mergeCell ref="A39:F39"/>
    <mergeCell ref="A40:C40"/>
    <mergeCell ref="D40:F40"/>
    <mergeCell ref="B10:B1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zoomScale="92" zoomScaleNormal="92" workbookViewId="0">
      <selection activeCell="D24" sqref="D24"/>
    </sheetView>
  </sheetViews>
  <sheetFormatPr defaultColWidth="9.18333333333333" defaultRowHeight="12.75"/>
  <cols>
    <col min="1" max="1" width="8.81666666666667" style="20" customWidth="1"/>
    <col min="2" max="2" width="18" style="21" customWidth="1"/>
    <col min="3" max="3" width="11.8166666666667" style="21" customWidth="1"/>
    <col min="4" max="4" width="7.45" style="21" customWidth="1"/>
    <col min="5" max="5" width="9.81666666666667" style="21" customWidth="1"/>
    <col min="6" max="6" width="7.18333333333333" style="21" customWidth="1"/>
    <col min="7" max="10" width="8.81666666666667" style="21" customWidth="1"/>
    <col min="11" max="11" width="4.81666666666667" style="21" customWidth="1"/>
    <col min="12" max="12" width="5.36666666666667" style="21" customWidth="1"/>
    <col min="13" max="13" width="5.63333333333333" style="21" customWidth="1"/>
    <col min="14" max="14" width="7.18333333333333" style="21" customWidth="1"/>
    <col min="15" max="15" width="6.81666666666667" style="21" customWidth="1"/>
    <col min="16" max="16" width="8" style="21" customWidth="1"/>
    <col min="17" max="17" width="9" style="21" customWidth="1"/>
    <col min="18" max="18" width="8" style="21" customWidth="1"/>
    <col min="19" max="19" width="11" style="21" customWidth="1"/>
    <col min="20" max="20" width="8" style="21" customWidth="1"/>
    <col min="21" max="21" width="5.81666666666667" style="21" customWidth="1"/>
    <col min="22" max="23" width="8.81666666666667" style="21" customWidth="1"/>
    <col min="24" max="16384" width="9.18333333333333" style="21" customWidth="1"/>
  </cols>
  <sheetData>
    <row r="1" ht="13.5" customHeight="1" spans="1:24">
      <c r="A1" s="20" t="s">
        <v>34</v>
      </c>
    </row>
    <row r="2" ht="13.5" customHeight="1" spans="1:24">
      <c r="A2" s="24" t="s">
        <v>35</v>
      </c>
      <c r="B2" s="58" t="str">
        <f>'Hong Kong-L'!C2</f>
        <v>2026/3/1</v>
      </c>
      <c r="C2" s="58" t="str">
        <f>'Hong Kong-L'!E2</f>
        <v>2026/3/31</v>
      </c>
      <c r="E2" s="59" t="s">
        <v>36</v>
      </c>
    </row>
    <row r="3" s="18" customFormat="1" ht="14" customHeight="1" spans="1:24">
      <c r="A3" s="24"/>
      <c r="B3" s="22"/>
      <c r="E3" s="60" t="s">
        <v>37</v>
      </c>
      <c r="F3" s="61" t="s">
        <v>38</v>
      </c>
      <c r="G3" s="62" t="s">
        <v>39</v>
      </c>
      <c r="H3" s="32"/>
      <c r="I3" s="31" t="s">
        <v>40</v>
      </c>
      <c r="J3" s="32"/>
      <c r="K3" s="32"/>
      <c r="L3" s="32"/>
      <c r="M3" s="32"/>
      <c r="N3" s="32"/>
      <c r="O3" s="32"/>
      <c r="P3" s="32"/>
      <c r="Q3" s="33"/>
      <c r="R3" s="31" t="s">
        <v>41</v>
      </c>
      <c r="S3" s="32"/>
      <c r="T3" s="32"/>
      <c r="U3" s="33"/>
      <c r="V3" s="31" t="s">
        <v>42</v>
      </c>
      <c r="W3" s="33"/>
    </row>
    <row r="4" s="18" customFormat="1" ht="39" customHeight="1" spans="1:24">
      <c r="E4" s="34"/>
      <c r="F4" s="63"/>
      <c r="G4" s="36" t="s">
        <v>43</v>
      </c>
      <c r="H4" s="37" t="s">
        <v>44</v>
      </c>
      <c r="I4" s="36" t="s">
        <v>43</v>
      </c>
      <c r="J4" s="37" t="s">
        <v>45</v>
      </c>
      <c r="K4" s="37" t="s">
        <v>46</v>
      </c>
      <c r="L4" s="37" t="s">
        <v>47</v>
      </c>
      <c r="M4" s="37" t="s">
        <v>48</v>
      </c>
      <c r="N4" s="37" t="s">
        <v>49</v>
      </c>
      <c r="O4" s="37" t="s">
        <v>50</v>
      </c>
      <c r="P4" s="36" t="s">
        <v>51</v>
      </c>
      <c r="Q4" s="37" t="s">
        <v>52</v>
      </c>
      <c r="R4" s="36" t="s">
        <v>43</v>
      </c>
      <c r="S4" s="37" t="s">
        <v>53</v>
      </c>
      <c r="T4" s="37" t="s">
        <v>54</v>
      </c>
      <c r="U4" s="37" t="s">
        <v>55</v>
      </c>
      <c r="V4" s="36" t="s">
        <v>43</v>
      </c>
      <c r="W4" s="38" t="s">
        <v>56</v>
      </c>
    </row>
    <row r="5" s="18" customFormat="1" ht="13.5" customHeight="1" spans="1:24">
      <c r="A5" s="20"/>
      <c r="E5" s="40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</row>
    <row r="6" s="19" customFormat="1" spans="1:24">
      <c r="A6" s="53"/>
      <c r="B6" s="19" t="s">
        <v>37</v>
      </c>
      <c r="C6" s="19" t="s">
        <v>57</v>
      </c>
      <c r="E6" s="48">
        <f t="shared" ref="E6:W6" si="0">SUM(E9:E17)</f>
        <v>4545.64755036</v>
      </c>
      <c r="F6" s="49">
        <f t="shared" si="0"/>
        <v>0</v>
      </c>
      <c r="G6" s="49">
        <f t="shared" si="0"/>
        <v>4545.64755036</v>
      </c>
      <c r="H6" s="49">
        <f t="shared" si="0"/>
        <v>4545.64755036</v>
      </c>
      <c r="I6" s="49">
        <f t="shared" si="0"/>
        <v>0</v>
      </c>
      <c r="J6" s="49">
        <f t="shared" si="0"/>
        <v>0</v>
      </c>
      <c r="K6" s="49">
        <f t="shared" si="0"/>
        <v>0</v>
      </c>
      <c r="L6" s="49">
        <f t="shared" si="0"/>
        <v>0</v>
      </c>
      <c r="M6" s="49">
        <f t="shared" si="0"/>
        <v>0</v>
      </c>
      <c r="N6" s="49">
        <f t="shared" si="0"/>
        <v>0</v>
      </c>
      <c r="O6" s="49">
        <f t="shared" si="0"/>
        <v>0</v>
      </c>
      <c r="P6" s="49">
        <f t="shared" si="0"/>
        <v>0</v>
      </c>
      <c r="Q6" s="49">
        <f t="shared" si="0"/>
        <v>0</v>
      </c>
      <c r="R6" s="49">
        <f t="shared" si="0"/>
        <v>0</v>
      </c>
      <c r="S6" s="49">
        <f t="shared" si="0"/>
        <v>0</v>
      </c>
      <c r="T6" s="49">
        <f t="shared" si="0"/>
        <v>0</v>
      </c>
      <c r="U6" s="49">
        <f t="shared" si="0"/>
        <v>0</v>
      </c>
      <c r="V6" s="49">
        <f t="shared" si="0"/>
        <v>0</v>
      </c>
      <c r="W6" s="50">
        <f t="shared" si="0"/>
        <v>0</v>
      </c>
      <c r="X6" s="64"/>
    </row>
    <row r="7" s="19" customFormat="1" spans="1:24">
      <c r="A7" s="65"/>
      <c r="B7" s="66"/>
      <c r="C7" s="67"/>
      <c r="E7" s="48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50"/>
      <c r="X7" s="64"/>
    </row>
    <row r="8" s="19" customFormat="1" spans="1:24">
      <c r="A8" s="65"/>
      <c r="E8" s="48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50"/>
      <c r="X8" s="64"/>
    </row>
    <row r="9" s="19" customFormat="1" spans="1:24">
      <c r="A9" s="53"/>
      <c r="B9" s="19">
        <f>'Hong Kong-L'!B8</f>
        <v>0</v>
      </c>
      <c r="C9" s="19">
        <f>'Hong Kong EE'!D10</f>
        <v>0</v>
      </c>
      <c r="E9" s="48">
        <f>F9+G9+I9+R9+V9</f>
        <v>4545.64755036</v>
      </c>
      <c r="F9" s="49">
        <v>0</v>
      </c>
      <c r="G9" s="49">
        <f>SUM(H9:H9)</f>
        <v>4545.64755036</v>
      </c>
      <c r="H9" s="49">
        <f>MAX(600*PN!B28,(I9+R9+V9)*16%)</f>
        <v>4545.64755036</v>
      </c>
      <c r="I9" s="49">
        <f>SUM(J9:Q9)</f>
        <v>0</v>
      </c>
      <c r="J9" s="49">
        <f>'Hong Kong-L'!C8</f>
        <v>0</v>
      </c>
      <c r="K9" s="49">
        <f>'Hong Kong-L'!D8</f>
        <v>0</v>
      </c>
      <c r="L9" s="49">
        <f>'Hong Kong-L'!E8</f>
        <v>0</v>
      </c>
      <c r="M9" s="49">
        <f>'Hong Kong-L'!F8</f>
        <v>0</v>
      </c>
      <c r="N9" s="49">
        <f>'Hong Kong-L'!G8</f>
        <v>0</v>
      </c>
      <c r="O9" s="49">
        <f>'Hong Kong-L'!H8</f>
        <v>0</v>
      </c>
      <c r="P9" s="49">
        <f>'Hong Kong-L'!I8</f>
        <v>0</v>
      </c>
      <c r="Q9" s="49">
        <f>'Hong Kong-L'!P8</f>
        <v>0</v>
      </c>
      <c r="R9" s="49">
        <f>SUM(S9:U9)</f>
        <v>0</v>
      </c>
      <c r="S9" s="49">
        <f>'Hong Kong-L'!L8</f>
        <v>0</v>
      </c>
      <c r="T9" s="49">
        <f>'Hong Kong-L'!M8</f>
        <v>0</v>
      </c>
      <c r="U9" s="49">
        <f>'Hong Kong-L'!O8</f>
        <v>0</v>
      </c>
      <c r="V9" s="49">
        <f>SUM(W9:W9)</f>
        <v>0</v>
      </c>
      <c r="W9" s="50">
        <f>'Hong Kong-L'!J8</f>
        <v>0</v>
      </c>
      <c r="X9" s="64"/>
    </row>
    <row r="10" s="19" customFormat="1" spans="1:24">
      <c r="A10" s="53"/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64"/>
    </row>
    <row r="11" s="19" customFormat="1" spans="1:24">
      <c r="A11" s="53"/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50"/>
      <c r="X11" s="64"/>
    </row>
    <row r="12" s="19" customFormat="1" spans="1:24">
      <c r="A12" s="53"/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50"/>
      <c r="X12" s="64"/>
    </row>
    <row r="13" s="19" customFormat="1" spans="1:24">
      <c r="A13" s="53"/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50"/>
      <c r="X13" s="64"/>
    </row>
    <row r="14" s="19" customFormat="1" spans="1:24">
      <c r="A14" s="53"/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50"/>
      <c r="X14" s="64"/>
    </row>
    <row r="15" s="19" customFormat="1" spans="1:24">
      <c r="A15" s="53"/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50"/>
      <c r="X15" s="64"/>
    </row>
    <row r="16" s="19" customFormat="1" spans="1:24">
      <c r="A16" s="53"/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50"/>
      <c r="X16" s="64"/>
    </row>
    <row r="17" s="19" customFormat="1" ht="13.5" customHeight="1" spans="1:24">
      <c r="A17" s="53"/>
      <c r="E17" s="54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64"/>
    </row>
    <row r="20" s="57" customFormat="1" ht="15" customHeight="1" spans="1:24">
      <c r="A20" s="39"/>
    </row>
    <row r="21" s="57" customFormat="1" ht="14.25" customHeight="1" spans="1:24">
      <c r="A21" s="39" t="s">
        <v>58</v>
      </c>
      <c r="B21" s="68"/>
      <c r="C21" s="68"/>
      <c r="D21" s="68"/>
      <c r="E21" s="69">
        <f>SUM(E22:E26)</f>
        <v>28.33</v>
      </c>
      <c r="F21" s="70">
        <v>0</v>
      </c>
    </row>
    <row r="22" s="57" customFormat="1" ht="14.25" customHeight="1" spans="1:24">
      <c r="A22" s="39"/>
      <c r="B22" s="68" t="s">
        <v>20</v>
      </c>
      <c r="C22" s="68"/>
      <c r="D22" s="68"/>
      <c r="E22" s="71">
        <v>18.33</v>
      </c>
      <c r="F22" s="72"/>
      <c r="G22" s="73"/>
    </row>
    <row r="23" s="57" customFormat="1" ht="14.25" customHeight="1" spans="1:24">
      <c r="A23" s="39"/>
      <c r="B23" s="68" t="s">
        <v>21</v>
      </c>
      <c r="C23" s="68"/>
      <c r="D23" s="68"/>
      <c r="E23" s="71"/>
      <c r="F23" s="72">
        <v>0</v>
      </c>
    </row>
    <row r="24" s="57" customFormat="1" ht="14.25" customHeight="1" spans="1:24">
      <c r="A24" s="39"/>
      <c r="B24" s="68" t="s">
        <v>59</v>
      </c>
      <c r="C24" s="68"/>
      <c r="D24" s="68"/>
      <c r="E24" s="71"/>
      <c r="F24" s="72">
        <v>0</v>
      </c>
    </row>
    <row r="25" s="57" customFormat="1" ht="14.25" customHeight="1" spans="1:24">
      <c r="A25" s="39"/>
      <c r="B25" s="68" t="s">
        <v>60</v>
      </c>
      <c r="C25" s="68"/>
      <c r="D25" s="68"/>
      <c r="E25" s="71">
        <v>10</v>
      </c>
      <c r="F25" s="72"/>
    </row>
    <row r="26" s="57" customFormat="1" ht="15" customHeight="1" spans="1:24">
      <c r="A26" s="39"/>
      <c r="B26" s="68" t="s">
        <v>61</v>
      </c>
      <c r="C26" s="68"/>
      <c r="D26" s="68"/>
      <c r="E26" s="74">
        <v>0</v>
      </c>
      <c r="F26" s="75"/>
    </row>
  </sheetData>
  <mergeCells count="6">
    <mergeCell ref="G3:H3"/>
    <mergeCell ref="I3:Q3"/>
    <mergeCell ref="R3:U3"/>
    <mergeCell ref="V3:W3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E6" sqref="E6"/>
    </sheetView>
  </sheetViews>
  <sheetFormatPr defaultColWidth="9.18333333333333" defaultRowHeight="12.75"/>
  <cols>
    <col min="1" max="1" width="12.3666666666667" style="20" customWidth="1"/>
    <col min="2" max="2" width="9.81666666666667" style="21" customWidth="1"/>
    <col min="3" max="3" width="10.3666666666667" style="21" customWidth="1"/>
    <col min="4" max="4" width="12.6333333333333" style="21" customWidth="1"/>
    <col min="5" max="5" width="12" style="21" customWidth="1"/>
    <col min="6" max="6" width="8.45" style="21" customWidth="1"/>
    <col min="7" max="7" width="9.45" style="21" customWidth="1"/>
    <col min="8" max="8" width="12.725" style="21" customWidth="1"/>
    <col min="9" max="9" width="12.6333333333333" style="21" customWidth="1"/>
    <col min="10" max="10" width="8.81666666666667" style="21" customWidth="1"/>
    <col min="11" max="11" width="4.63333333333333" style="21" customWidth="1"/>
    <col min="12" max="12" width="8.36666666666667" style="21" customWidth="1"/>
    <col min="13" max="13" width="10.1833333333333" style="21" customWidth="1"/>
    <col min="14" max="14" width="7.18333333333333" style="21" customWidth="1"/>
    <col min="15" max="15" width="6.81666666666667" style="21" customWidth="1"/>
    <col min="16" max="16" width="7.45" style="21" customWidth="1"/>
    <col min="17" max="17" width="11.45" style="21" customWidth="1"/>
    <col min="18" max="19" width="8.36666666666667" style="21" customWidth="1"/>
    <col min="20" max="21" width="8" style="21" customWidth="1"/>
    <col min="22" max="16384" width="9.18333333333333" style="21" customWidth="1"/>
  </cols>
  <sheetData>
    <row r="1" ht="13.5" customHeight="1" spans="1:21">
      <c r="A1" s="20" t="s">
        <v>62</v>
      </c>
      <c r="C1" s="22"/>
      <c r="D1" s="22"/>
      <c r="E1" s="22"/>
      <c r="F1" s="22"/>
      <c r="H1" s="23"/>
    </row>
    <row r="2" ht="13.5" customHeight="1" spans="1:21">
      <c r="A2" s="24"/>
      <c r="B2" s="22"/>
      <c r="C2" s="22"/>
      <c r="D2" s="22"/>
      <c r="E2" s="22"/>
      <c r="F2" s="22"/>
      <c r="H2" s="25" t="s">
        <v>63</v>
      </c>
    </row>
    <row r="3" s="18" customFormat="1" ht="14" customHeight="1" spans="1:21">
      <c r="A3" s="26"/>
      <c r="B3" s="27" t="s">
        <v>64</v>
      </c>
      <c r="C3" s="27" t="s">
        <v>65</v>
      </c>
      <c r="D3" s="27" t="s">
        <v>66</v>
      </c>
      <c r="E3" s="27" t="s">
        <v>67</v>
      </c>
      <c r="F3" s="28" t="s">
        <v>35</v>
      </c>
      <c r="G3" s="29"/>
      <c r="H3" s="30" t="s">
        <v>68</v>
      </c>
      <c r="I3" s="31" t="s">
        <v>40</v>
      </c>
      <c r="J3" s="32"/>
      <c r="K3" s="32"/>
      <c r="L3" s="32"/>
      <c r="M3" s="32"/>
      <c r="N3" s="32"/>
      <c r="O3" s="32"/>
      <c r="P3" s="32"/>
      <c r="Q3" s="33"/>
      <c r="R3" s="31" t="s">
        <v>42</v>
      </c>
      <c r="S3" s="33"/>
      <c r="T3" s="31" t="s">
        <v>41</v>
      </c>
      <c r="U3" s="33"/>
    </row>
    <row r="4" s="18" customFormat="1" ht="26.25" customHeight="1" spans="1:21">
      <c r="A4" s="26"/>
      <c r="B4" s="34"/>
      <c r="C4" s="34"/>
      <c r="D4" s="34"/>
      <c r="E4" s="34"/>
      <c r="F4" s="35" t="s">
        <v>69</v>
      </c>
      <c r="G4" s="35" t="s">
        <v>70</v>
      </c>
      <c r="H4" s="34"/>
      <c r="I4" s="36" t="s">
        <v>43</v>
      </c>
      <c r="J4" s="37" t="s">
        <v>45</v>
      </c>
      <c r="K4" s="37" t="s">
        <v>46</v>
      </c>
      <c r="L4" s="37" t="s">
        <v>47</v>
      </c>
      <c r="M4" s="37" t="s">
        <v>48</v>
      </c>
      <c r="N4" s="37" t="s">
        <v>49</v>
      </c>
      <c r="O4" s="37" t="s">
        <v>50</v>
      </c>
      <c r="P4" s="36" t="s">
        <v>51</v>
      </c>
      <c r="Q4" s="36" t="s">
        <v>71</v>
      </c>
      <c r="R4" s="36" t="s">
        <v>43</v>
      </c>
      <c r="S4" s="37" t="s">
        <v>56</v>
      </c>
      <c r="T4" s="36" t="s">
        <v>43</v>
      </c>
      <c r="U4" s="38" t="s">
        <v>72</v>
      </c>
    </row>
    <row r="5" s="18" customFormat="1" ht="15" customHeight="1" spans="1:21">
      <c r="A5" s="39"/>
      <c r="B5" s="26"/>
      <c r="C5" s="26"/>
      <c r="D5" s="26"/>
      <c r="E5" s="26"/>
      <c r="F5" s="26"/>
      <c r="G5" s="26"/>
      <c r="H5" s="40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2"/>
    </row>
    <row r="6" s="19" customFormat="1" ht="14.25" customHeight="1" spans="1:21">
      <c r="A6" s="43" t="s">
        <v>73</v>
      </c>
      <c r="B6" s="44"/>
      <c r="C6" s="44"/>
      <c r="D6" s="44"/>
      <c r="E6" s="44"/>
      <c r="F6" s="44"/>
      <c r="G6" s="44"/>
      <c r="H6" s="45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/>
    </row>
    <row r="7" s="19" customFormat="1" ht="14.25" customHeight="1" spans="1:21">
      <c r="A7" s="43"/>
      <c r="B7" s="44"/>
      <c r="C7" s="44"/>
      <c r="D7" s="44"/>
      <c r="E7" s="44"/>
      <c r="F7" s="44"/>
      <c r="G7" s="44"/>
      <c r="H7" s="48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50"/>
    </row>
    <row r="8" s="19" customFormat="1" ht="14.25" customHeight="1" spans="1:21">
      <c r="A8" s="51"/>
      <c r="B8" s="52"/>
      <c r="C8" s="52"/>
      <c r="D8" s="52"/>
      <c r="E8" s="52"/>
      <c r="F8" s="52"/>
      <c r="G8" s="52"/>
      <c r="H8" s="48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50"/>
    </row>
    <row r="9" s="19" customFormat="1" ht="14.25" customHeight="1" spans="1:21">
      <c r="A9" s="51"/>
      <c r="B9" s="44"/>
      <c r="C9" s="44"/>
      <c r="D9" s="44"/>
      <c r="E9" s="44"/>
      <c r="F9" s="44"/>
      <c r="G9" s="44"/>
      <c r="H9" s="48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50"/>
    </row>
    <row r="10" s="19" customFormat="1" ht="14.25" customHeight="1" spans="1:21">
      <c r="A10" s="43"/>
      <c r="B10" s="44">
        <f>PN!B9</f>
        <v>0</v>
      </c>
      <c r="C10" s="44">
        <f>PN!B8</f>
        <v>0</v>
      </c>
      <c r="D10" s="44">
        <f>'Hong Kong-L'!A8</f>
        <v>0</v>
      </c>
      <c r="E10" s="44">
        <f>'Hong Kong-L'!B8</f>
        <v>0</v>
      </c>
      <c r="F10" s="52" t="str">
        <f>'Hong Kong-L'!C2</f>
        <v>2026/3/1</v>
      </c>
      <c r="G10" s="52" t="str">
        <f>'Hong Kong-L'!E2</f>
        <v>2026/3/31</v>
      </c>
      <c r="H10" s="48">
        <f>I10+R10+T10</f>
        <v>0</v>
      </c>
      <c r="I10" s="49">
        <f>SUM(J10:Q10)</f>
        <v>0</v>
      </c>
      <c r="J10" s="49">
        <f>'Hong Kong-L'!C8</f>
        <v>0</v>
      </c>
      <c r="K10" s="49">
        <f>'Hong Kong-L'!D8</f>
        <v>0</v>
      </c>
      <c r="L10" s="49">
        <f>'Hong Kong-L'!E8</f>
        <v>0</v>
      </c>
      <c r="M10" s="49">
        <f>'Hong Kong-L'!F8</f>
        <v>0</v>
      </c>
      <c r="N10" s="49">
        <f>'Hong Kong-L'!G8</f>
        <v>0</v>
      </c>
      <c r="O10" s="49">
        <f>'Hong Kong-L'!H8</f>
        <v>0</v>
      </c>
      <c r="P10" s="49">
        <f>'Hong Kong-L'!I8</f>
        <v>0</v>
      </c>
      <c r="Q10" s="49">
        <f>'Hong Kong-L'!P8</f>
        <v>0</v>
      </c>
      <c r="R10" s="49">
        <f>SUM(S10:S10)</f>
        <v>0</v>
      </c>
      <c r="S10" s="49">
        <f>'Hong Kong-L'!J8</f>
        <v>0</v>
      </c>
      <c r="T10" s="49">
        <f>SUM(U10:U10)</f>
        <v>0</v>
      </c>
      <c r="U10" s="50">
        <f>'Hong Kong-L'!N8</f>
        <v>0</v>
      </c>
    </row>
    <row r="11" s="19" customFormat="1" spans="1:21">
      <c r="A11" s="53"/>
      <c r="H11" s="48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50"/>
    </row>
    <row r="12" s="19" customFormat="1" spans="1:21">
      <c r="A12" s="53"/>
      <c r="H12" s="48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50"/>
    </row>
    <row r="13" s="19" customFormat="1" spans="1:21">
      <c r="A13" s="53"/>
      <c r="H13" s="48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50"/>
    </row>
    <row r="14" s="19" customFormat="1" spans="1:21">
      <c r="A14" s="53"/>
      <c r="H14" s="48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50"/>
    </row>
    <row r="15" s="19" customFormat="1" spans="1:21">
      <c r="A15" s="53"/>
      <c r="H15" s="48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50"/>
    </row>
    <row r="16" s="19" customFormat="1" spans="1:21">
      <c r="A16" s="53"/>
      <c r="H16" s="48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50"/>
    </row>
    <row r="17" s="19" customFormat="1" spans="1:21">
      <c r="A17" s="53"/>
      <c r="H17" s="48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50"/>
    </row>
    <row r="18" s="19" customFormat="1" spans="1:21">
      <c r="A18" s="53"/>
      <c r="H18" s="48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50"/>
    </row>
    <row r="19" s="19" customFormat="1" ht="13.5" customHeight="1" spans="1:21">
      <c r="A19" s="53"/>
      <c r="H19" s="54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6"/>
    </row>
  </sheetData>
  <mergeCells count="9">
    <mergeCell ref="F3:G3"/>
    <mergeCell ref="I3:Q3"/>
    <mergeCell ref="R3:S3"/>
    <mergeCell ref="T3:U3"/>
    <mergeCell ref="B3:B4"/>
    <mergeCell ref="C3:C4"/>
    <mergeCell ref="D3:D4"/>
    <mergeCell ref="E3:E4"/>
    <mergeCell ref="H3:H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zoomScale="115" zoomScaleNormal="115" workbookViewId="0">
      <selection activeCell="D22" sqref="D22"/>
    </sheetView>
  </sheetViews>
  <sheetFormatPr defaultColWidth="8.81666666666667" defaultRowHeight="14.25"/>
  <cols>
    <col min="1" max="1" width="6.63333333333333" customWidth="1"/>
    <col min="2" max="2" width="23.1833333333333" customWidth="1"/>
    <col min="3" max="3" width="11.1833333333333" customWidth="1"/>
    <col min="4" max="4" width="8" customWidth="1"/>
    <col min="5" max="5" width="10.6333333333333" customWidth="1"/>
    <col min="6" max="6" width="12" customWidth="1"/>
    <col min="7" max="8" width="15" customWidth="1"/>
    <col min="9" max="10" width="9" customWidth="1"/>
    <col min="11" max="11" width="12.5416666666667" customWidth="1"/>
    <col min="12" max="12" width="10.3666666666667" customWidth="1"/>
    <col min="13" max="13" width="9" customWidth="1"/>
    <col min="14" max="14" width="9.63333333333333" customWidth="1"/>
    <col min="16" max="16" width="12.8166666666667" customWidth="1"/>
    <col min="17" max="18" width="15" customWidth="1"/>
    <col min="19" max="19" width="13.1833333333333" customWidth="1"/>
    <col min="20" max="20" width="10.6333333333333" customWidth="1"/>
    <col min="22" max="22" width="9.45" customWidth="1"/>
    <col min="42" max="42" width="10.6333333333333" customWidth="1"/>
  </cols>
  <sheetData>
    <row r="1" spans="1:20">
      <c r="A1" s="2" t="s">
        <v>5</v>
      </c>
      <c r="C1" s="3">
        <f>PN!B8</f>
        <v>0</v>
      </c>
    </row>
    <row r="2" spans="1:20">
      <c r="A2" s="2" t="s">
        <v>74</v>
      </c>
      <c r="C2" s="4" t="s">
        <v>75</v>
      </c>
      <c r="D2" s="2" t="s">
        <v>76</v>
      </c>
      <c r="E2" s="4" t="s">
        <v>77</v>
      </c>
    </row>
    <row r="3" spans="1:20">
      <c r="A3" s="2" t="s">
        <v>78</v>
      </c>
      <c r="C3" s="5" t="s">
        <v>79</v>
      </c>
    </row>
    <row r="6" ht="15" customHeight="1"/>
    <row r="7" s="1" customFormat="1" ht="57.75" customHeight="1" spans="1:20">
      <c r="A7" s="6" t="s">
        <v>80</v>
      </c>
      <c r="B7" s="7" t="s">
        <v>81</v>
      </c>
      <c r="C7" s="7" t="s">
        <v>45</v>
      </c>
      <c r="D7" s="7" t="s">
        <v>46</v>
      </c>
      <c r="E7" s="7" t="s">
        <v>47</v>
      </c>
      <c r="F7" s="7" t="s">
        <v>48</v>
      </c>
      <c r="G7" s="7" t="s">
        <v>49</v>
      </c>
      <c r="H7" s="7" t="s">
        <v>50</v>
      </c>
      <c r="I7" s="7" t="s">
        <v>51</v>
      </c>
      <c r="J7" s="7" t="s">
        <v>82</v>
      </c>
      <c r="K7" s="7" t="s">
        <v>40</v>
      </c>
      <c r="L7" s="7" t="s">
        <v>53</v>
      </c>
      <c r="M7" s="7" t="s">
        <v>54</v>
      </c>
      <c r="N7" s="7" t="s">
        <v>72</v>
      </c>
      <c r="O7" s="7" t="s">
        <v>83</v>
      </c>
      <c r="P7" s="7" t="s">
        <v>71</v>
      </c>
      <c r="Q7" s="7" t="s">
        <v>84</v>
      </c>
      <c r="R7" s="8" t="s">
        <v>85</v>
      </c>
    </row>
    <row r="8" spans="1:20">
      <c r="A8" s="9"/>
      <c r="B8" s="10"/>
      <c r="C8" s="11"/>
      <c r="D8" s="12"/>
      <c r="E8" s="11"/>
      <c r="F8" s="13"/>
      <c r="G8" s="13"/>
      <c r="H8" s="13"/>
      <c r="I8" s="13"/>
      <c r="J8" s="12"/>
      <c r="K8" s="13"/>
      <c r="L8" s="13"/>
      <c r="M8" s="13"/>
      <c r="N8" s="13"/>
      <c r="O8" s="13"/>
      <c r="P8" s="14"/>
      <c r="Q8" s="11"/>
      <c r="R8" s="15"/>
      <c r="T8" s="16"/>
    </row>
    <row r="9" spans="1:20">
      <c r="A9" s="9"/>
      <c r="B9" s="10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20">
      <c r="A10" s="9"/>
      <c r="B10" s="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20">
      <c r="A11" s="9"/>
      <c r="B11" s="10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ht="15" customHeight="1" spans="1:20">
      <c r="A12" s="9"/>
      <c r="B12" s="17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ht="15" customHeight="1" spans="1:20">
      <c r="A13" s="9"/>
      <c r="B13" s="17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</sheetData>
  <mergeCells count="3">
    <mergeCell ref="A1:B1"/>
    <mergeCell ref="A2:B2"/>
    <mergeCell ref="A3:B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PN</vt:lpstr>
      <vt:lpstr>Hong Kong</vt:lpstr>
      <vt:lpstr>Hong Kong EE</vt:lpstr>
      <vt:lpstr>Hong Kong-L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给我，高高的飞起来啊！！</cp:lastModifiedBy>
  <dcterms:created xsi:type="dcterms:W3CDTF">2019-04-02T09:07:00Z</dcterms:created>
  <cp:lastPrinted>2025-03-05T21:09:00Z</cp:lastPrinted>
  <dcterms:modified xsi:type="dcterms:W3CDTF">2026-07-29T08:33:44Z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  <property fmtid="{D5CDD505-2E9C-101B-9397-08002B2CF9AE}" pid="5" name="ICV">
    <vt:lpwstr>610C834055764C5A8554B3C1FE6A1FC8_12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