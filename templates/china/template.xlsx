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Up-工资哥All项目\转换\templates\china\"/>
    </mc:Choice>
  </mc:AlternateContent>
  <bookViews>
    <workbookView windowWidth="27945" windowHeight="12255"/>
  </bookViews>
  <sheets>
    <sheet name="PN" sheetId="6" r:id="rId1"/>
    <sheet name="China" sheetId="2" r:id="rId2"/>
    <sheet name="China EE" sheetId="5" r:id="rId3"/>
    <sheet name="China-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Siyu Liu</author>
  </authors>
  <commentList>
    <comment ref="CK1" authorId="0">
      <text>
        <r>
          <rPr>
            <b/>
            <sz val="9"/>
            <color rgb="FF000000"/>
            <rFont val="Tahoma"/>
            <charset val="134"/>
          </rPr>
          <t>Siyu Liu:</t>
        </r>
        <r>
          <rPr>
            <sz val="9"/>
            <color rgb="FF000000"/>
            <rFont val="Tahoma"/>
            <charset val="134"/>
          </rPr>
          <t xml:space="preserve">
公司社保公积金调整</t>
        </r>
      </text>
    </comment>
  </commentList>
</comments>
</file>

<file path=xl/sharedStrings.xml><?xml version="1.0" encoding="utf-8"?>
<sst xmlns="http://schemas.openxmlformats.org/spreadsheetml/2006/main" count="255" uniqueCount="154">
  <si>
    <r>
      <rPr>
        <b/>
        <sz val="12"/>
        <color rgb="FF0066B3"/>
        <rFont val="等线"/>
        <charset val="134"/>
        <scheme val="minor"/>
      </rPr>
      <t>N</t>
    </r>
    <r>
      <rPr>
        <b/>
        <sz val="12"/>
        <color rgb="FF8DC63F"/>
        <rFont val="等线"/>
        <charset val="134"/>
        <scheme val="minor"/>
      </rPr>
      <t>N</t>
    </r>
    <r>
      <rPr>
        <b/>
        <sz val="12"/>
        <color rgb="FF0066B3"/>
        <rFont val="等线"/>
        <charset val="134"/>
        <scheme val="minor"/>
      </rPr>
      <t>Road</t>
    </r>
    <r>
      <rPr>
        <b/>
        <sz val="12"/>
        <color rgb="FF8DC63F"/>
        <rFont val="等线"/>
        <charset val="134"/>
        <scheme val="minor"/>
      </rPr>
      <t> – Employer of Record, Payroll Worldwide</t>
    </r>
  </si>
  <si>
    <t>333 W San Carlos St., Suite 600, San Jose, CA 95113, USA</t>
  </si>
  <si>
    <t>USA: +1 (669) 377-5080 | www.NNRoad.com</t>
  </si>
  <si>
    <t>INVOICE</t>
  </si>
  <si>
    <t>Bill to:</t>
  </si>
  <si>
    <t>Company name:</t>
  </si>
  <si>
    <t>Currency</t>
  </si>
  <si>
    <t>USD</t>
  </si>
  <si>
    <t>Client ID:</t>
  </si>
  <si>
    <t>Invoice number</t>
  </si>
  <si>
    <t>Address:</t>
  </si>
  <si>
    <t>Invoice date</t>
  </si>
  <si>
    <t>Due date</t>
  </si>
  <si>
    <t>Description</t>
  </si>
  <si>
    <t>Approx. In USD*</t>
  </si>
  <si>
    <t>EOR/PEO Cost</t>
  </si>
  <si>
    <t>Service Fee</t>
  </si>
  <si>
    <t>Recurring Deposit</t>
  </si>
  <si>
    <t xml:space="preserve">EOR/PEO Service Cost		</t>
  </si>
  <si>
    <t>EOR/PEO Service Cost</t>
  </si>
  <si>
    <t xml:space="preserve">Outstanding payment </t>
  </si>
  <si>
    <t xml:space="preserve">FX difference </t>
  </si>
  <si>
    <t xml:space="preserve">Interests of delay </t>
  </si>
  <si>
    <t xml:space="preserve">Bank Charges </t>
  </si>
  <si>
    <t xml:space="preserve">Sub Total (Excluding Tax)		</t>
  </si>
  <si>
    <t>Tax</t>
  </si>
  <si>
    <t xml:space="preserve">Total		</t>
  </si>
  <si>
    <t xml:space="preserve">Please pay the Invoice in FULL AMOUNT </t>
  </si>
  <si>
    <t>Beneficiary: NNROAD, INC.
Bank Name: Chase Bank
Bank Account: 132827913
Bank Add.: 690 River Oaks Parkway Ste A, San Jose, CA 95134, USA</t>
  </si>
  <si>
    <t xml:space="preserve">
SWIFT BIC (international transfer): CHASUS33XXX
Routing Number (domestic wire transfer): 021000021
Routing Number (domestic ACH and direct deposit): 322271627</t>
  </si>
  <si>
    <t>Notes:</t>
  </si>
  <si>
    <t>1. Please ensure that you include the Invoice Number when making your payment. This will help us accurately process and allocate your payment .</t>
  </si>
  <si>
    <t>2. This document becomes a Tax Invoice/Receipt upon payment. Please retain a copy for your records.</t>
  </si>
  <si>
    <t>3. This is a computer generated document.  No Signature required.</t>
  </si>
  <si>
    <t>China</t>
  </si>
  <si>
    <t>Pay Period</t>
  </si>
  <si>
    <t>ER</t>
  </si>
  <si>
    <t>Sum</t>
  </si>
  <si>
    <t>Business
Tax</t>
  </si>
  <si>
    <t>Management Fee</t>
  </si>
  <si>
    <t>Gross Salary</t>
  </si>
  <si>
    <t>Mandatory Contribution</t>
  </si>
  <si>
    <t>Other Payment For EE</t>
  </si>
  <si>
    <t>Expense Claim</t>
  </si>
  <si>
    <t>Refundable
Deposit</t>
  </si>
  <si>
    <t>Subtotal</t>
  </si>
  <si>
    <t>For
Recurring</t>
  </si>
  <si>
    <t>For
Expense</t>
  </si>
  <si>
    <t>Other</t>
  </si>
  <si>
    <t>基本工资</t>
  </si>
  <si>
    <t>浮动工资</t>
  </si>
  <si>
    <t>月奖</t>
  </si>
  <si>
    <t>季奖</t>
  </si>
  <si>
    <t>其他奖金</t>
  </si>
  <si>
    <t>加班工资150</t>
  </si>
  <si>
    <t>加班工资200</t>
  </si>
  <si>
    <t>加班工资300</t>
  </si>
  <si>
    <t>入离职缺勤扣</t>
  </si>
  <si>
    <t>扣事假</t>
  </si>
  <si>
    <t>扣旷工</t>
  </si>
  <si>
    <t>扣病假</t>
  </si>
  <si>
    <t>交通费</t>
  </si>
  <si>
    <t>通讯费</t>
  </si>
  <si>
    <t>其他津贴</t>
  </si>
  <si>
    <t>中班费</t>
  </si>
  <si>
    <t>夜班费</t>
  </si>
  <si>
    <t>高温费</t>
  </si>
  <si>
    <t>高温作业费</t>
  </si>
  <si>
    <t>有毒有害作业费</t>
  </si>
  <si>
    <t>补发</t>
  </si>
  <si>
    <t>补扣</t>
  </si>
  <si>
    <t>税前调整</t>
  </si>
  <si>
    <t>公司负税项</t>
  </si>
  <si>
    <t>独生子女费</t>
  </si>
  <si>
    <t>外籍生活津贴</t>
  </si>
  <si>
    <t>税后补</t>
  </si>
  <si>
    <t>税后扣</t>
  </si>
  <si>
    <t>13薪/年终奖</t>
  </si>
  <si>
    <t>离职补偿金/赔偿金</t>
  </si>
  <si>
    <t>股权激励</t>
  </si>
  <si>
    <t>公司养老</t>
  </si>
  <si>
    <t xml:space="preserve">公司医疗 </t>
  </si>
  <si>
    <t>公司失业</t>
  </si>
  <si>
    <t>生育</t>
  </si>
  <si>
    <t>工伤</t>
  </si>
  <si>
    <t>残保金</t>
  </si>
  <si>
    <t>公积金</t>
  </si>
  <si>
    <t>补充公积金（免税）</t>
  </si>
  <si>
    <t>工会费</t>
  </si>
  <si>
    <t>雇主责任险</t>
  </si>
  <si>
    <t>公司社保公积金调整</t>
  </si>
  <si>
    <t>计税不发</t>
  </si>
  <si>
    <t>当月个税（公司）</t>
  </si>
  <si>
    <t>报销款</t>
  </si>
  <si>
    <t>报销款25%</t>
  </si>
  <si>
    <t>(RMB)</t>
  </si>
  <si>
    <t>Other Fee</t>
  </si>
  <si>
    <t>Interests of delay</t>
  </si>
  <si>
    <t>Bank Charges</t>
  </si>
  <si>
    <t xml:space="preserve">Invoice adjustment </t>
  </si>
  <si>
    <t>China EE</t>
  </si>
  <si>
    <t>EE</t>
  </si>
  <si>
    <t>Client Code</t>
  </si>
  <si>
    <t>Client Name</t>
  </si>
  <si>
    <t>EE Code</t>
  </si>
  <si>
    <t>EE Name</t>
  </si>
  <si>
    <t>Net
Income</t>
  </si>
  <si>
    <t>Salary</t>
  </si>
  <si>
    <t>EE Mandatory Contribution</t>
  </si>
  <si>
    <t>Deduction</t>
  </si>
  <si>
    <t>IIT</t>
  </si>
  <si>
    <t>From</t>
  </si>
  <si>
    <t>To</t>
  </si>
  <si>
    <t>缴养老</t>
  </si>
  <si>
    <t>缴医疗</t>
  </si>
  <si>
    <t>缴失业</t>
  </si>
  <si>
    <t>缴公积金</t>
  </si>
  <si>
    <t>缴补充公积金（免税）</t>
  </si>
  <si>
    <t>社保调整</t>
  </si>
  <si>
    <t>公积金调整</t>
  </si>
  <si>
    <t>年金</t>
  </si>
  <si>
    <t>EOR/PEO(CNY)</t>
  </si>
  <si>
    <t>=China!C9</t>
  </si>
  <si>
    <t>工号</t>
  </si>
  <si>
    <t>姓名</t>
  </si>
  <si>
    <t>当月税前收入额</t>
  </si>
  <si>
    <t>当月基本扣除</t>
  </si>
  <si>
    <t>累计税前收入-员工</t>
  </si>
  <si>
    <t>累计个人社保公积金</t>
  </si>
  <si>
    <t>累计基本扣除</t>
  </si>
  <si>
    <t>累计子女教育</t>
  </si>
  <si>
    <t>累计继续教育</t>
  </si>
  <si>
    <t>累计住房贷款利息</t>
  </si>
  <si>
    <t>累计住房租金</t>
  </si>
  <si>
    <t>累计赡养老人</t>
  </si>
  <si>
    <t>累计其他税前扣除</t>
  </si>
  <si>
    <t>累计免税扣除合计(不含社保公积金）</t>
  </si>
  <si>
    <t>累计应税总额</t>
  </si>
  <si>
    <t>累计个税（个人）</t>
  </si>
  <si>
    <t>当月个税（个人）</t>
  </si>
  <si>
    <t>当月公司负税合计</t>
  </si>
  <si>
    <t>累计税后计税收入</t>
  </si>
  <si>
    <t>累计税前收入</t>
  </si>
  <si>
    <t>导算当月应发工资</t>
  </si>
  <si>
    <t>累计个税（公司+个人）</t>
  </si>
  <si>
    <t>缴补充公积金（不免税）</t>
  </si>
  <si>
    <t>13薪/年终奖税</t>
  </si>
  <si>
    <t>离职补偿金税/赔偿金税</t>
  </si>
  <si>
    <t>股权激励税</t>
  </si>
  <si>
    <t>应发</t>
  </si>
  <si>
    <t>应扣</t>
  </si>
  <si>
    <t>实发</t>
  </si>
  <si>
    <t>累计已扣工资税</t>
  </si>
  <si>
    <t>累计婴幼儿照护费用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</si>
</sst>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_(* #,##0.00_);_(* \(#,##0.00\);_(* &quot;-&quot;??_);_(@_)"/>
    <numFmt numFmtId="178" formatCode="#,##0.00_ "/>
    <numFmt numFmtId="179" formatCode="#,##0.0_ "/>
    <numFmt numFmtId="180" formatCode="[$-409]dd/mmm/yy;@"/>
    <numFmt numFmtId="181" formatCode="yyyy\-mm\-dd"/>
    <numFmt numFmtId="182" formatCode="_(&quot;$&quot;* #,##0.00_);_(&quot;$&quot;* \(#,##0.00\);_(&quot;$&quot;* &quot;-&quot;??_);_(@_)"/>
    <numFmt numFmtId="183" formatCode="0.0000"/>
  </numFmts>
  <fonts count="52">
    <font>
      <sz val="11"/>
      <color theme="1"/>
      <name val="等线"/>
      <charset val="134"/>
      <scheme val="minor"/>
    </font>
    <font>
      <sz val="10"/>
      <color theme="1"/>
      <name val="Arial Unicode MS"/>
      <charset val="134"/>
    </font>
    <font>
      <sz val="10"/>
      <color rgb="FFFF0000"/>
      <name val="Arial Unicode MS"/>
      <charset val="134"/>
    </font>
    <font>
      <sz val="10"/>
      <color theme="1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8"/>
      <color theme="0" tint="-0.499984740745262"/>
      <name val="等线"/>
      <charset val="134"/>
      <scheme val="minor"/>
    </font>
    <font>
      <b/>
      <sz val="11"/>
      <name val="等线"/>
      <charset val="134"/>
      <scheme val="minor"/>
    </font>
    <font>
      <i/>
      <sz val="8"/>
      <color theme="1"/>
      <name val="等线"/>
      <charset val="134"/>
      <scheme val="minor"/>
    </font>
    <font>
      <b/>
      <sz val="8"/>
      <color theme="1"/>
      <name val="等线"/>
      <charset val="134"/>
      <scheme val="minor"/>
    </font>
    <font>
      <b/>
      <i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b/>
      <sz val="12"/>
      <color rgb="FF0066B3"/>
      <name val="等线"/>
      <charset val="134"/>
      <scheme val="minor"/>
    </font>
    <font>
      <sz val="10.5"/>
      <name val="等线"/>
      <charset val="134"/>
      <scheme val="minor"/>
    </font>
    <font>
      <b/>
      <sz val="24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9"/>
      <color theme="0" tint="-0.499984740745262"/>
      <name val="等线"/>
      <charset val="134"/>
      <scheme val="minor"/>
    </font>
    <font>
      <sz val="9"/>
      <color rgb="FF000000"/>
      <name val="等线"/>
      <charset val="134"/>
      <scheme val="minor"/>
    </font>
    <font>
      <sz val="9"/>
      <color theme="1"/>
      <name val="等线"/>
      <charset val="134"/>
      <scheme val="minor"/>
    </font>
    <font>
      <sz val="10.5"/>
      <color theme="1"/>
      <name val="等线"/>
      <charset val="134"/>
      <scheme val="minor"/>
    </font>
    <font>
      <b/>
      <sz val="12"/>
      <name val="等线"/>
      <charset val="134"/>
      <scheme val="minor"/>
    </font>
    <font>
      <b/>
      <i/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i/>
      <sz val="11"/>
      <color theme="1"/>
      <name val="等线"/>
      <charset val="134"/>
      <scheme val="minor"/>
    </font>
    <font>
      <i/>
      <sz val="10"/>
      <color theme="1"/>
      <name val="等线"/>
      <charset val="134"/>
      <scheme val="minor"/>
    </font>
    <font>
      <b/>
      <i/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0"/>
      <name val="Comic Sans MS"/>
      <charset val="134"/>
    </font>
    <font>
      <b/>
      <sz val="12"/>
      <color rgb="FF8DC63F"/>
      <name val="等线"/>
      <charset val="134"/>
      <scheme val="minor"/>
    </font>
    <font>
      <b/>
      <sz val="9"/>
      <color rgb="FF000000"/>
      <name val="Tahoma"/>
      <charset val="134"/>
    </font>
    <font>
      <sz val="9"/>
      <color rgb="FF000000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9"/>
      </left>
      <right/>
      <top style="medium">
        <color theme="8" tint="0.599963377788629"/>
      </top>
      <bottom/>
      <diagonal/>
    </border>
    <border>
      <left/>
      <right/>
      <top style="medium">
        <color theme="8" tint="0.599963377788629"/>
      </top>
      <bottom/>
      <diagonal/>
    </border>
    <border>
      <left/>
      <right style="medium">
        <color theme="8" tint="0.599963377788629"/>
      </right>
      <top style="medium">
        <color theme="8" tint="0.599963377788629"/>
      </top>
      <bottom/>
      <diagonal/>
    </border>
    <border>
      <left style="medium">
        <color theme="8" tint="0.599963377788629"/>
      </left>
      <right/>
      <top/>
      <bottom/>
      <diagonal/>
    </border>
    <border>
      <left/>
      <right style="medium">
        <color theme="8" tint="0.599963377788629"/>
      </right>
      <top/>
      <bottom/>
      <diagonal/>
    </border>
    <border>
      <left style="medium">
        <color theme="8" tint="0.599963377788629"/>
      </left>
      <right/>
      <top style="hair">
        <color theme="8" tint="0.599963377788629"/>
      </top>
      <bottom style="medium">
        <color theme="8" tint="0.599963377788629"/>
      </bottom>
      <diagonal/>
    </border>
    <border>
      <left/>
      <right/>
      <top style="hair">
        <color theme="8" tint="0.599963377788629"/>
      </top>
      <bottom style="medium">
        <color theme="8" tint="0.599963377788629"/>
      </bottom>
      <diagonal/>
    </border>
    <border>
      <left/>
      <right style="medium">
        <color theme="8" tint="0.599963377788629"/>
      </right>
      <top style="hair">
        <color theme="8" tint="0.599963377788629"/>
      </top>
      <bottom style="medium">
        <color theme="8" tint="0.599963377788629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11" borderId="5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53" applyNumberFormat="0" applyFill="0" applyAlignment="0" applyProtection="0">
      <alignment vertical="center"/>
    </xf>
    <xf numFmtId="0" fontId="34" fillId="0" borderId="53" applyNumberFormat="0" applyFill="0" applyAlignment="0" applyProtection="0">
      <alignment vertical="center"/>
    </xf>
    <xf numFmtId="0" fontId="35" fillId="0" borderId="5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2" borderId="55" applyNumberFormat="0" applyAlignment="0" applyProtection="0">
      <alignment vertical="center"/>
    </xf>
    <xf numFmtId="0" fontId="37" fillId="13" borderId="56" applyNumberFormat="0" applyAlignment="0" applyProtection="0">
      <alignment vertical="center"/>
    </xf>
    <xf numFmtId="0" fontId="38" fillId="13" borderId="55" applyNumberFormat="0" applyAlignment="0" applyProtection="0">
      <alignment vertical="center"/>
    </xf>
    <xf numFmtId="0" fontId="39" fillId="14" borderId="57" applyNumberFormat="0" applyAlignment="0" applyProtection="0">
      <alignment vertical="center"/>
    </xf>
    <xf numFmtId="0" fontId="40" fillId="0" borderId="58" applyNumberFormat="0" applyFill="0" applyAlignment="0" applyProtection="0">
      <alignment vertical="center"/>
    </xf>
    <xf numFmtId="0" fontId="41" fillId="0" borderId="59" applyNumberFormat="0" applyFill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5" fillId="6" borderId="0" applyNumberFormat="0" applyBorder="0" applyAlignment="0" applyProtection="0">
      <alignment vertical="center"/>
    </xf>
    <xf numFmtId="0" fontId="0" fillId="0" borderId="0"/>
    <xf numFmtId="176" fontId="47" fillId="0" borderId="0"/>
    <xf numFmtId="177" fontId="48" fillId="0" borderId="0" applyFont="0" applyFill="0" applyBorder="0" applyAlignment="0" applyProtection="0"/>
    <xf numFmtId="0" fontId="48" fillId="0" borderId="0"/>
  </cellStyleXfs>
  <cellXfs count="175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0" fillId="0" borderId="0" xfId="0" applyAlignment="1"/>
    <xf numFmtId="49" fontId="2" fillId="0" borderId="0" xfId="0" applyNumberFormat="1" applyFont="1" applyAlignment="1">
      <alignment horizontal="left" vertical="center" wrapText="1"/>
    </xf>
    <xf numFmtId="178" fontId="2" fillId="0" borderId="0" xfId="0" applyNumberFormat="1" applyFont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178" fontId="2" fillId="3" borderId="0" xfId="0" applyNumberFormat="1" applyFont="1" applyFill="1" applyAlignment="1">
      <alignment horizontal="center" vertical="center" wrapText="1"/>
    </xf>
    <xf numFmtId="178" fontId="2" fillId="4" borderId="0" xfId="0" applyNumberFormat="1" applyFont="1" applyFill="1" applyAlignment="1">
      <alignment horizontal="center" vertical="center" wrapText="1"/>
    </xf>
    <xf numFmtId="178" fontId="2" fillId="5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left" vertical="center"/>
    </xf>
    <xf numFmtId="180" fontId="1" fillId="0" borderId="0" xfId="0" applyNumberFormat="1" applyFont="1" applyAlignment="1">
      <alignment horizontal="left" vertical="center"/>
    </xf>
    <xf numFmtId="178" fontId="1" fillId="0" borderId="0" xfId="0" applyNumberFormat="1" applyFont="1" applyAlignment="1">
      <alignment horizontal="right" vertical="center"/>
    </xf>
    <xf numFmtId="178" fontId="1" fillId="0" borderId="0" xfId="0" applyNumberFormat="1" applyFont="1" applyAlignment="1">
      <alignment horizontal="center" vertical="center"/>
    </xf>
    <xf numFmtId="178" fontId="1" fillId="6" borderId="0" xfId="0" applyNumberFormat="1" applyFont="1" applyFill="1" applyAlignment="1">
      <alignment horizontal="right" vertical="center"/>
    </xf>
    <xf numFmtId="178" fontId="1" fillId="6" borderId="0" xfId="0" applyNumberFormat="1" applyFont="1" applyFill="1" applyAlignment="1">
      <alignment horizontal="center" vertical="center"/>
    </xf>
    <xf numFmtId="178" fontId="1" fillId="5" borderId="0" xfId="0" applyNumberFormat="1" applyFont="1" applyFill="1" applyAlignment="1">
      <alignment horizontal="right" vertical="center"/>
    </xf>
    <xf numFmtId="178" fontId="1" fillId="5" borderId="0" xfId="0" applyNumberFormat="1" applyFont="1" applyFill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180" fontId="1" fillId="0" borderId="0" xfId="0" applyNumberFormat="1" applyFont="1" applyAlignment="1">
      <alignment horizontal="right" vertical="center"/>
    </xf>
    <xf numFmtId="4" fontId="0" fillId="0" borderId="0" xfId="0" applyNumberFormat="1" applyAlignment="1"/>
    <xf numFmtId="181" fontId="0" fillId="0" borderId="0" xfId="0" applyNumberFormat="1" applyAlignment="1"/>
    <xf numFmtId="0" fontId="1" fillId="0" borderId="0" xfId="5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178" fontId="3" fillId="0" borderId="0" xfId="0" applyNumberFormat="1" applyFont="1">
      <alignment vertical="center"/>
    </xf>
    <xf numFmtId="0" fontId="4" fillId="0" borderId="1" xfId="0" applyFont="1" applyBorder="1">
      <alignment vertical="center"/>
    </xf>
    <xf numFmtId="0" fontId="0" fillId="0" borderId="2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4" fillId="7" borderId="0" xfId="0" applyFont="1" applyFill="1" applyAlignment="1">
      <alignment horizontal="left" vertical="center"/>
    </xf>
    <xf numFmtId="40" fontId="3" fillId="7" borderId="15" xfId="0" applyNumberFormat="1" applyFont="1" applyFill="1" applyBorder="1">
      <alignment vertical="center"/>
    </xf>
    <xf numFmtId="40" fontId="3" fillId="7" borderId="16" xfId="0" applyNumberFormat="1" applyFont="1" applyFill="1" applyBorder="1">
      <alignment vertical="center"/>
    </xf>
    <xf numFmtId="40" fontId="3" fillId="7" borderId="17" xfId="0" applyNumberFormat="1" applyFont="1" applyFill="1" applyBorder="1">
      <alignment vertical="center"/>
    </xf>
    <xf numFmtId="40" fontId="3" fillId="7" borderId="18" xfId="0" applyNumberFormat="1" applyFont="1" applyFill="1" applyBorder="1">
      <alignment vertical="center"/>
    </xf>
    <xf numFmtId="40" fontId="3" fillId="7" borderId="19" xfId="0" applyNumberFormat="1" applyFont="1" applyFill="1" applyBorder="1">
      <alignment vertical="center"/>
    </xf>
    <xf numFmtId="40" fontId="3" fillId="7" borderId="20" xfId="0" applyNumberFormat="1" applyFont="1" applyFill="1" applyBorder="1">
      <alignment vertical="center"/>
    </xf>
    <xf numFmtId="0" fontId="3" fillId="7" borderId="0" xfId="0" applyFont="1" applyFill="1" applyAlignment="1">
      <alignment horizontal="left" vertical="center"/>
    </xf>
    <xf numFmtId="49" fontId="3" fillId="7" borderId="0" xfId="0" applyNumberFormat="1" applyFont="1" applyFill="1">
      <alignment vertical="center"/>
    </xf>
    <xf numFmtId="14" fontId="3" fillId="7" borderId="0" xfId="0" applyNumberFormat="1" applyFont="1" applyFill="1">
      <alignment vertical="center"/>
    </xf>
    <xf numFmtId="40" fontId="3" fillId="7" borderId="21" xfId="0" applyNumberFormat="1" applyFont="1" applyFill="1" applyBorder="1">
      <alignment vertical="center"/>
    </xf>
    <xf numFmtId="40" fontId="3" fillId="7" borderId="22" xfId="0" applyNumberFormat="1" applyFont="1" applyFill="1" applyBorder="1">
      <alignment vertical="center"/>
    </xf>
    <xf numFmtId="40" fontId="3" fillId="7" borderId="23" xfId="0" applyNumberFormat="1" applyFont="1" applyFill="1" applyBorder="1">
      <alignment vertical="center"/>
    </xf>
    <xf numFmtId="14" fontId="3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40" fontId="3" fillId="3" borderId="19" xfId="0" applyNumberFormat="1" applyFont="1" applyFill="1" applyBorder="1">
      <alignment vertical="center"/>
    </xf>
    <xf numFmtId="40" fontId="3" fillId="0" borderId="0" xfId="0" applyNumberFormat="1" applyFo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40" fontId="7" fillId="0" borderId="25" xfId="0" applyNumberFormat="1" applyFont="1" applyBorder="1">
      <alignment vertical="center"/>
    </xf>
    <xf numFmtId="40" fontId="7" fillId="0" borderId="26" xfId="0" applyNumberFormat="1" applyFont="1" applyBorder="1">
      <alignment vertical="center"/>
    </xf>
    <xf numFmtId="4" fontId="0" fillId="0" borderId="0" xfId="0" applyNumberFormat="1">
      <alignment vertical="center"/>
    </xf>
    <xf numFmtId="40" fontId="7" fillId="0" borderId="27" xfId="0" applyNumberFormat="1" applyFont="1" applyBorder="1">
      <alignment vertical="center"/>
    </xf>
    <xf numFmtId="40" fontId="7" fillId="0" borderId="28" xfId="0" applyNumberFormat="1" applyFont="1" applyBorder="1">
      <alignment vertical="center"/>
    </xf>
    <xf numFmtId="40" fontId="7" fillId="0" borderId="29" xfId="0" applyNumberFormat="1" applyFont="1" applyBorder="1">
      <alignment vertical="center"/>
    </xf>
    <xf numFmtId="40" fontId="7" fillId="0" borderId="30" xfId="0" applyNumberFormat="1" applyFont="1" applyBorder="1">
      <alignment vertical="center"/>
    </xf>
    <xf numFmtId="0" fontId="3" fillId="0" borderId="0" xfId="49" applyFont="1" applyAlignment="1">
      <alignment vertical="center"/>
    </xf>
    <xf numFmtId="0" fontId="8" fillId="0" borderId="0" xfId="49" applyFont="1" applyAlignment="1">
      <alignment vertical="center"/>
    </xf>
    <xf numFmtId="0" fontId="9" fillId="0" borderId="0" xfId="49" applyFont="1" applyAlignment="1">
      <alignment vertical="center"/>
    </xf>
    <xf numFmtId="0" fontId="10" fillId="0" borderId="0" xfId="49" applyFont="1" applyAlignment="1">
      <alignment vertical="center"/>
    </xf>
    <xf numFmtId="0" fontId="11" fillId="0" borderId="0" xfId="49" applyFont="1" applyAlignment="1">
      <alignment vertical="center"/>
    </xf>
    <xf numFmtId="0" fontId="12" fillId="0" borderId="0" xfId="49" applyFont="1" applyAlignment="1">
      <alignment vertical="center"/>
    </xf>
    <xf numFmtId="0" fontId="13" fillId="0" borderId="0" xfId="49" applyFont="1" applyAlignment="1">
      <alignment vertical="center"/>
    </xf>
    <xf numFmtId="0" fontId="13" fillId="0" borderId="0" xfId="49" applyFont="1" applyAlignment="1">
      <alignment horizontal="right" vertical="center"/>
    </xf>
    <xf numFmtId="0" fontId="14" fillId="0" borderId="0" xfId="49" applyFont="1" applyAlignment="1">
      <alignment horizontal="right" vertical="center"/>
    </xf>
    <xf numFmtId="0" fontId="3" fillId="0" borderId="0" xfId="49" applyFont="1" applyAlignment="1">
      <alignment horizontal="right" vertical="center"/>
    </xf>
    <xf numFmtId="0" fontId="15" fillId="0" borderId="0" xfId="49" applyFont="1" applyAlignment="1">
      <alignment horizontal="right" vertical="center"/>
    </xf>
    <xf numFmtId="0" fontId="16" fillId="0" borderId="0" xfId="49" applyFont="1" applyAlignment="1">
      <alignment horizontal="center" vertical="center"/>
    </xf>
    <xf numFmtId="0" fontId="17" fillId="0" borderId="0" xfId="49" applyFont="1" applyAlignment="1">
      <alignment horizontal="center" vertical="center"/>
    </xf>
    <xf numFmtId="0" fontId="4" fillId="0" borderId="0" xfId="49" applyFont="1" applyAlignment="1">
      <alignment vertical="center"/>
    </xf>
    <xf numFmtId="0" fontId="18" fillId="0" borderId="0" xfId="49" applyFont="1" applyAlignment="1">
      <alignment vertical="center"/>
    </xf>
    <xf numFmtId="0" fontId="19" fillId="0" borderId="0" xfId="49" applyFont="1" applyAlignment="1">
      <alignment horizontal="right" vertical="center"/>
    </xf>
    <xf numFmtId="0" fontId="19" fillId="0" borderId="0" xfId="49" applyFont="1" applyAlignment="1">
      <alignment vertical="center"/>
    </xf>
    <xf numFmtId="0" fontId="8" fillId="0" borderId="0" xfId="49" applyFont="1" applyAlignment="1">
      <alignment horizontal="right" vertical="center"/>
    </xf>
    <xf numFmtId="0" fontId="19" fillId="0" borderId="0" xfId="49" applyFont="1" applyAlignment="1">
      <alignment vertical="top" wrapText="1"/>
    </xf>
    <xf numFmtId="0" fontId="19" fillId="0" borderId="0" xfId="49" applyFont="1" applyAlignment="1">
      <alignment horizontal="right" vertical="top" wrapText="1"/>
    </xf>
    <xf numFmtId="14" fontId="19" fillId="0" borderId="0" xfId="49" applyNumberFormat="1" applyFont="1" applyAlignment="1">
      <alignment vertical="center"/>
    </xf>
    <xf numFmtId="0" fontId="20" fillId="0" borderId="0" xfId="49" applyFont="1" applyAlignment="1">
      <alignment horizontal="right" vertical="center"/>
    </xf>
    <xf numFmtId="0" fontId="21" fillId="0" borderId="0" xfId="49" applyFont="1" applyAlignment="1">
      <alignment vertical="center"/>
    </xf>
    <xf numFmtId="14" fontId="21" fillId="0" borderId="0" xfId="49" applyNumberFormat="1" applyFont="1" applyAlignment="1">
      <alignment horizontal="left" vertical="center"/>
    </xf>
    <xf numFmtId="0" fontId="22" fillId="8" borderId="31" xfId="49" applyFont="1" applyFill="1" applyBorder="1" applyAlignment="1">
      <alignment horizontal="center" vertical="center"/>
    </xf>
    <xf numFmtId="0" fontId="22" fillId="8" borderId="32" xfId="49" applyFont="1" applyFill="1" applyBorder="1" applyAlignment="1">
      <alignment horizontal="center" vertical="center"/>
    </xf>
    <xf numFmtId="0" fontId="22" fillId="8" borderId="33" xfId="49" applyFont="1" applyFill="1" applyBorder="1" applyAlignment="1">
      <alignment horizontal="center" vertical="center"/>
    </xf>
    <xf numFmtId="0" fontId="9" fillId="0" borderId="0" xfId="49" applyFont="1" applyAlignment="1">
      <alignment horizontal="right" vertical="center"/>
    </xf>
    <xf numFmtId="0" fontId="23" fillId="0" borderId="34" xfId="49" applyFont="1" applyBorder="1" applyAlignment="1">
      <alignment horizontal="left" vertical="center" indent="1"/>
    </xf>
    <xf numFmtId="0" fontId="23" fillId="0" borderId="0" xfId="49" applyFont="1" applyAlignment="1">
      <alignment horizontal="left" vertical="center" indent="1"/>
    </xf>
    <xf numFmtId="177" fontId="23" fillId="0" borderId="0" xfId="49" applyNumberFormat="1" applyFont="1" applyAlignment="1">
      <alignment horizontal="left" vertical="center"/>
    </xf>
    <xf numFmtId="182" fontId="24" fillId="0" borderId="35" xfId="49" applyNumberFormat="1" applyFont="1" applyBorder="1" applyAlignment="1">
      <alignment horizontal="left" vertical="center"/>
    </xf>
    <xf numFmtId="178" fontId="10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3"/>
    </xf>
    <xf numFmtId="0" fontId="3" fillId="0" borderId="0" xfId="49" applyFont="1" applyAlignment="1">
      <alignment horizontal="left" vertical="center" indent="3"/>
    </xf>
    <xf numFmtId="177" fontId="3" fillId="0" borderId="0" xfId="49" applyNumberFormat="1" applyFont="1" applyAlignment="1">
      <alignment horizontal="left" vertical="center" indent="1"/>
    </xf>
    <xf numFmtId="182" fontId="3" fillId="0" borderId="35" xfId="49" applyNumberFormat="1" applyFont="1" applyBorder="1" applyAlignment="1">
      <alignment horizontal="left" vertical="center"/>
    </xf>
    <xf numFmtId="178" fontId="11" fillId="0" borderId="0" xfId="49" applyNumberFormat="1" applyFont="1" applyAlignment="1">
      <alignment horizontal="right" vertical="center"/>
    </xf>
    <xf numFmtId="178" fontId="13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1"/>
    </xf>
    <xf numFmtId="0" fontId="3" fillId="0" borderId="0" xfId="49" applyFont="1" applyAlignment="1">
      <alignment horizontal="left" vertical="center" indent="1"/>
    </xf>
    <xf numFmtId="0" fontId="3" fillId="0" borderId="34" xfId="49" applyFont="1" applyBorder="1" applyAlignment="1">
      <alignment horizontal="center" vertical="center"/>
    </xf>
    <xf numFmtId="0" fontId="3" fillId="0" borderId="0" xfId="49" applyFont="1" applyAlignment="1">
      <alignment horizontal="center" vertical="center"/>
    </xf>
    <xf numFmtId="177" fontId="3" fillId="0" borderId="0" xfId="49" applyNumberFormat="1" applyFont="1" applyAlignment="1">
      <alignment horizontal="left" vertical="center"/>
    </xf>
    <xf numFmtId="182" fontId="23" fillId="0" borderId="35" xfId="49" applyNumberFormat="1" applyFont="1" applyBorder="1" applyAlignment="1">
      <alignment horizontal="left" vertical="center"/>
    </xf>
    <xf numFmtId="178" fontId="12" fillId="0" borderId="0" xfId="49" applyNumberFormat="1" applyFont="1" applyAlignment="1">
      <alignment horizontal="right" vertical="center"/>
    </xf>
    <xf numFmtId="0" fontId="3" fillId="0" borderId="34" xfId="49" applyFont="1" applyBorder="1" applyAlignment="1">
      <alignment horizontal="left" vertical="center" indent="2"/>
    </xf>
    <xf numFmtId="0" fontId="3" fillId="0" borderId="0" xfId="49" applyFont="1" applyAlignment="1">
      <alignment horizontal="left" vertical="center" indent="2"/>
    </xf>
    <xf numFmtId="0" fontId="5" fillId="0" borderId="34" xfId="49" applyFont="1" applyBorder="1" applyAlignment="1">
      <alignment horizontal="left" vertical="center" indent="1"/>
    </xf>
    <xf numFmtId="0" fontId="5" fillId="0" borderId="0" xfId="49" applyFont="1" applyAlignment="1">
      <alignment horizontal="left" vertical="center" indent="1"/>
    </xf>
    <xf numFmtId="177" fontId="13" fillId="0" borderId="0" xfId="49" applyNumberFormat="1" applyFont="1" applyAlignment="1">
      <alignment horizontal="left" vertical="center"/>
    </xf>
    <xf numFmtId="182" fontId="13" fillId="0" borderId="35" xfId="49" applyNumberFormat="1" applyFont="1" applyBorder="1" applyAlignment="1">
      <alignment horizontal="left" vertical="center"/>
    </xf>
    <xf numFmtId="0" fontId="25" fillId="0" borderId="36" xfId="49" applyFont="1" applyBorder="1" applyAlignment="1">
      <alignment horizontal="left" vertical="center" indent="1"/>
    </xf>
    <xf numFmtId="0" fontId="25" fillId="0" borderId="37" xfId="49" applyFont="1" applyBorder="1" applyAlignment="1">
      <alignment horizontal="left" vertical="center" indent="1"/>
    </xf>
    <xf numFmtId="177" fontId="25" fillId="0" borderId="37" xfId="49" applyNumberFormat="1" applyFont="1" applyBorder="1" applyAlignment="1">
      <alignment horizontal="left" vertical="center"/>
    </xf>
    <xf numFmtId="182" fontId="25" fillId="0" borderId="38" xfId="49" applyNumberFormat="1" applyFont="1" applyBorder="1" applyAlignment="1">
      <alignment horizontal="left" vertical="center"/>
    </xf>
    <xf numFmtId="0" fontId="25" fillId="0" borderId="0" xfId="49" applyFont="1" applyAlignment="1">
      <alignment vertical="center"/>
    </xf>
    <xf numFmtId="0" fontId="25" fillId="0" borderId="0" xfId="49" applyFont="1" applyAlignment="1">
      <alignment horizontal="center" vertical="center"/>
    </xf>
    <xf numFmtId="177" fontId="25" fillId="0" borderId="0" xfId="49" applyNumberFormat="1" applyFont="1" applyAlignment="1">
      <alignment vertical="center"/>
    </xf>
    <xf numFmtId="182" fontId="25" fillId="0" borderId="0" xfId="49" applyNumberFormat="1" applyFont="1" applyAlignment="1">
      <alignment horizontal="right" vertical="center"/>
    </xf>
    <xf numFmtId="0" fontId="25" fillId="0" borderId="0" xfId="49" applyFont="1" applyAlignment="1">
      <alignment horizontal="right" vertical="center"/>
    </xf>
    <xf numFmtId="0" fontId="26" fillId="0" borderId="0" xfId="49" applyFont="1" applyAlignment="1">
      <alignment vertical="center" wrapText="1"/>
    </xf>
    <xf numFmtId="183" fontId="26" fillId="0" borderId="0" xfId="49" applyNumberFormat="1" applyFont="1" applyAlignment="1">
      <alignment horizontal="left" vertical="center" indent="1"/>
    </xf>
    <xf numFmtId="177" fontId="27" fillId="0" borderId="39" xfId="49" applyNumberFormat="1" applyFont="1" applyBorder="1" applyAlignment="1">
      <alignment horizontal="right" vertical="center"/>
    </xf>
    <xf numFmtId="177" fontId="27" fillId="0" borderId="40" xfId="49" applyNumberFormat="1" applyFont="1" applyBorder="1" applyAlignment="1">
      <alignment horizontal="right" vertical="center"/>
    </xf>
    <xf numFmtId="182" fontId="27" fillId="0" borderId="41" xfId="49" applyNumberFormat="1" applyFont="1" applyBorder="1" applyAlignment="1">
      <alignment horizontal="right" vertical="center"/>
    </xf>
    <xf numFmtId="0" fontId="26" fillId="0" borderId="0" xfId="49" applyFont="1" applyAlignment="1">
      <alignment vertical="center"/>
    </xf>
    <xf numFmtId="177" fontId="27" fillId="0" borderId="42" xfId="49" applyNumberFormat="1" applyFont="1" applyBorder="1" applyAlignment="1">
      <alignment horizontal="right" vertical="center"/>
    </xf>
    <xf numFmtId="177" fontId="27" fillId="0" borderId="0" xfId="49" applyNumberFormat="1" applyFont="1" applyAlignment="1">
      <alignment horizontal="right" vertical="center"/>
    </xf>
    <xf numFmtId="182" fontId="27" fillId="0" borderId="43" xfId="49" applyNumberFormat="1" applyFont="1" applyBorder="1" applyAlignment="1">
      <alignment horizontal="right" vertical="center"/>
    </xf>
    <xf numFmtId="40" fontId="25" fillId="0" borderId="0" xfId="49" applyNumberFormat="1" applyFont="1" applyAlignment="1">
      <alignment vertical="center"/>
    </xf>
    <xf numFmtId="40" fontId="27" fillId="0" borderId="44" xfId="49" applyNumberFormat="1" applyFont="1" applyBorder="1" applyAlignment="1">
      <alignment horizontal="right" vertical="center"/>
    </xf>
    <xf numFmtId="40" fontId="27" fillId="0" borderId="45" xfId="49" applyNumberFormat="1" applyFont="1" applyBorder="1" applyAlignment="1">
      <alignment horizontal="right" vertical="center"/>
    </xf>
    <xf numFmtId="182" fontId="27" fillId="0" borderId="46" xfId="49" applyNumberFormat="1" applyFont="1" applyBorder="1" applyAlignment="1">
      <alignment horizontal="right" vertical="center"/>
    </xf>
    <xf numFmtId="177" fontId="5" fillId="0" borderId="42" xfId="49" applyNumberFormat="1" applyFont="1" applyBorder="1" applyAlignment="1">
      <alignment horizontal="right" vertical="center"/>
    </xf>
    <xf numFmtId="177" fontId="5" fillId="0" borderId="0" xfId="49" applyNumberFormat="1" applyFont="1" applyAlignment="1">
      <alignment horizontal="right" vertical="center"/>
    </xf>
    <xf numFmtId="182" fontId="5" fillId="0" borderId="43" xfId="49" applyNumberFormat="1" applyFont="1" applyBorder="1" applyAlignment="1">
      <alignment horizontal="right" vertical="center"/>
    </xf>
    <xf numFmtId="177" fontId="5" fillId="0" borderId="42" xfId="49" applyNumberFormat="1" applyFont="1" applyBorder="1" applyAlignment="1">
      <alignment horizontal="right" vertical="center" indent="1"/>
    </xf>
    <xf numFmtId="177" fontId="5" fillId="0" borderId="0" xfId="49" applyNumberFormat="1" applyFont="1" applyAlignment="1">
      <alignment horizontal="right" vertical="center" indent="1"/>
    </xf>
    <xf numFmtId="0" fontId="5" fillId="0" borderId="0" xfId="49" applyFont="1" applyAlignment="1">
      <alignment vertical="center"/>
    </xf>
    <xf numFmtId="177" fontId="5" fillId="0" borderId="47" xfId="49" applyNumberFormat="1" applyFont="1" applyBorder="1" applyAlignment="1">
      <alignment horizontal="right" vertical="center"/>
    </xf>
    <xf numFmtId="177" fontId="5" fillId="0" borderId="48" xfId="49" applyNumberFormat="1" applyFont="1" applyBorder="1" applyAlignment="1">
      <alignment horizontal="right" vertical="center"/>
    </xf>
    <xf numFmtId="182" fontId="5" fillId="0" borderId="49" xfId="49" applyNumberFormat="1" applyFont="1" applyBorder="1" applyAlignment="1">
      <alignment horizontal="right" vertical="center"/>
    </xf>
    <xf numFmtId="182" fontId="13" fillId="0" borderId="0" xfId="49" applyNumberFormat="1" applyFont="1" applyAlignment="1">
      <alignment vertical="center"/>
    </xf>
    <xf numFmtId="0" fontId="5" fillId="9" borderId="0" xfId="49" applyFont="1" applyFill="1" applyAlignment="1">
      <alignment horizontal="center"/>
    </xf>
    <xf numFmtId="178" fontId="13" fillId="10" borderId="0" xfId="49" applyNumberFormat="1" applyFont="1" applyFill="1" applyAlignment="1">
      <alignment horizontal="left" vertical="center" wrapText="1" indent="2"/>
    </xf>
    <xf numFmtId="178" fontId="13" fillId="10" borderId="50" xfId="49" applyNumberFormat="1" applyFont="1" applyFill="1" applyBorder="1" applyAlignment="1">
      <alignment horizontal="left" vertical="center" wrapText="1" indent="2"/>
    </xf>
    <xf numFmtId="178" fontId="13" fillId="10" borderId="51" xfId="49" applyNumberFormat="1" applyFont="1" applyFill="1" applyBorder="1" applyAlignment="1">
      <alignment horizontal="left" vertical="center" wrapText="1" indent="2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常规 2" xfId="50"/>
    <cellStyle name="千分位 2" xfId="51"/>
    <cellStyle name="一般_Sheet1 2" xfId="52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1095828</xdr:colOff>
      <xdr:row>2</xdr:row>
      <xdr:rowOff>109286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266315" cy="531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tabSelected="1" zoomScale="110" zoomScaleNormal="110" topLeftCell="A4" workbookViewId="0">
      <selection activeCell="C27" sqref="C27"/>
    </sheetView>
  </sheetViews>
  <sheetFormatPr defaultColWidth="9.09166666666667" defaultRowHeight="11.25" outlineLevelCol="7"/>
  <cols>
    <col min="1" max="1" width="15.3666666666667" style="93" customWidth="1"/>
    <col min="2" max="2" width="23.45" style="93" customWidth="1"/>
    <col min="3" max="3" width="5.45" style="93" customWidth="1"/>
    <col min="4" max="4" width="14" style="93" customWidth="1"/>
    <col min="5" max="5" width="14.0916666666667" style="93" customWidth="1"/>
    <col min="6" max="6" width="14.3666666666667" style="94" customWidth="1"/>
    <col min="7" max="7" width="9.09166666666667" style="94"/>
    <col min="8" max="8" width="9.09166666666667" style="93"/>
    <col min="9" max="9" width="9.09166666666667" style="93" customWidth="1"/>
    <col min="10" max="16384" width="9.09166666666667" style="93"/>
  </cols>
  <sheetData>
    <row r="1" ht="19" customHeight="1" spans="1:8">
      <c r="B1" s="95" t="s">
        <v>0</v>
      </c>
      <c r="C1" s="95"/>
      <c r="D1" s="95"/>
      <c r="E1" s="95"/>
      <c r="F1" s="95"/>
      <c r="G1" s="96"/>
      <c r="H1" s="94"/>
    </row>
    <row r="2" ht="14.25" customHeight="1" spans="1:8">
      <c r="B2" s="97" t="s">
        <v>1</v>
      </c>
      <c r="C2" s="97"/>
      <c r="D2" s="97"/>
      <c r="E2" s="97"/>
      <c r="F2" s="97"/>
      <c r="G2" s="96"/>
      <c r="H2" s="94"/>
    </row>
    <row r="3" s="87" customFormat="1" ht="18" customHeight="1" spans="1:8">
      <c r="B3" s="97" t="s">
        <v>2</v>
      </c>
      <c r="C3" s="97"/>
      <c r="D3" s="97"/>
      <c r="E3" s="97"/>
      <c r="F3" s="97"/>
      <c r="G3" s="96"/>
      <c r="H3" s="96"/>
    </row>
    <row r="4" s="87" customFormat="1" ht="14.15" customHeight="1" spans="1:8">
      <c r="G4" s="96"/>
      <c r="H4" s="96"/>
    </row>
    <row r="5" s="87" customFormat="1" ht="32.15" customHeight="1" spans="1:8">
      <c r="A5" s="98" t="s">
        <v>3</v>
      </c>
      <c r="B5" s="98"/>
      <c r="C5" s="98"/>
      <c r="D5" s="98"/>
      <c r="E5" s="98"/>
      <c r="F5" s="98"/>
      <c r="G5" s="96"/>
      <c r="H5" s="96"/>
    </row>
    <row r="6" s="87" customFormat="1" ht="12" customHeight="1" spans="1:8">
      <c r="A6" s="99"/>
      <c r="B6" s="99"/>
      <c r="C6" s="99"/>
      <c r="D6" s="99"/>
      <c r="E6" s="99"/>
      <c r="F6" s="99"/>
      <c r="G6" s="96"/>
      <c r="H6" s="96"/>
    </row>
    <row r="7" s="87" customFormat="1" ht="13" customHeight="1" spans="1:8">
      <c r="A7" s="100" t="s">
        <v>4</v>
      </c>
      <c r="B7" s="100"/>
      <c r="C7" s="100"/>
      <c r="D7" s="100"/>
      <c r="E7" s="100"/>
      <c r="G7" s="96"/>
      <c r="H7" s="96"/>
    </row>
    <row r="8" s="88" customFormat="1" ht="13" customHeight="1" spans="1:8">
      <c r="A8" s="101" t="s">
        <v>5</v>
      </c>
      <c r="B8" s="102"/>
      <c r="C8" s="103"/>
      <c r="D8" s="101" t="s">
        <v>6</v>
      </c>
      <c r="E8" s="101"/>
      <c r="F8" s="102" t="s">
        <v>7</v>
      </c>
      <c r="G8" s="104"/>
    </row>
    <row r="9" s="88" customFormat="1" ht="13" customHeight="1" spans="1:8">
      <c r="A9" s="101" t="s">
        <v>8</v>
      </c>
      <c r="B9" s="102"/>
      <c r="C9" s="105"/>
      <c r="D9" s="101" t="s">
        <v>9</v>
      </c>
      <c r="E9" s="101"/>
      <c r="F9" s="102"/>
      <c r="G9" s="104"/>
    </row>
    <row r="10" s="87" customFormat="1" ht="13" customHeight="1" spans="1:8">
      <c r="A10" s="101" t="s">
        <v>10</v>
      </c>
      <c r="B10" s="106"/>
      <c r="C10" s="105"/>
      <c r="D10" s="101" t="s">
        <v>11</v>
      </c>
      <c r="E10" s="101"/>
      <c r="F10" s="107"/>
      <c r="G10" s="96"/>
    </row>
    <row r="11" s="88" customFormat="1" ht="12" customHeight="1" spans="1:8">
      <c r="A11" s="108"/>
      <c r="B11" s="106"/>
      <c r="D11" s="101" t="s">
        <v>12</v>
      </c>
      <c r="E11" s="101"/>
      <c r="F11" s="107"/>
      <c r="G11" s="104"/>
    </row>
    <row r="12" s="87" customFormat="1" ht="12" customHeight="1" spans="1:8">
      <c r="A12" s="109"/>
      <c r="B12" s="109"/>
      <c r="C12" s="109"/>
      <c r="D12" s="109"/>
      <c r="E12" s="110"/>
      <c r="G12" s="96"/>
    </row>
    <row r="13" ht="12"/>
    <row r="14" s="89" customFormat="1" ht="28" customHeight="1" spans="1:8">
      <c r="A14" s="111" t="s">
        <v>13</v>
      </c>
      <c r="B14" s="112"/>
      <c r="C14" s="112"/>
      <c r="D14" s="112"/>
      <c r="E14" s="112" t="str">
        <f>"Amount "&amp;China!C6</f>
        <v>Amount (RMB)</v>
      </c>
      <c r="F14" s="113" t="s">
        <v>14</v>
      </c>
      <c r="G14" s="114"/>
    </row>
    <row r="15" s="90" customFormat="1" ht="16" customHeight="1" spans="1:8">
      <c r="A15" s="115" t="s">
        <v>15</v>
      </c>
      <c r="B15" s="116"/>
      <c r="C15" s="116"/>
      <c r="D15" s="116"/>
      <c r="E15" s="117">
        <f>SUM(E16:E17)</f>
        <v>0</v>
      </c>
      <c r="F15" s="118">
        <f>SUM(F16:F17)</f>
        <v>0</v>
      </c>
      <c r="G15" s="119"/>
    </row>
    <row r="16" s="91" customFormat="1" ht="12.75" spans="1:8">
      <c r="A16" s="120" t="str">
        <f ca="1">"- Labor cost for "&amp;China!B9&amp;"  -  "&amp;MONTH(China!B2)&amp;"-"&amp;YEAR(China!B2)</f>
        <v>- Labor cost for   -  7-2026</v>
      </c>
      <c r="B16" s="121"/>
      <c r="C16" s="121"/>
      <c r="D16" s="121"/>
      <c r="E16" s="122">
        <f>China!K9+China!AQ9+China!BC9</f>
        <v>0</v>
      </c>
      <c r="F16" s="123">
        <f>E16/$B$29</f>
        <v>0</v>
      </c>
      <c r="G16" s="124"/>
    </row>
    <row r="17" ht="12.75" spans="1:7">
      <c r="A17" s="120" t="str">
        <f>"- "&amp;+"Expense claim for "&amp;China!B9</f>
        <v>- Expense claim for </v>
      </c>
      <c r="B17" s="121"/>
      <c r="C17" s="121"/>
      <c r="D17" s="121"/>
      <c r="E17" s="122">
        <f>China!BF9</f>
        <v>0</v>
      </c>
      <c r="F17" s="123">
        <f>E17/$B$29</f>
        <v>0</v>
      </c>
      <c r="G17" s="125"/>
    </row>
    <row r="18" ht="12.75" spans="1:7">
      <c r="A18" s="126"/>
      <c r="B18" s="127"/>
      <c r="C18" s="127"/>
      <c r="D18" s="127"/>
      <c r="E18" s="122"/>
      <c r="F18" s="123"/>
      <c r="G18" s="125"/>
    </row>
    <row r="19" ht="12.75" spans="1:7">
      <c r="A19" s="128"/>
      <c r="B19" s="129"/>
      <c r="C19" s="129"/>
      <c r="D19" s="129"/>
      <c r="E19" s="130"/>
      <c r="F19" s="123"/>
      <c r="G19" s="125"/>
    </row>
    <row r="20" s="92" customFormat="1" ht="16" customHeight="1" spans="1:7">
      <c r="A20" s="115" t="s">
        <v>16</v>
      </c>
      <c r="B20" s="116"/>
      <c r="C20" s="116"/>
      <c r="D20" s="116"/>
      <c r="E20" s="117">
        <f>SUM(E21:E22)</f>
        <v>2349.4</v>
      </c>
      <c r="F20" s="131">
        <f>SUM(F21:F22)</f>
        <v>340</v>
      </c>
      <c r="G20" s="132"/>
    </row>
    <row r="21" ht="12.75" spans="1:7">
      <c r="A21" s="133" t="str">
        <f ca="1">"- "&amp;+"Management Fee - "&amp;MONTH(China!$B$2)&amp;"-"&amp;YEAR(China!$B$2)</f>
        <v>- Management Fee - 7-2026</v>
      </c>
      <c r="B21" s="134"/>
      <c r="C21" s="134"/>
      <c r="D21" s="134"/>
      <c r="E21" s="130">
        <f>China!G9</f>
        <v>2349.4</v>
      </c>
      <c r="F21" s="123">
        <f>E21/$B$29</f>
        <v>340</v>
      </c>
      <c r="G21" s="125"/>
    </row>
    <row r="22" ht="12.75" spans="1:7">
      <c r="A22" s="133"/>
      <c r="B22" s="134"/>
      <c r="C22" s="134"/>
      <c r="D22" s="134"/>
      <c r="E22" s="130"/>
      <c r="F22" s="123"/>
      <c r="G22" s="125"/>
    </row>
    <row r="23" s="92" customFormat="1" ht="16" customHeight="1" spans="1:7">
      <c r="A23" s="115" t="s">
        <v>17</v>
      </c>
      <c r="B23" s="116"/>
      <c r="C23" s="116"/>
      <c r="D23" s="116"/>
      <c r="E23" s="117">
        <f>SUM(E24)</f>
        <v>0</v>
      </c>
      <c r="F23" s="131">
        <f>SUM(F24)</f>
        <v>0</v>
      </c>
      <c r="G23" s="132"/>
    </row>
    <row r="24" ht="12.75" spans="1:7">
      <c r="A24" s="133" t="str">
        <f ca="1">"- "&amp;+"Deposit  for "&amp;China!B9&amp;"  -  "&amp;MONTH(China!B2)&amp;"-"&amp;YEAR(China!B2)</f>
        <v>- Deposit  for   -  7-2026</v>
      </c>
      <c r="B24" s="134"/>
      <c r="C24" s="134"/>
      <c r="D24" s="134"/>
      <c r="E24" s="130">
        <f>China!BI9</f>
        <v>0</v>
      </c>
      <c r="F24" s="123">
        <f>E24/$B$29</f>
        <v>0</v>
      </c>
      <c r="G24" s="125"/>
    </row>
    <row r="25" ht="14.25" spans="1:7">
      <c r="A25" s="135"/>
      <c r="B25" s="136"/>
      <c r="C25" s="136"/>
      <c r="D25" s="136"/>
      <c r="E25" s="137"/>
      <c r="F25" s="138"/>
      <c r="G25" s="125"/>
    </row>
    <row r="26" s="90" customFormat="1" ht="15" spans="1:7">
      <c r="A26" s="139" t="s">
        <v>18</v>
      </c>
      <c r="B26" s="140"/>
      <c r="C26" s="140"/>
      <c r="D26" s="140"/>
      <c r="E26" s="141">
        <f>E15+E20+E23</f>
        <v>2349.4</v>
      </c>
      <c r="F26" s="142">
        <f>F15+F20+F23</f>
        <v>340</v>
      </c>
      <c r="G26" s="119"/>
    </row>
    <row r="27" s="90" customFormat="1" ht="14.25" spans="1:7">
      <c r="A27" s="143"/>
      <c r="B27" s="143"/>
      <c r="C27" s="144"/>
      <c r="D27" s="144"/>
      <c r="E27" s="145"/>
      <c r="F27" s="146"/>
      <c r="G27" s="119"/>
    </row>
    <row r="28" s="90" customFormat="1" ht="15" spans="1:7">
      <c r="A28" s="147"/>
      <c r="B28" s="147"/>
      <c r="C28" s="147"/>
      <c r="D28" s="147"/>
      <c r="E28" s="145"/>
      <c r="F28" s="146"/>
      <c r="G28" s="119"/>
    </row>
    <row r="29" ht="25.5" spans="1:7">
      <c r="A29" s="148" t="str">
        <f>"*FX rate  USD:  "&amp;China!C6</f>
        <v>*FX rate  USD:  (RMB)</v>
      </c>
      <c r="B29" s="149">
        <v>6.91</v>
      </c>
      <c r="C29" s="145"/>
      <c r="D29" s="150" t="s">
        <v>19</v>
      </c>
      <c r="E29" s="151"/>
      <c r="F29" s="152">
        <f>F26</f>
        <v>340</v>
      </c>
      <c r="G29" s="125"/>
    </row>
    <row r="30" s="91" customFormat="1" ht="16" customHeight="1" spans="1:7">
      <c r="A30" s="153"/>
      <c r="B30" s="153"/>
      <c r="C30" s="145"/>
      <c r="D30" s="154" t="s">
        <v>20</v>
      </c>
      <c r="E30" s="155"/>
      <c r="F30" s="156">
        <f>China!E22</f>
        <v>25</v>
      </c>
      <c r="G30" s="124"/>
    </row>
    <row r="31" s="91" customFormat="1" ht="14.25" spans="1:7">
      <c r="A31" s="153"/>
      <c r="B31" s="153"/>
      <c r="C31" s="145"/>
      <c r="D31" s="154" t="s">
        <v>21</v>
      </c>
      <c r="E31" s="155"/>
      <c r="F31" s="156">
        <f>China!E23</f>
        <v>0</v>
      </c>
      <c r="G31" s="124"/>
    </row>
    <row r="32" ht="14.25" spans="1:7">
      <c r="A32" s="153"/>
      <c r="B32" s="153"/>
      <c r="C32" s="145"/>
      <c r="D32" s="154" t="s">
        <v>22</v>
      </c>
      <c r="E32" s="155"/>
      <c r="F32" s="156">
        <f>China!E24</f>
        <v>0</v>
      </c>
      <c r="G32" s="125"/>
    </row>
    <row r="33" ht="15" spans="1:8">
      <c r="A33" s="153"/>
      <c r="B33" s="153"/>
      <c r="C33" s="157"/>
      <c r="D33" s="158" t="s">
        <v>23</v>
      </c>
      <c r="E33" s="159"/>
      <c r="F33" s="160">
        <f>China!E25</f>
        <v>10</v>
      </c>
      <c r="G33" s="125"/>
    </row>
    <row r="34" ht="14.25" spans="1:8">
      <c r="A34" s="153"/>
      <c r="B34" s="153"/>
      <c r="C34" s="145"/>
      <c r="D34" s="161" t="s">
        <v>24</v>
      </c>
      <c r="E34" s="162"/>
      <c r="F34" s="163">
        <f>SUM(F29:F33)</f>
        <v>375</v>
      </c>
      <c r="G34" s="125"/>
    </row>
    <row r="35" ht="14.25" spans="1:8">
      <c r="A35" s="153"/>
      <c r="B35" s="153"/>
      <c r="C35" s="145"/>
      <c r="D35" s="164" t="s">
        <v>25</v>
      </c>
      <c r="E35" s="165"/>
      <c r="F35" s="163">
        <f>China!F6/$B$29</f>
        <v>0</v>
      </c>
      <c r="G35" s="125"/>
    </row>
    <row r="36" ht="15" spans="1:8">
      <c r="A36" s="166"/>
      <c r="B36" s="166"/>
      <c r="C36" s="145"/>
      <c r="D36" s="167" t="s">
        <v>26</v>
      </c>
      <c r="E36" s="168"/>
      <c r="F36" s="169">
        <f>SUM(F34:F35)</f>
        <v>375</v>
      </c>
      <c r="G36" s="125"/>
      <c r="H36" s="170"/>
    </row>
    <row r="37" ht="14.25" spans="1:8">
      <c r="A37" s="136"/>
      <c r="B37" s="136"/>
      <c r="C37" s="136"/>
      <c r="D37" s="136"/>
      <c r="E37" s="157"/>
      <c r="F37" s="157"/>
      <c r="G37" s="125"/>
    </row>
    <row r="38" ht="14.25" spans="1:8">
      <c r="A38" s="136"/>
      <c r="B38" s="136"/>
      <c r="C38" s="136"/>
      <c r="D38" s="136"/>
      <c r="E38" s="157"/>
      <c r="F38" s="157"/>
      <c r="G38" s="125"/>
    </row>
    <row r="39" spans="1:8">
      <c r="G39" s="125"/>
    </row>
    <row r="40" ht="19" customHeight="1" spans="1:8">
      <c r="A40" s="171" t="s">
        <v>27</v>
      </c>
      <c r="B40" s="171"/>
      <c r="C40" s="171"/>
      <c r="D40" s="171"/>
      <c r="E40" s="171"/>
      <c r="F40" s="171"/>
    </row>
    <row r="41" ht="61" customHeight="1" spans="1:8">
      <c r="A41" s="172" t="s">
        <v>28</v>
      </c>
      <c r="B41" s="172"/>
      <c r="C41" s="173"/>
      <c r="D41" s="174" t="s">
        <v>29</v>
      </c>
      <c r="E41" s="172"/>
      <c r="F41" s="172"/>
    </row>
    <row r="42" spans="1:8">
      <c r="A42" s="93" t="s">
        <v>30</v>
      </c>
    </row>
    <row r="43" ht="11.15" customHeight="1" spans="1:8">
      <c r="A43" s="90" t="s">
        <v>31</v>
      </c>
      <c r="B43" s="90"/>
      <c r="C43" s="90"/>
      <c r="D43" s="90"/>
      <c r="E43" s="90"/>
      <c r="F43" s="90"/>
    </row>
    <row r="44" spans="1:8">
      <c r="A44" s="90" t="s">
        <v>32</v>
      </c>
    </row>
    <row r="45" spans="1:8">
      <c r="A45" s="90" t="s">
        <v>33</v>
      </c>
    </row>
  </sheetData>
  <mergeCells count="29">
    <mergeCell ref="B1:F1"/>
    <mergeCell ref="B2:F2"/>
    <mergeCell ref="B3:F3"/>
    <mergeCell ref="A5:F5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D26"/>
    <mergeCell ref="D29:E29"/>
    <mergeCell ref="D30:E30"/>
    <mergeCell ref="D31:E31"/>
    <mergeCell ref="D32:E32"/>
    <mergeCell ref="D33:E33"/>
    <mergeCell ref="D34:E34"/>
    <mergeCell ref="D35:E35"/>
    <mergeCell ref="D36:E36"/>
    <mergeCell ref="A40:F40"/>
    <mergeCell ref="A41:C41"/>
    <mergeCell ref="D41:F41"/>
    <mergeCell ref="B10:B11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6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C4" sqref="C4"/>
    </sheetView>
  </sheetViews>
  <sheetFormatPr defaultColWidth="9.09166666666667" defaultRowHeight="12.75"/>
  <cols>
    <col min="1" max="1" width="8.90833333333333" style="32" customWidth="1"/>
    <col min="2" max="2" width="18" style="33" customWidth="1"/>
    <col min="3" max="3" width="11" style="33" customWidth="1"/>
    <col min="4" max="4" width="7.45" style="33" customWidth="1"/>
    <col min="5" max="5" width="8.36666666666667" style="33" customWidth="1"/>
    <col min="6" max="8" width="7.45" style="33" customWidth="1"/>
    <col min="9" max="9" width="6.63333333333333" style="33" customWidth="1"/>
    <col min="10" max="10" width="6.36666666666667" style="33" customWidth="1"/>
    <col min="11" max="12" width="8.36666666666667" style="33" customWidth="1"/>
    <col min="13" max="13" width="7.90833333333333" style="33" customWidth="1"/>
    <col min="14" max="15" width="4.63333333333333" style="33" customWidth="1"/>
    <col min="16" max="20" width="7.90833333333333" style="33" customWidth="1"/>
    <col min="21" max="23" width="6.09166666666667" style="33" customWidth="1"/>
    <col min="24" max="24" width="7.45" style="33" customWidth="1"/>
    <col min="25" max="25" width="6.09166666666667" style="33" customWidth="1"/>
    <col min="26" max="26" width="7.90833333333333" style="33" customWidth="1"/>
    <col min="27" max="29" width="6.09166666666667" style="33" customWidth="1"/>
    <col min="30" max="31" width="7.90833333333333" style="33" customWidth="1"/>
    <col min="32" max="33" width="4.63333333333333" style="33" customWidth="1"/>
    <col min="34" max="34" width="7.90833333333333" style="33" customWidth="1"/>
    <col min="35" max="36" width="9.45" style="33" customWidth="1"/>
    <col min="37" max="37" width="11.0916666666667" style="33" customWidth="1"/>
    <col min="38" max="39" width="6.09166666666667" style="33" customWidth="1"/>
    <col min="40" max="40" width="10.0916666666667" style="33" customWidth="1"/>
    <col min="41" max="41" width="15.0916666666667" style="33" customWidth="1"/>
    <col min="42" max="42" width="7.90833333333333" style="33" customWidth="1"/>
    <col min="43" max="43" width="8.36666666666667" style="33" customWidth="1"/>
    <col min="44" max="46" width="7.90833333333333" style="33" customWidth="1"/>
    <col min="47" max="48" width="6.36666666666667" style="33" customWidth="1"/>
    <col min="49" max="49" width="6.09166666666667" style="33" customWidth="1"/>
    <col min="50" max="50" width="7.45" style="33" customWidth="1"/>
    <col min="51" max="53" width="6.09166666666667" style="33" customWidth="1"/>
    <col min="54" max="54" width="7.45" style="33" customWidth="1"/>
    <col min="55" max="55" width="6.63333333333333" style="33" customWidth="1"/>
    <col min="56" max="57" width="7.90833333333333" style="33" customWidth="1"/>
    <col min="58" max="58" width="6.63333333333333" style="33" customWidth="1"/>
    <col min="59" max="59" width="6.36666666666667" style="33" customWidth="1"/>
    <col min="60" max="60" width="7" style="33" customWidth="1"/>
    <col min="61" max="61" width="8.90833333333333" style="33" customWidth="1"/>
    <col min="62" max="16384" width="9.09166666666667" style="33"/>
  </cols>
  <sheetData>
    <row r="1" spans="1:61">
      <c r="A1" s="32" t="s">
        <v>34</v>
      </c>
    </row>
    <row r="2" ht="13.5" spans="1:61">
      <c r="A2" s="34" t="s">
        <v>35</v>
      </c>
      <c r="B2" s="68">
        <f ca="1">EOMONTH(TODAY(),-1)+1</f>
        <v>46204</v>
      </c>
      <c r="C2" s="68">
        <f ca="1">EOMONTH(TODAY(),0)</f>
        <v>46234</v>
      </c>
      <c r="E2" s="36" t="s">
        <v>36</v>
      </c>
    </row>
    <row r="3" s="30" customFormat="1" ht="13" customHeight="1" spans="1:61">
      <c r="A3" s="34"/>
      <c r="B3" s="35"/>
      <c r="E3" s="69" t="s">
        <v>37</v>
      </c>
      <c r="F3" s="70" t="s">
        <v>38</v>
      </c>
      <c r="G3" s="71" t="s">
        <v>39</v>
      </c>
      <c r="H3" s="72"/>
      <c r="I3" s="72"/>
      <c r="J3" s="73"/>
      <c r="K3" s="41" t="s">
        <v>40</v>
      </c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74"/>
      <c r="AH3" s="42"/>
      <c r="AI3" s="42"/>
      <c r="AJ3" s="42"/>
      <c r="AK3" s="42"/>
      <c r="AL3" s="42"/>
      <c r="AM3" s="42"/>
      <c r="AN3" s="42"/>
      <c r="AO3" s="42"/>
      <c r="AP3" s="42"/>
      <c r="AQ3" s="41" t="s">
        <v>41</v>
      </c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74"/>
      <c r="BC3" s="41" t="s">
        <v>42</v>
      </c>
      <c r="BD3" s="42"/>
      <c r="BE3" s="74"/>
      <c r="BF3" s="43" t="s">
        <v>43</v>
      </c>
      <c r="BG3" s="43"/>
      <c r="BH3" s="43"/>
      <c r="BI3" s="75" t="s">
        <v>44</v>
      </c>
    </row>
    <row r="4" s="30" customFormat="1" ht="51.75" spans="1:61">
      <c r="E4" s="47"/>
      <c r="F4" s="48"/>
      <c r="G4" s="48" t="s">
        <v>45</v>
      </c>
      <c r="H4" s="49" t="s">
        <v>46</v>
      </c>
      <c r="I4" s="49" t="s">
        <v>47</v>
      </c>
      <c r="J4" s="49" t="s">
        <v>48</v>
      </c>
      <c r="K4" s="48" t="s">
        <v>45</v>
      </c>
      <c r="L4" s="49" t="s">
        <v>49</v>
      </c>
      <c r="M4" s="49" t="s">
        <v>50</v>
      </c>
      <c r="N4" s="49" t="s">
        <v>51</v>
      </c>
      <c r="O4" s="49" t="s">
        <v>52</v>
      </c>
      <c r="P4" s="49" t="s">
        <v>53</v>
      </c>
      <c r="Q4" s="49" t="s">
        <v>54</v>
      </c>
      <c r="R4" s="49" t="s">
        <v>55</v>
      </c>
      <c r="S4" s="49" t="s">
        <v>56</v>
      </c>
      <c r="T4" s="49" t="s">
        <v>57</v>
      </c>
      <c r="U4" s="49" t="s">
        <v>58</v>
      </c>
      <c r="V4" s="49" t="s">
        <v>59</v>
      </c>
      <c r="W4" s="49" t="s">
        <v>60</v>
      </c>
      <c r="X4" s="49" t="s">
        <v>61</v>
      </c>
      <c r="Y4" s="49" t="s">
        <v>62</v>
      </c>
      <c r="Z4" s="49" t="s">
        <v>63</v>
      </c>
      <c r="AA4" s="49" t="s">
        <v>64</v>
      </c>
      <c r="AB4" s="49" t="s">
        <v>65</v>
      </c>
      <c r="AC4" s="49" t="s">
        <v>66</v>
      </c>
      <c r="AD4" s="49" t="s">
        <v>67</v>
      </c>
      <c r="AE4" s="49" t="s">
        <v>68</v>
      </c>
      <c r="AF4" s="49" t="s">
        <v>69</v>
      </c>
      <c r="AG4" s="50" t="s">
        <v>70</v>
      </c>
      <c r="AH4" s="50" t="s">
        <v>71</v>
      </c>
      <c r="AI4" s="50" t="s">
        <v>72</v>
      </c>
      <c r="AJ4" s="50" t="s">
        <v>73</v>
      </c>
      <c r="AK4" s="50" t="s">
        <v>74</v>
      </c>
      <c r="AL4" s="50" t="s">
        <v>75</v>
      </c>
      <c r="AM4" s="50" t="s">
        <v>76</v>
      </c>
      <c r="AN4" s="50" t="s">
        <v>77</v>
      </c>
      <c r="AO4" s="50" t="s">
        <v>78</v>
      </c>
      <c r="AP4" s="50" t="s">
        <v>79</v>
      </c>
      <c r="AQ4" s="48" t="s">
        <v>45</v>
      </c>
      <c r="AR4" s="49" t="s">
        <v>80</v>
      </c>
      <c r="AS4" s="49" t="s">
        <v>81</v>
      </c>
      <c r="AT4" s="49" t="s">
        <v>82</v>
      </c>
      <c r="AU4" s="49" t="s">
        <v>83</v>
      </c>
      <c r="AV4" s="49" t="s">
        <v>84</v>
      </c>
      <c r="AW4" s="49" t="s">
        <v>85</v>
      </c>
      <c r="AX4" s="49" t="s">
        <v>86</v>
      </c>
      <c r="AY4" s="49" t="s">
        <v>87</v>
      </c>
      <c r="AZ4" s="49" t="s">
        <v>88</v>
      </c>
      <c r="BA4" s="49" t="s">
        <v>89</v>
      </c>
      <c r="BB4" s="49" t="s">
        <v>90</v>
      </c>
      <c r="BC4" s="48" t="s">
        <v>45</v>
      </c>
      <c r="BD4" s="49" t="s">
        <v>91</v>
      </c>
      <c r="BE4" s="49" t="s">
        <v>92</v>
      </c>
      <c r="BF4" s="48" t="s">
        <v>45</v>
      </c>
      <c r="BG4" s="50" t="s">
        <v>93</v>
      </c>
      <c r="BH4" s="49" t="s">
        <v>94</v>
      </c>
      <c r="BI4" s="51"/>
    </row>
    <row r="5" s="30" customFormat="1" ht="13.5" spans="1:61">
      <c r="A5" s="32"/>
      <c r="E5" s="52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4"/>
    </row>
    <row r="6" s="31" customFormat="1" spans="1:61">
      <c r="A6" s="55"/>
      <c r="B6" s="31" t="s">
        <v>37</v>
      </c>
      <c r="C6" s="31" t="s">
        <v>95</v>
      </c>
      <c r="E6" s="59">
        <f>SUM(E9:E18)</f>
        <v>2349.4</v>
      </c>
      <c r="F6" s="60">
        <f t="shared" ref="F6:BI6" si="0">SUM(F9:F18)</f>
        <v>0</v>
      </c>
      <c r="G6" s="60">
        <f t="shared" si="0"/>
        <v>2349.4</v>
      </c>
      <c r="H6" s="60">
        <f t="shared" ref="H6:BH6" si="1">SUM(H9:H18)</f>
        <v>2073</v>
      </c>
      <c r="I6" s="60">
        <f t="shared" si="1"/>
        <v>276.4</v>
      </c>
      <c r="J6" s="60">
        <f t="shared" si="1"/>
        <v>0</v>
      </c>
      <c r="K6" s="60">
        <f t="shared" si="1"/>
        <v>0</v>
      </c>
      <c r="L6" s="60">
        <f t="shared" si="1"/>
        <v>0</v>
      </c>
      <c r="M6" s="60">
        <f t="shared" si="1"/>
        <v>0</v>
      </c>
      <c r="N6" s="60">
        <f t="shared" si="1"/>
        <v>0</v>
      </c>
      <c r="O6" s="60">
        <f t="shared" si="1"/>
        <v>0</v>
      </c>
      <c r="P6" s="60">
        <f t="shared" si="1"/>
        <v>0</v>
      </c>
      <c r="Q6" s="60">
        <f t="shared" si="1"/>
        <v>0</v>
      </c>
      <c r="R6" s="60">
        <f t="shared" si="1"/>
        <v>0</v>
      </c>
      <c r="S6" s="60">
        <f t="shared" si="1"/>
        <v>0</v>
      </c>
      <c r="T6" s="60">
        <f t="shared" si="1"/>
        <v>0</v>
      </c>
      <c r="U6" s="60">
        <f t="shared" si="1"/>
        <v>0</v>
      </c>
      <c r="V6" s="60">
        <f t="shared" si="1"/>
        <v>0</v>
      </c>
      <c r="W6" s="60">
        <f t="shared" si="1"/>
        <v>0</v>
      </c>
      <c r="X6" s="60">
        <f t="shared" si="1"/>
        <v>0</v>
      </c>
      <c r="Y6" s="60">
        <f t="shared" si="1"/>
        <v>0</v>
      </c>
      <c r="Z6" s="60">
        <f t="shared" si="1"/>
        <v>0</v>
      </c>
      <c r="AA6" s="60">
        <f t="shared" si="1"/>
        <v>0</v>
      </c>
      <c r="AB6" s="60">
        <f t="shared" si="1"/>
        <v>0</v>
      </c>
      <c r="AC6" s="60">
        <f t="shared" si="1"/>
        <v>0</v>
      </c>
      <c r="AD6" s="60">
        <f t="shared" si="1"/>
        <v>0</v>
      </c>
      <c r="AE6" s="60">
        <f t="shared" si="1"/>
        <v>0</v>
      </c>
      <c r="AF6" s="60">
        <f t="shared" si="1"/>
        <v>0</v>
      </c>
      <c r="AG6" s="60">
        <f t="shared" si="1"/>
        <v>0</v>
      </c>
      <c r="AH6" s="60">
        <f t="shared" si="1"/>
        <v>0</v>
      </c>
      <c r="AI6" s="60">
        <f t="shared" si="1"/>
        <v>0</v>
      </c>
      <c r="AJ6" s="60">
        <f t="shared" si="1"/>
        <v>0</v>
      </c>
      <c r="AK6" s="60">
        <f t="shared" si="1"/>
        <v>0</v>
      </c>
      <c r="AL6" s="60">
        <f t="shared" si="1"/>
        <v>0</v>
      </c>
      <c r="AM6" s="60">
        <f t="shared" si="1"/>
        <v>0</v>
      </c>
      <c r="AN6" s="60">
        <f t="shared" si="1"/>
        <v>0</v>
      </c>
      <c r="AO6" s="60">
        <f t="shared" si="1"/>
        <v>0</v>
      </c>
      <c r="AP6" s="60">
        <f t="shared" si="1"/>
        <v>0</v>
      </c>
      <c r="AQ6" s="60">
        <f t="shared" si="1"/>
        <v>0</v>
      </c>
      <c r="AR6" s="60">
        <f t="shared" si="1"/>
        <v>0</v>
      </c>
      <c r="AS6" s="60">
        <f t="shared" si="1"/>
        <v>0</v>
      </c>
      <c r="AT6" s="60">
        <f t="shared" si="1"/>
        <v>0</v>
      </c>
      <c r="AU6" s="60">
        <f t="shared" si="1"/>
        <v>0</v>
      </c>
      <c r="AV6" s="60">
        <f t="shared" si="1"/>
        <v>0</v>
      </c>
      <c r="AW6" s="60">
        <f t="shared" si="1"/>
        <v>0</v>
      </c>
      <c r="AX6" s="60">
        <f t="shared" si="1"/>
        <v>0</v>
      </c>
      <c r="AY6" s="60">
        <f t="shared" si="1"/>
        <v>0</v>
      </c>
      <c r="AZ6" s="60">
        <f t="shared" si="1"/>
        <v>0</v>
      </c>
      <c r="BA6" s="60">
        <f t="shared" si="1"/>
        <v>0</v>
      </c>
      <c r="BB6" s="60">
        <f t="shared" si="1"/>
        <v>0</v>
      </c>
      <c r="BC6" s="60">
        <f t="shared" si="1"/>
        <v>0</v>
      </c>
      <c r="BD6" s="60">
        <f t="shared" si="1"/>
        <v>0</v>
      </c>
      <c r="BE6" s="60">
        <f t="shared" si="1"/>
        <v>0</v>
      </c>
      <c r="BF6" s="60">
        <f t="shared" si="1"/>
        <v>0</v>
      </c>
      <c r="BG6" s="60">
        <f t="shared" si="1"/>
        <v>0</v>
      </c>
      <c r="BH6" s="60">
        <f t="shared" si="1"/>
        <v>0</v>
      </c>
      <c r="BI6" s="61">
        <f t="shared" si="0"/>
        <v>0</v>
      </c>
    </row>
    <row r="7" s="31" customFormat="1" spans="1:61">
      <c r="A7" s="62"/>
      <c r="B7" s="63"/>
      <c r="C7" s="63"/>
      <c r="E7" s="59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0"/>
      <c r="BF7" s="60"/>
      <c r="BG7" s="60"/>
      <c r="BH7" s="60"/>
      <c r="BI7" s="61"/>
    </row>
    <row r="8" s="31" customFormat="1" spans="1:61">
      <c r="A8" s="62"/>
      <c r="E8" s="59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1"/>
    </row>
    <row r="9" s="31" customFormat="1" spans="1:61">
      <c r="A9" s="55"/>
      <c r="B9" s="31"/>
      <c r="C9" s="63">
        <f>'China-L'!A2</f>
        <v>0</v>
      </c>
      <c r="E9" s="59">
        <f>SUM(F9:G9)+K9+AQ9+BC9+BF9+BI9</f>
        <v>2349.4</v>
      </c>
      <c r="F9" s="60">
        <f>(K9+AQ9+BC9+BF9)*6%</f>
        <v>0</v>
      </c>
      <c r="G9" s="60">
        <f>SUM(H9:J9)</f>
        <v>2349.4</v>
      </c>
      <c r="H9" s="60">
        <f>300*PN!$B$29+IF(AN9=0,0,300*PN!$B$29)</f>
        <v>2073</v>
      </c>
      <c r="I9" s="76">
        <f>40*PN!$B$29*1</f>
        <v>276.4</v>
      </c>
      <c r="J9" s="76"/>
      <c r="K9" s="60">
        <f>SUM(L9:AP9)</f>
        <v>0</v>
      </c>
      <c r="L9" s="60">
        <f>'China-L'!C2</f>
        <v>0</v>
      </c>
      <c r="M9" s="60">
        <f>'China-L'!D2</f>
        <v>0</v>
      </c>
      <c r="N9" s="60">
        <f>'China-L'!E2</f>
        <v>0</v>
      </c>
      <c r="O9" s="60">
        <f>'China-L'!F2</f>
        <v>0</v>
      </c>
      <c r="P9" s="60">
        <f>'China-L'!G2</f>
        <v>0</v>
      </c>
      <c r="Q9" s="60">
        <f>'China-L'!H2</f>
        <v>0</v>
      </c>
      <c r="R9" s="60">
        <f>'China-L'!I2</f>
        <v>0</v>
      </c>
      <c r="S9" s="60">
        <f>'China-L'!J2</f>
        <v>0</v>
      </c>
      <c r="T9" s="60">
        <f>'China-L'!K2</f>
        <v>0</v>
      </c>
      <c r="U9" s="60">
        <f>'China-L'!L2</f>
        <v>0</v>
      </c>
      <c r="V9" s="60">
        <f>'China-L'!M2</f>
        <v>0</v>
      </c>
      <c r="W9" s="60">
        <f>'China-L'!N2</f>
        <v>0</v>
      </c>
      <c r="X9" s="60">
        <f>'China-L'!O2</f>
        <v>0</v>
      </c>
      <c r="Y9" s="60">
        <f>'China-L'!P2</f>
        <v>0</v>
      </c>
      <c r="Z9" s="60">
        <f>'China-L'!Q2</f>
        <v>0</v>
      </c>
      <c r="AA9" s="60">
        <f>'China-L'!R2</f>
        <v>0</v>
      </c>
      <c r="AB9" s="60">
        <f>'China-L'!S2</f>
        <v>0</v>
      </c>
      <c r="AC9" s="60">
        <f>'China-L'!T2</f>
        <v>0</v>
      </c>
      <c r="AD9" s="60">
        <f>'China-L'!U2</f>
        <v>0</v>
      </c>
      <c r="AE9" s="60">
        <f>'China-L'!V2</f>
        <v>0</v>
      </c>
      <c r="AF9" s="60">
        <f>'China-L'!W2</f>
        <v>0</v>
      </c>
      <c r="AG9" s="60">
        <f>'China-L'!X2</f>
        <v>0</v>
      </c>
      <c r="AH9" s="60">
        <f>'China-L'!Y2</f>
        <v>0</v>
      </c>
      <c r="AI9" s="60">
        <f>'China-L'!AY2</f>
        <v>0</v>
      </c>
      <c r="AJ9" s="60">
        <f>'China-L'!BF2</f>
        <v>0</v>
      </c>
      <c r="AK9" s="60">
        <f>'China-L'!BJ2</f>
        <v>0</v>
      </c>
      <c r="AL9" s="60">
        <f>'China-L'!BK2</f>
        <v>0</v>
      </c>
      <c r="AM9" s="60">
        <f>'China-L'!BL2</f>
        <v>0</v>
      </c>
      <c r="AN9" s="60">
        <f>'China-L'!BM2</f>
        <v>0</v>
      </c>
      <c r="AO9" s="60">
        <f>'China-L'!BO2</f>
        <v>0</v>
      </c>
      <c r="AP9" s="60">
        <f>'China-L'!BQ2</f>
        <v>0</v>
      </c>
      <c r="AQ9" s="60">
        <f>SUM(AR9:BB9)</f>
        <v>0</v>
      </c>
      <c r="AR9" s="60">
        <f>'China-L'!BV2</f>
        <v>0</v>
      </c>
      <c r="AS9" s="60">
        <f>'China-L'!BW2</f>
        <v>0</v>
      </c>
      <c r="AT9" s="60">
        <f>'China-L'!BX2</f>
        <v>0</v>
      </c>
      <c r="AU9" s="60">
        <f>'China-L'!BY2</f>
        <v>0</v>
      </c>
      <c r="AV9" s="60">
        <f>'China-L'!BZ2</f>
        <v>0</v>
      </c>
      <c r="AW9" s="60">
        <f>'China-L'!CA2</f>
        <v>0</v>
      </c>
      <c r="AX9" s="60">
        <f>'China-L'!CB2</f>
        <v>0</v>
      </c>
      <c r="AY9" s="60">
        <f>'China-L'!CC2</f>
        <v>0</v>
      </c>
      <c r="AZ9" s="60">
        <f>'China-L'!CF2</f>
        <v>0</v>
      </c>
      <c r="BA9" s="60">
        <f>'China-L'!CG2</f>
        <v>0</v>
      </c>
      <c r="BB9" s="60">
        <f>'China-L'!CK2</f>
        <v>0</v>
      </c>
      <c r="BC9" s="60">
        <f>SUM(BD9:BE9)</f>
        <v>0</v>
      </c>
      <c r="BD9" s="60">
        <f>'China-L'!AI2</f>
        <v>0</v>
      </c>
      <c r="BE9" s="60">
        <f>'China-L'!BE2</f>
        <v>0</v>
      </c>
      <c r="BF9" s="60">
        <f>SUM(BG9:BH9)</f>
        <v>0</v>
      </c>
      <c r="BG9" s="60">
        <f>'China-L'!BH2</f>
        <v>0</v>
      </c>
      <c r="BH9" s="60">
        <f>+'China-L'!BI2</f>
        <v>0</v>
      </c>
      <c r="BI9" s="61">
        <f>(K9+AQ9+BC9)*20%</f>
        <v>0</v>
      </c>
    </row>
    <row r="10" s="31" customFormat="1" spans="1:61">
      <c r="A10" s="55"/>
      <c r="C10" s="63"/>
      <c r="E10" s="59"/>
      <c r="F10" s="60"/>
      <c r="G10" s="60"/>
      <c r="H10" s="60"/>
      <c r="I10" s="76"/>
      <c r="J10" s="76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1"/>
    </row>
    <row r="11" s="31" customFormat="1" spans="1:61">
      <c r="A11" s="55"/>
      <c r="E11" s="59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1"/>
    </row>
    <row r="12" s="31" customFormat="1" spans="1:61">
      <c r="A12" s="55"/>
      <c r="E12" s="59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0"/>
      <c r="BF12" s="60"/>
      <c r="BG12" s="60"/>
      <c r="BH12" s="60"/>
      <c r="BI12" s="61"/>
    </row>
    <row r="13" s="31" customFormat="1" spans="1:61">
      <c r="A13" s="55"/>
      <c r="E13" s="59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0"/>
      <c r="BF13" s="60"/>
      <c r="BG13" s="60"/>
      <c r="BH13" s="60"/>
      <c r="BI13" s="61"/>
    </row>
    <row r="14" s="31" customFormat="1" spans="1:61">
      <c r="A14" s="55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1"/>
    </row>
    <row r="15" s="31" customFormat="1" spans="1:61">
      <c r="A15" s="55"/>
      <c r="E15" s="59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0"/>
      <c r="BF15" s="60"/>
      <c r="BG15" s="60"/>
      <c r="BH15" s="60"/>
      <c r="BI15" s="61"/>
    </row>
    <row r="16" s="31" customFormat="1" spans="1:61">
      <c r="A16" s="55"/>
      <c r="E16" s="59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0"/>
      <c r="BF16" s="60"/>
      <c r="BG16" s="60"/>
      <c r="BH16" s="60"/>
      <c r="BI16" s="61"/>
    </row>
    <row r="17" s="31" customFormat="1" spans="1:61">
      <c r="A17" s="55"/>
      <c r="E17" s="59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0"/>
      <c r="BF17" s="60"/>
      <c r="BG17" s="60"/>
      <c r="BH17" s="60"/>
      <c r="BI17" s="61"/>
    </row>
    <row r="18" s="31" customFormat="1" ht="13.5" spans="1:61">
      <c r="A18" s="55"/>
      <c r="E18" s="65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7"/>
    </row>
    <row r="19" spans="1:61">
      <c r="E19" s="77">
        <f>E9-F9-G9-BI9</f>
        <v>0</v>
      </c>
    </row>
    <row r="20" ht="13.5"/>
    <row r="21" customFormat="1" ht="14.25" spans="1:61">
      <c r="A21" s="78" t="s">
        <v>96</v>
      </c>
      <c r="B21" s="79"/>
      <c r="C21" s="79"/>
      <c r="D21" s="79"/>
      <c r="E21" s="80">
        <f>SUM(E22:E26)</f>
        <v>35</v>
      </c>
      <c r="F21" s="81">
        <v>0</v>
      </c>
      <c r="G21" s="82"/>
    </row>
    <row r="22" customFormat="1" ht="14.25" spans="1:61">
      <c r="A22" s="78"/>
      <c r="B22" s="79" t="s">
        <v>20</v>
      </c>
      <c r="C22" s="79"/>
      <c r="D22" s="79"/>
      <c r="E22" s="83">
        <v>25</v>
      </c>
      <c r="F22" s="84"/>
    </row>
    <row r="23" customFormat="1" ht="14.25" spans="1:61">
      <c r="A23" s="78"/>
      <c r="B23" s="79" t="s">
        <v>21</v>
      </c>
      <c r="C23" s="79"/>
      <c r="D23" s="79"/>
      <c r="E23" s="83"/>
      <c r="F23" s="84">
        <v>0</v>
      </c>
    </row>
    <row r="24" customFormat="1" ht="14.25" spans="1:61">
      <c r="A24" s="78"/>
      <c r="B24" s="79" t="s">
        <v>97</v>
      </c>
      <c r="C24" s="79"/>
      <c r="D24" s="79"/>
      <c r="E24" s="83"/>
      <c r="F24" s="84">
        <v>0</v>
      </c>
    </row>
    <row r="25" customFormat="1" ht="14.25" spans="1:61">
      <c r="A25" s="78"/>
      <c r="B25" s="79" t="s">
        <v>98</v>
      </c>
      <c r="C25" s="79"/>
      <c r="D25" s="79"/>
      <c r="E25" s="83">
        <f>10</f>
        <v>10</v>
      </c>
      <c r="F25" s="84"/>
    </row>
    <row r="26" customFormat="1" ht="15" spans="1:61">
      <c r="A26" s="78"/>
      <c r="B26" s="79" t="s">
        <v>99</v>
      </c>
      <c r="C26" s="79"/>
      <c r="D26" s="79"/>
      <c r="E26" s="85">
        <v>0</v>
      </c>
      <c r="F26" s="86"/>
    </row>
  </sheetData>
  <mergeCells count="8">
    <mergeCell ref="G3:J3"/>
    <mergeCell ref="K3:AG3"/>
    <mergeCell ref="AQ3:BB3"/>
    <mergeCell ref="BC3:BE3"/>
    <mergeCell ref="BF3:BH3"/>
    <mergeCell ref="E3:E4"/>
    <mergeCell ref="F3:F4"/>
    <mergeCell ref="BI3:BI4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19"/>
  <sheetViews>
    <sheetView zoomScale="120" zoomScaleNormal="120" workbookViewId="0">
      <pane xSplit="7" ySplit="4" topLeftCell="H5" activePane="bottomRight" state="frozen"/>
      <selection/>
      <selection pane="topRight"/>
      <selection pane="bottomLeft"/>
      <selection pane="bottomRight" activeCell="E10" sqref="E10"/>
    </sheetView>
  </sheetViews>
  <sheetFormatPr defaultColWidth="9.09166666666667" defaultRowHeight="12.75"/>
  <cols>
    <col min="1" max="1" width="14" style="32" customWidth="1"/>
    <col min="2" max="2" width="11" style="33" customWidth="1"/>
    <col min="3" max="3" width="25" style="33" customWidth="1"/>
    <col min="4" max="4" width="12.45" style="33" customWidth="1"/>
    <col min="5" max="5" width="12.9083333333333" style="33" customWidth="1"/>
    <col min="6" max="6" width="8.36666666666667" style="33" customWidth="1"/>
    <col min="7" max="7" width="9.09166666666667" style="33" customWidth="1"/>
    <col min="8" max="10" width="9" style="33" customWidth="1"/>
    <col min="11" max="11" width="8.63333333333333" style="33" customWidth="1"/>
    <col min="12" max="35" width="8.09166666666667" style="33" customWidth="1"/>
    <col min="36" max="36" width="9.36666666666667" style="33" customWidth="1"/>
    <col min="37" max="37" width="8.90833333333333" style="33" customWidth="1"/>
    <col min="38" max="38" width="8.09166666666667" style="33" customWidth="1"/>
    <col min="39" max="39" width="9.36666666666667" style="33" customWidth="1"/>
    <col min="40" max="40" width="8.90833333333333" style="33" customWidth="1"/>
    <col min="41" max="42" width="8.45" style="33" customWidth="1"/>
    <col min="43" max="43" width="7" style="33" customWidth="1"/>
    <col min="44" max="44" width="8.45" style="33" customWidth="1"/>
    <col min="45" max="45" width="8.09166666666667" style="33" customWidth="1"/>
    <col min="46" max="46" width="7" style="33" customWidth="1"/>
    <col min="47" max="47" width="10.9083333333333" style="33" customWidth="1"/>
    <col min="48" max="52" width="8.09166666666667" style="33" customWidth="1"/>
    <col min="53" max="53" width="5.36666666666667" style="33" customWidth="1"/>
    <col min="54" max="54" width="10" style="33" customWidth="1"/>
    <col min="55" max="55" width="8.09166666666667" style="33" customWidth="1"/>
    <col min="56" max="16384" width="9.09166666666667" style="33"/>
  </cols>
  <sheetData>
    <row r="1" spans="1:55">
      <c r="A1" s="32" t="s">
        <v>100</v>
      </c>
    </row>
    <row r="2" ht="13.5" spans="1:55">
      <c r="A2" s="34"/>
      <c r="B2" s="35"/>
      <c r="C2" s="35"/>
      <c r="D2" s="35"/>
      <c r="E2" s="35"/>
      <c r="F2" s="35"/>
      <c r="H2" s="36" t="s">
        <v>101</v>
      </c>
    </row>
    <row r="3" s="30" customFormat="1" ht="13" customHeight="1" spans="1:55">
      <c r="A3" s="34"/>
      <c r="B3" s="37" t="s">
        <v>102</v>
      </c>
      <c r="C3" s="37" t="s">
        <v>103</v>
      </c>
      <c r="D3" s="37" t="s">
        <v>104</v>
      </c>
      <c r="E3" s="37" t="s">
        <v>105</v>
      </c>
      <c r="F3" s="38" t="s">
        <v>35</v>
      </c>
      <c r="G3" s="39"/>
      <c r="H3" s="40" t="s">
        <v>106</v>
      </c>
      <c r="I3" s="41" t="s">
        <v>107</v>
      </c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3" t="s">
        <v>43</v>
      </c>
      <c r="AP3" s="43"/>
      <c r="AQ3" s="43"/>
      <c r="AR3" s="43" t="s">
        <v>108</v>
      </c>
      <c r="AS3" s="43"/>
      <c r="AT3" s="43"/>
      <c r="AU3" s="43"/>
      <c r="AV3" s="43"/>
      <c r="AW3" s="43"/>
      <c r="AX3" s="43"/>
      <c r="AY3" s="43"/>
      <c r="AZ3" s="43"/>
      <c r="BA3" s="43"/>
      <c r="BB3" s="43" t="s">
        <v>109</v>
      </c>
      <c r="BC3" s="44" t="s">
        <v>110</v>
      </c>
    </row>
    <row r="4" s="30" customFormat="1" ht="61" customHeight="1" spans="1:55">
      <c r="B4" s="45"/>
      <c r="C4" s="45"/>
      <c r="D4" s="45"/>
      <c r="E4" s="45"/>
      <c r="F4" s="46" t="s">
        <v>111</v>
      </c>
      <c r="G4" s="46" t="s">
        <v>112</v>
      </c>
      <c r="H4" s="47"/>
      <c r="I4" s="48" t="s">
        <v>45</v>
      </c>
      <c r="J4" s="49" t="s">
        <v>49</v>
      </c>
      <c r="K4" s="49" t="s">
        <v>50</v>
      </c>
      <c r="L4" s="49" t="s">
        <v>51</v>
      </c>
      <c r="M4" s="49" t="s">
        <v>52</v>
      </c>
      <c r="N4" s="49" t="s">
        <v>53</v>
      </c>
      <c r="O4" s="49" t="s">
        <v>54</v>
      </c>
      <c r="P4" s="49" t="s">
        <v>55</v>
      </c>
      <c r="Q4" s="49" t="s">
        <v>56</v>
      </c>
      <c r="R4" s="49" t="s">
        <v>57</v>
      </c>
      <c r="S4" s="49" t="s">
        <v>58</v>
      </c>
      <c r="T4" s="49" t="s">
        <v>59</v>
      </c>
      <c r="U4" s="49" t="s">
        <v>60</v>
      </c>
      <c r="V4" s="49" t="s">
        <v>61</v>
      </c>
      <c r="W4" s="49" t="s">
        <v>62</v>
      </c>
      <c r="X4" s="49" t="s">
        <v>63</v>
      </c>
      <c r="Y4" s="49" t="s">
        <v>64</v>
      </c>
      <c r="Z4" s="49" t="s">
        <v>65</v>
      </c>
      <c r="AA4" s="49" t="s">
        <v>66</v>
      </c>
      <c r="AB4" s="49" t="s">
        <v>67</v>
      </c>
      <c r="AC4" s="49" t="s">
        <v>68</v>
      </c>
      <c r="AD4" s="49" t="s">
        <v>69</v>
      </c>
      <c r="AE4" s="49" t="s">
        <v>70</v>
      </c>
      <c r="AF4" s="49" t="s">
        <v>71</v>
      </c>
      <c r="AG4" s="49" t="s">
        <v>72</v>
      </c>
      <c r="AH4" s="49" t="s">
        <v>73</v>
      </c>
      <c r="AI4" s="49" t="s">
        <v>74</v>
      </c>
      <c r="AJ4" s="49" t="s">
        <v>75</v>
      </c>
      <c r="AK4" s="49" t="s">
        <v>76</v>
      </c>
      <c r="AL4" s="50" t="s">
        <v>77</v>
      </c>
      <c r="AM4" s="49" t="s">
        <v>78</v>
      </c>
      <c r="AN4" s="49" t="s">
        <v>79</v>
      </c>
      <c r="AO4" s="48" t="s">
        <v>45</v>
      </c>
      <c r="AP4" s="50" t="s">
        <v>93</v>
      </c>
      <c r="AQ4" s="49" t="s">
        <v>94</v>
      </c>
      <c r="AR4" s="48" t="s">
        <v>45</v>
      </c>
      <c r="AS4" s="49" t="s">
        <v>113</v>
      </c>
      <c r="AT4" s="49" t="s">
        <v>114</v>
      </c>
      <c r="AU4" s="49" t="s">
        <v>115</v>
      </c>
      <c r="AV4" s="49" t="s">
        <v>116</v>
      </c>
      <c r="AW4" s="49" t="s">
        <v>117</v>
      </c>
      <c r="AX4" s="49" t="s">
        <v>118</v>
      </c>
      <c r="AY4" s="49" t="s">
        <v>119</v>
      </c>
      <c r="AZ4" s="49" t="s">
        <v>120</v>
      </c>
      <c r="BA4" s="49" t="s">
        <v>88</v>
      </c>
      <c r="BB4" s="48"/>
      <c r="BC4" s="51"/>
    </row>
    <row r="5" s="30" customFormat="1" ht="13.5" spans="1:55">
      <c r="A5" s="32"/>
      <c r="H5" s="52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4"/>
    </row>
    <row r="6" s="31" customFormat="1" spans="1:55">
      <c r="A6" s="55" t="s">
        <v>121</v>
      </c>
      <c r="H6" s="56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8"/>
    </row>
    <row r="7" s="31" customFormat="1" spans="1:55">
      <c r="A7" s="55"/>
      <c r="H7" s="59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0"/>
      <c r="AQ7" s="60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1"/>
    </row>
    <row r="8" s="31" customFormat="1" spans="1:55">
      <c r="A8" s="62"/>
      <c r="B8" s="63"/>
      <c r="C8" s="63"/>
      <c r="D8" s="63"/>
      <c r="E8" s="63"/>
      <c r="F8" s="63"/>
      <c r="G8" s="63"/>
      <c r="H8" s="59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1"/>
    </row>
    <row r="9" s="31" customFormat="1" spans="1:55">
      <c r="A9" s="62"/>
      <c r="H9" s="59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1"/>
    </row>
    <row r="10" s="31" customFormat="1" spans="1:55">
      <c r="A10" s="55"/>
      <c r="B10" s="31"/>
      <c r="C10" s="31">
        <f>PN!B8</f>
        <v>0</v>
      </c>
      <c r="D10" s="63" t="s">
        <v>122</v>
      </c>
      <c r="E10" s="31">
        <f>China!B9</f>
        <v>0</v>
      </c>
      <c r="F10" s="64">
        <f ca="1">China!B2</f>
        <v>46204</v>
      </c>
      <c r="G10" s="64">
        <f ca="1">China!C2</f>
        <v>46234</v>
      </c>
      <c r="H10" s="59">
        <f>I10+AO10-AR10-BB10-BC10</f>
        <v>0</v>
      </c>
      <c r="I10" s="60">
        <f>SUM(J10:AN10)</f>
        <v>0</v>
      </c>
      <c r="J10" s="60">
        <f>'China-L'!C2</f>
        <v>0</v>
      </c>
      <c r="K10" s="60">
        <f>'China-L'!D2</f>
        <v>0</v>
      </c>
      <c r="L10" s="60">
        <f>'China-L'!E2</f>
        <v>0</v>
      </c>
      <c r="M10" s="60">
        <f>'China-L'!F2</f>
        <v>0</v>
      </c>
      <c r="N10" s="60">
        <f>'China-L'!G2</f>
        <v>0</v>
      </c>
      <c r="O10" s="60">
        <f>'China-L'!H2</f>
        <v>0</v>
      </c>
      <c r="P10" s="60">
        <f>'China-L'!I2</f>
        <v>0</v>
      </c>
      <c r="Q10" s="60">
        <f>'China-L'!J2</f>
        <v>0</v>
      </c>
      <c r="R10" s="60">
        <f>'China-L'!K2</f>
        <v>0</v>
      </c>
      <c r="S10" s="60">
        <f>'China-L'!L2</f>
        <v>0</v>
      </c>
      <c r="T10" s="60">
        <f>'China-L'!M2</f>
        <v>0</v>
      </c>
      <c r="U10" s="60">
        <f>'China-L'!N2</f>
        <v>0</v>
      </c>
      <c r="V10" s="60">
        <f>'China-L'!O2</f>
        <v>0</v>
      </c>
      <c r="W10" s="60">
        <f>'China-L'!P2</f>
        <v>0</v>
      </c>
      <c r="X10" s="60">
        <f>'China-L'!Q2</f>
        <v>0</v>
      </c>
      <c r="Y10" s="60">
        <f>'China-L'!R2</f>
        <v>0</v>
      </c>
      <c r="Z10" s="60">
        <f>'China-L'!S2</f>
        <v>0</v>
      </c>
      <c r="AA10" s="60">
        <f>'China-L'!T2</f>
        <v>0</v>
      </c>
      <c r="AB10" s="60">
        <f>'China-L'!U2</f>
        <v>0</v>
      </c>
      <c r="AC10" s="60">
        <f>'China-L'!V2</f>
        <v>0</v>
      </c>
      <c r="AD10" s="60">
        <f>'China-L'!W2</f>
        <v>0</v>
      </c>
      <c r="AE10" s="60">
        <f>'China-L'!X2</f>
        <v>0</v>
      </c>
      <c r="AF10" s="60">
        <f>'China-L'!Y2</f>
        <v>0</v>
      </c>
      <c r="AG10" s="60">
        <f>'China-L'!AY2</f>
        <v>0</v>
      </c>
      <c r="AH10" s="60">
        <f>'China-L'!BF2</f>
        <v>0</v>
      </c>
      <c r="AI10" s="60">
        <f>'China-L'!BJ2</f>
        <v>0</v>
      </c>
      <c r="AJ10" s="60">
        <f>'China-L'!BK2</f>
        <v>0</v>
      </c>
      <c r="AK10" s="60">
        <f>'China-L'!BL2</f>
        <v>0</v>
      </c>
      <c r="AL10" s="60">
        <f>'China-L'!BM2</f>
        <v>0</v>
      </c>
      <c r="AM10" s="60">
        <f>'China-L'!BO2</f>
        <v>0</v>
      </c>
      <c r="AN10" s="60">
        <f>'China-L'!BQ2</f>
        <v>0</v>
      </c>
      <c r="AO10" s="60">
        <f>SUM(AP10:AQ10)</f>
        <v>0</v>
      </c>
      <c r="AP10" s="60">
        <f>'China-L'!BH2</f>
        <v>0</v>
      </c>
      <c r="AQ10" s="60">
        <f>'China-L'!BI2</f>
        <v>0</v>
      </c>
      <c r="AR10" s="60">
        <f>SUM(AS10:BA10)</f>
        <v>0</v>
      </c>
      <c r="AS10" s="60">
        <f>'China-L'!Z2</f>
        <v>0</v>
      </c>
      <c r="AT10" s="60">
        <f>'China-L'!AA2</f>
        <v>0</v>
      </c>
      <c r="AU10" s="60">
        <f>'China-L'!AB2</f>
        <v>0</v>
      </c>
      <c r="AV10" s="60">
        <f>'China-L'!AC2</f>
        <v>0</v>
      </c>
      <c r="AW10" s="60">
        <f>'China-L'!AD2</f>
        <v>0</v>
      </c>
      <c r="AX10" s="60">
        <f>'China-L'!AE2</f>
        <v>0</v>
      </c>
      <c r="AY10" s="60">
        <f>'China-L'!AF2</f>
        <v>0</v>
      </c>
      <c r="AZ10" s="60">
        <f>'China-L'!AG2</f>
        <v>0</v>
      </c>
      <c r="BA10" s="60">
        <f>'China-L'!AH2</f>
        <v>0</v>
      </c>
      <c r="BB10" s="60"/>
      <c r="BC10" s="61">
        <f>'China-L'!AX2+'China-L'!BN2+'China-L'!BP2+'China-L'!BR2</f>
        <v>0</v>
      </c>
    </row>
    <row r="11" s="31" customFormat="1" spans="1:55">
      <c r="A11" s="55"/>
      <c r="G11" s="63"/>
      <c r="H11" s="59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1"/>
    </row>
    <row r="12" s="31" customFormat="1" spans="1:55">
      <c r="A12" s="55"/>
      <c r="H12" s="59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1"/>
    </row>
    <row r="13" s="31" customFormat="1" spans="1:55">
      <c r="A13" s="55"/>
      <c r="H13" s="59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1"/>
    </row>
    <row r="14" s="31" customFormat="1" spans="1:55">
      <c r="A14" s="55"/>
      <c r="H14" s="59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1"/>
    </row>
    <row r="15" s="31" customFormat="1" spans="1:55">
      <c r="A15" s="55"/>
      <c r="H15" s="59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1"/>
    </row>
    <row r="16" s="31" customFormat="1" spans="1:55">
      <c r="A16" s="55"/>
      <c r="H16" s="59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1"/>
    </row>
    <row r="17" s="31" customFormat="1" spans="1:55">
      <c r="A17" s="55"/>
      <c r="H17" s="59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1"/>
    </row>
    <row r="18" s="31" customFormat="1" spans="1:55">
      <c r="A18" s="55"/>
      <c r="H18" s="59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1"/>
    </row>
    <row r="19" s="31" customFormat="1" ht="13.5" spans="1:55">
      <c r="A19" s="55"/>
      <c r="H19" s="65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66"/>
      <c r="AX19" s="66"/>
      <c r="AY19" s="66"/>
      <c r="AZ19" s="66"/>
      <c r="BA19" s="66"/>
      <c r="BB19" s="66"/>
      <c r="BC19" s="67"/>
    </row>
  </sheetData>
  <mergeCells count="11">
    <mergeCell ref="F3:G3"/>
    <mergeCell ref="I3:AN3"/>
    <mergeCell ref="AO3:AQ3"/>
    <mergeCell ref="AR3:BA3"/>
    <mergeCell ref="B3:B4"/>
    <mergeCell ref="C3:C4"/>
    <mergeCell ref="D3:D4"/>
    <mergeCell ref="E3:E4"/>
    <mergeCell ref="H3:H4"/>
    <mergeCell ref="BB3:BB4"/>
    <mergeCell ref="BC3:BC4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G1001"/>
  <sheetViews>
    <sheetView zoomScale="110" zoomScaleNormal="110" workbookViewId="0">
      <selection activeCell="F23" sqref="F23"/>
    </sheetView>
  </sheetViews>
  <sheetFormatPr defaultColWidth="9.09166666666667" defaultRowHeight="14.25"/>
  <cols>
    <col min="1" max="1" width="14.0916666666667" style="3" customWidth="1"/>
    <col min="2" max="2" width="7" style="3" customWidth="1"/>
    <col min="3" max="3" width="10.45" style="3" customWidth="1"/>
    <col min="4" max="4" width="7" style="3" customWidth="1"/>
    <col min="5" max="6" width="6" style="3" customWidth="1"/>
    <col min="7" max="7" width="12.8166666666667" style="3" customWidth="1"/>
    <col min="8" max="10" width="8.63333333333333" style="3" customWidth="1"/>
    <col min="11" max="11" width="7" style="3" customWidth="1"/>
    <col min="12" max="14" width="6" style="3" customWidth="1"/>
    <col min="15" max="15" width="9.45" style="3" customWidth="1"/>
    <col min="16" max="16" width="6" style="3" customWidth="1"/>
    <col min="17" max="17" width="7" style="3" customWidth="1"/>
    <col min="18" max="20" width="6" style="3" customWidth="1"/>
    <col min="21" max="22" width="7" style="3" customWidth="1"/>
    <col min="23" max="24" width="6" style="3" customWidth="1"/>
    <col min="25" max="25" width="7" style="3" customWidth="1"/>
    <col min="26" max="26" width="9.45" style="3" customWidth="1"/>
    <col min="27" max="27" width="8" style="3" customWidth="1"/>
    <col min="28" max="28" width="7" style="3" customWidth="1"/>
    <col min="29" max="29" width="9.45" style="3" customWidth="1"/>
    <col min="30" max="30" width="8.45" style="3" customWidth="1"/>
    <col min="31" max="32" width="7" style="3" customWidth="1"/>
    <col min="33" max="34" width="6" style="3" customWidth="1"/>
    <col min="35" max="35" width="7" style="3" customWidth="1"/>
    <col min="36" max="36" width="10.45" style="3" customWidth="1"/>
    <col min="37" max="37" width="9.45" style="3" customWidth="1"/>
    <col min="38" max="38" width="11.45" style="3" customWidth="1"/>
    <col min="39" max="41" width="10.45" style="3" customWidth="1"/>
    <col min="42" max="42" width="7" style="3" customWidth="1"/>
    <col min="43" max="43" width="10.45" style="3" customWidth="1"/>
    <col min="44" max="44" width="7" style="3" customWidth="1"/>
    <col min="45" max="45" width="10.45" style="3" customWidth="1"/>
    <col min="46" max="46" width="7" style="3" customWidth="1"/>
    <col min="47" max="47" width="11.9083333333333" style="3" customWidth="1"/>
    <col min="48" max="48" width="11.45" style="3" customWidth="1"/>
    <col min="49" max="49" width="10.45" style="3" customWidth="1"/>
    <col min="50" max="50" width="9.45" style="3" customWidth="1"/>
    <col min="51" max="52" width="7" style="3" customWidth="1"/>
    <col min="53" max="54" width="11.45" style="3" customWidth="1"/>
    <col min="55" max="56" width="10.45" style="3" customWidth="1"/>
    <col min="57" max="58" width="7" style="3" customWidth="1"/>
    <col min="59" max="59" width="8.45" style="3" customWidth="1"/>
    <col min="60" max="60" width="8" style="3" customWidth="1"/>
    <col min="61" max="62" width="7" style="3" customWidth="1"/>
    <col min="63" max="64" width="6" style="3" customWidth="1"/>
    <col min="65" max="66" width="7.63333333333333" style="3" customWidth="1"/>
    <col min="67" max="67" width="7.45" style="3" customWidth="1"/>
    <col min="68" max="68" width="8.45" style="3" customWidth="1"/>
    <col min="69" max="70" width="7" style="3" customWidth="1"/>
    <col min="71" max="73" width="10.45" style="3" customWidth="1"/>
    <col min="74" max="75" width="9.45" style="3" customWidth="1"/>
    <col min="76" max="78" width="8" style="3" customWidth="1"/>
    <col min="79" max="79" width="7" style="3" customWidth="1"/>
    <col min="80" max="80" width="9.45" style="3" customWidth="1"/>
    <col min="81" max="81" width="8.45" style="3" customWidth="1"/>
    <col min="82" max="82" width="10.45" style="3" customWidth="1"/>
    <col min="83" max="83" width="7" style="3" customWidth="1"/>
    <col min="84" max="84" width="5.45" style="3" customWidth="1"/>
    <col min="85" max="85" width="7" style="3" customWidth="1"/>
    <col min="86" max="86" width="5.45" style="3" customWidth="1"/>
    <col min="87" max="87" width="7.45" style="3" customWidth="1"/>
    <col min="88" max="88" width="6.45" style="3" customWidth="1"/>
    <col min="89" max="89" width="7" style="3" customWidth="1"/>
    <col min="90" max="90" width="4.63333333333333" style="3" customWidth="1"/>
    <col min="91" max="97" width="9.09166666666667" style="3"/>
    <col min="98" max="98" width="10.3666666666667" style="3" customWidth="1"/>
    <col min="99" max="99" width="11.3666666666667" style="3" customWidth="1"/>
    <col min="100" max="120" width="9.09166666666667" style="3"/>
    <col min="121" max="122" width="12.3666666666667" style="3" customWidth="1"/>
    <col min="123" max="131" width="9.09166666666667" style="3"/>
    <col min="132" max="132" width="11.9083333333333" style="3" customWidth="1"/>
    <col min="133" max="159" width="9.09166666666667" style="3"/>
    <col min="160" max="169" width="9.09166666666667" style="3" hidden="1" customWidth="1"/>
    <col min="170" max="16384" width="9.09166666666667" style="3"/>
  </cols>
  <sheetData>
    <row r="1" s="1" customFormat="1" ht="36" spans="1:241">
      <c r="A1" s="4" t="s">
        <v>123</v>
      </c>
      <c r="B1" s="1" t="s">
        <v>124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113</v>
      </c>
      <c r="AA1" s="5" t="s">
        <v>114</v>
      </c>
      <c r="AB1" s="5" t="s">
        <v>115</v>
      </c>
      <c r="AC1" s="5" t="s">
        <v>116</v>
      </c>
      <c r="AD1" s="5" t="s">
        <v>117</v>
      </c>
      <c r="AE1" s="5" t="s">
        <v>118</v>
      </c>
      <c r="AF1" s="6" t="s">
        <v>119</v>
      </c>
      <c r="AG1" s="7" t="s">
        <v>120</v>
      </c>
      <c r="AH1" s="8" t="s">
        <v>88</v>
      </c>
      <c r="AI1" s="5" t="s">
        <v>91</v>
      </c>
      <c r="AJ1" s="8" t="s">
        <v>125</v>
      </c>
      <c r="AK1" s="8" t="s">
        <v>126</v>
      </c>
      <c r="AL1" s="9" t="s">
        <v>127</v>
      </c>
      <c r="AM1" s="9" t="s">
        <v>128</v>
      </c>
      <c r="AN1" s="9" t="s">
        <v>129</v>
      </c>
      <c r="AO1" s="9" t="s">
        <v>130</v>
      </c>
      <c r="AP1" s="9" t="s">
        <v>131</v>
      </c>
      <c r="AQ1" s="9" t="s">
        <v>132</v>
      </c>
      <c r="AR1" s="9" t="s">
        <v>133</v>
      </c>
      <c r="AS1" s="9" t="s">
        <v>134</v>
      </c>
      <c r="AT1" s="9" t="s">
        <v>135</v>
      </c>
      <c r="AU1" s="9" t="s">
        <v>136</v>
      </c>
      <c r="AV1" s="9" t="s">
        <v>137</v>
      </c>
      <c r="AW1" s="9" t="s">
        <v>138</v>
      </c>
      <c r="AX1" s="10" t="s">
        <v>139</v>
      </c>
      <c r="AY1" s="5" t="s">
        <v>72</v>
      </c>
      <c r="AZ1" s="8" t="s">
        <v>140</v>
      </c>
      <c r="BA1" s="9" t="s">
        <v>141</v>
      </c>
      <c r="BB1" s="9" t="s">
        <v>142</v>
      </c>
      <c r="BC1" s="8" t="s">
        <v>143</v>
      </c>
      <c r="BD1" s="9" t="s">
        <v>144</v>
      </c>
      <c r="BE1" s="10" t="s">
        <v>92</v>
      </c>
      <c r="BF1" s="5" t="s">
        <v>73</v>
      </c>
      <c r="BG1" s="8" t="s">
        <v>145</v>
      </c>
      <c r="BH1" s="11" t="s">
        <v>93</v>
      </c>
      <c r="BI1" s="11" t="s">
        <v>94</v>
      </c>
      <c r="BJ1" s="12" t="s">
        <v>74</v>
      </c>
      <c r="BK1" s="5" t="s">
        <v>75</v>
      </c>
      <c r="BL1" s="5" t="s">
        <v>76</v>
      </c>
      <c r="BM1" s="5" t="s">
        <v>77</v>
      </c>
      <c r="BN1" s="5" t="s">
        <v>146</v>
      </c>
      <c r="BO1" s="5" t="s">
        <v>78</v>
      </c>
      <c r="BP1" s="5" t="s">
        <v>147</v>
      </c>
      <c r="BQ1" s="5" t="s">
        <v>79</v>
      </c>
      <c r="BR1" s="5" t="s">
        <v>148</v>
      </c>
      <c r="BS1" s="8" t="s">
        <v>149</v>
      </c>
      <c r="BT1" s="8" t="s">
        <v>150</v>
      </c>
      <c r="BU1" s="8" t="s">
        <v>151</v>
      </c>
      <c r="BV1" s="13" t="s">
        <v>80</v>
      </c>
      <c r="BW1" s="13" t="s">
        <v>81</v>
      </c>
      <c r="BX1" s="13" t="s">
        <v>82</v>
      </c>
      <c r="BY1" s="13" t="s">
        <v>83</v>
      </c>
      <c r="BZ1" s="13" t="s">
        <v>84</v>
      </c>
      <c r="CA1" s="13" t="s">
        <v>85</v>
      </c>
      <c r="CB1" s="13" t="s">
        <v>86</v>
      </c>
      <c r="CC1" s="13" t="s">
        <v>87</v>
      </c>
      <c r="CD1" s="14" t="s">
        <v>152</v>
      </c>
      <c r="CE1" s="15" t="s">
        <v>153</v>
      </c>
      <c r="CF1" s="13" t="s">
        <v>88</v>
      </c>
      <c r="CG1" s="13" t="s">
        <v>89</v>
      </c>
      <c r="CK1" s="16" t="s">
        <v>90</v>
      </c>
    </row>
    <row r="2" s="2" customFormat="1" ht="12" spans="1:241">
      <c r="A2" s="17"/>
      <c r="B2" s="18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20"/>
      <c r="X2" s="20"/>
      <c r="Y2" s="20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21"/>
      <c r="AU2" s="22"/>
      <c r="AV2" s="19"/>
      <c r="AW2" s="19"/>
      <c r="AX2" s="19"/>
      <c r="AY2" s="20"/>
      <c r="AZ2" s="20"/>
      <c r="BA2" s="20"/>
      <c r="BB2" s="20"/>
      <c r="BC2" s="20"/>
      <c r="BD2" s="20"/>
      <c r="BE2" s="19"/>
      <c r="BF2" s="19"/>
      <c r="BG2" s="19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4"/>
      <c r="BT2" s="20"/>
      <c r="BU2" s="20"/>
      <c r="BV2" s="19"/>
      <c r="BW2" s="19"/>
      <c r="BX2" s="19"/>
      <c r="BY2" s="19"/>
      <c r="BZ2" s="19"/>
      <c r="CA2" s="19"/>
      <c r="CB2" s="19"/>
      <c r="CC2" s="19"/>
      <c r="CD2" s="19"/>
      <c r="CE2" s="21"/>
      <c r="CF2" s="25"/>
      <c r="CG2" s="25"/>
      <c r="CH2" s="25"/>
      <c r="CI2" s="25"/>
      <c r="CJ2" s="25"/>
      <c r="CK2" s="25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  <c r="GR2" s="26"/>
      <c r="GS2" s="26"/>
      <c r="GT2" s="26"/>
      <c r="GU2" s="26"/>
      <c r="GV2" s="26"/>
      <c r="GW2" s="26"/>
      <c r="GX2" s="26"/>
      <c r="GY2" s="26"/>
      <c r="GZ2" s="26"/>
      <c r="HA2" s="26"/>
      <c r="HB2" s="26"/>
      <c r="HC2" s="26"/>
      <c r="HD2" s="26"/>
      <c r="HE2" s="26"/>
      <c r="HF2" s="26"/>
      <c r="HG2" s="26"/>
      <c r="HH2" s="26"/>
      <c r="HI2" s="26"/>
      <c r="HJ2" s="26"/>
      <c r="HK2" s="26"/>
      <c r="HL2" s="26"/>
      <c r="HM2" s="26"/>
      <c r="HN2" s="26"/>
      <c r="HO2" s="26"/>
      <c r="HP2" s="26"/>
      <c r="HQ2" s="26"/>
      <c r="HR2" s="26"/>
      <c r="HS2" s="26"/>
      <c r="HT2" s="26"/>
      <c r="HU2" s="26"/>
      <c r="HV2" s="26"/>
      <c r="HW2" s="26"/>
      <c r="HX2" s="26"/>
      <c r="HY2" s="26"/>
      <c r="HZ2" s="26"/>
      <c r="IA2" s="26"/>
      <c r="IB2" s="26"/>
      <c r="IC2" s="26"/>
      <c r="ID2" s="26"/>
      <c r="IE2" s="26"/>
      <c r="IF2" s="26"/>
      <c r="IG2" s="26"/>
    </row>
    <row r="7" spans="1:241">
      <c r="A7" s="27"/>
      <c r="I7" s="28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  <c r="BT7" s="27"/>
      <c r="BU7" s="27"/>
      <c r="BV7" s="27"/>
      <c r="BW7" s="27"/>
      <c r="BX7" s="27"/>
      <c r="BY7" s="27"/>
      <c r="BZ7" s="27"/>
      <c r="CA7" s="27"/>
      <c r="CB7" s="27"/>
      <c r="CC7" s="27"/>
      <c r="CD7" s="27"/>
      <c r="CE7" s="27"/>
      <c r="CF7" s="27"/>
      <c r="CG7" s="27"/>
      <c r="CH7" s="27"/>
      <c r="CI7" s="27"/>
      <c r="CJ7" s="27"/>
      <c r="CK7" s="27"/>
      <c r="CL7" s="27"/>
      <c r="CM7" s="27"/>
      <c r="CN7" s="27"/>
      <c r="CO7" s="27"/>
      <c r="CP7" s="27"/>
      <c r="CQ7" s="27"/>
      <c r="CR7" s="27"/>
      <c r="CS7" s="27"/>
      <c r="CT7" s="27"/>
      <c r="CU7" s="27"/>
      <c r="CV7" s="27"/>
      <c r="CW7" s="27"/>
      <c r="CX7" s="27"/>
      <c r="CY7" s="27"/>
      <c r="CZ7" s="27"/>
      <c r="DA7" s="27"/>
      <c r="DB7" s="27"/>
      <c r="DC7" s="27"/>
      <c r="DD7" s="27"/>
      <c r="DE7" s="27"/>
      <c r="DF7" s="27"/>
      <c r="DG7" s="27"/>
      <c r="DH7" s="27"/>
      <c r="DI7" s="27"/>
      <c r="DJ7" s="27"/>
      <c r="DK7" s="27"/>
      <c r="DL7" s="27"/>
      <c r="DM7" s="27"/>
      <c r="DN7" s="27"/>
      <c r="DO7" s="27"/>
      <c r="DP7" s="27"/>
      <c r="DQ7" s="27"/>
      <c r="DR7" s="27"/>
      <c r="DS7" s="27"/>
      <c r="DT7" s="27"/>
      <c r="DU7" s="27"/>
      <c r="DV7" s="27"/>
      <c r="DW7" s="27"/>
      <c r="DX7" s="27"/>
      <c r="DY7" s="27"/>
      <c r="DZ7" s="27"/>
      <c r="EA7" s="27"/>
      <c r="EB7" s="27"/>
      <c r="EC7" s="27"/>
      <c r="ED7" s="27"/>
      <c r="EE7" s="27"/>
      <c r="EF7" s="27"/>
      <c r="EG7" s="27"/>
      <c r="EH7" s="27"/>
      <c r="EI7" s="27"/>
      <c r="EJ7" s="27"/>
      <c r="EK7" s="27"/>
      <c r="EL7" s="27"/>
      <c r="EM7" s="27"/>
      <c r="EN7" s="27"/>
      <c r="EO7" s="27"/>
      <c r="EP7" s="27"/>
      <c r="EQ7" s="27"/>
      <c r="ER7" s="27"/>
      <c r="ES7" s="27"/>
      <c r="ET7" s="27"/>
      <c r="EU7" s="27"/>
      <c r="EV7" s="27"/>
      <c r="EW7" s="27"/>
      <c r="EX7" s="27"/>
      <c r="EY7" s="27"/>
      <c r="EZ7" s="27"/>
      <c r="FA7" s="27"/>
      <c r="FB7" s="27"/>
      <c r="FC7" s="27"/>
      <c r="FE7" s="27"/>
      <c r="FF7" s="27"/>
      <c r="FG7" s="27"/>
      <c r="FH7" s="27"/>
      <c r="FI7" s="27"/>
      <c r="FJ7" s="27"/>
      <c r="FK7" s="27"/>
      <c r="FL7" s="27"/>
      <c r="FM7" s="27"/>
      <c r="FN7" s="27"/>
      <c r="FO7" s="27"/>
      <c r="FP7" s="27"/>
      <c r="FQ7" s="27"/>
      <c r="FR7" s="27"/>
      <c r="FW7" s="27"/>
      <c r="FX7" s="27"/>
      <c r="FY7" s="27"/>
      <c r="FZ7" s="27"/>
      <c r="GA7" s="27"/>
      <c r="GB7" s="27"/>
      <c r="GC7" s="27"/>
      <c r="GD7" s="27"/>
      <c r="GE7" s="27"/>
      <c r="GF7" s="27"/>
      <c r="GG7" s="27"/>
      <c r="GH7" s="27"/>
      <c r="GI7" s="27"/>
      <c r="GJ7" s="27"/>
      <c r="GK7" s="27"/>
      <c r="GL7" s="27"/>
      <c r="GM7" s="27"/>
      <c r="GN7" s="27"/>
      <c r="GO7" s="27"/>
      <c r="GP7" s="27"/>
      <c r="GQ7" s="27"/>
      <c r="GR7" s="27"/>
      <c r="GS7" s="27"/>
      <c r="GT7" s="27"/>
      <c r="GU7" s="27"/>
      <c r="GV7" s="27"/>
      <c r="GW7" s="27"/>
      <c r="GX7" s="27"/>
      <c r="GY7" s="28"/>
      <c r="GZ7" s="27"/>
      <c r="HA7" s="27"/>
      <c r="HB7" s="27"/>
      <c r="HC7" s="27"/>
      <c r="HD7" s="27"/>
      <c r="HE7" s="27"/>
      <c r="HF7" s="27"/>
      <c r="HG7" s="27"/>
      <c r="HL7" s="27"/>
      <c r="HM7" s="27"/>
      <c r="HN7" s="27"/>
      <c r="HO7" s="27"/>
      <c r="HP7" s="27"/>
      <c r="HQ7" s="27"/>
      <c r="HR7" s="27"/>
      <c r="HS7" s="27"/>
      <c r="HT7" s="27"/>
      <c r="HU7" s="27"/>
      <c r="HV7" s="27"/>
      <c r="HW7" s="27"/>
      <c r="HX7" s="27"/>
      <c r="HY7" s="27"/>
      <c r="HZ7" s="27"/>
      <c r="IA7" s="27"/>
      <c r="IB7" s="27"/>
      <c r="IG7" s="27"/>
    </row>
    <row r="19" spans="7:7">
      <c r="G19" s="29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21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Z2">
    <cfRule type="expression" dxfId="0" priority="1" stopIfTrue="1">
      <formula>$Z2&gt;73500</formula>
    </cfRule>
  </conditionalFormatting>
  <pageMargins left="0.7" right="0.7" top="0.75" bottom="0.75" header="0.3" footer="0.3"/>
  <pageSetup paperSize="1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CE6B9C76-E7EB-4DC9-BBD8-B8E28DDACBF1}">
  <ds:schemaRefs/>
</ds:datastoreItem>
</file>

<file path=customXml/itemProps2.xml><?xml version="1.0" encoding="utf-8"?>
<ds:datastoreItem xmlns:ds="http://schemas.openxmlformats.org/officeDocument/2006/customXml" ds:itemID="{126D959D-8E2B-408D-8DB8-AE45127B86C9}">
  <ds:schemaRefs/>
</ds:datastoreItem>
</file>

<file path=customXml/itemProps3.xml><?xml version="1.0" encoding="utf-8"?>
<ds:datastoreItem xmlns:ds="http://schemas.openxmlformats.org/officeDocument/2006/customXml" ds:itemID="{91C6BEBB-54C2-430E-A5D6-0EB4AD3B8C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PN</vt:lpstr>
      <vt:lpstr>China</vt:lpstr>
      <vt:lpstr>China EE</vt:lpstr>
      <vt:lpstr>China-L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ChunJie</dc:creator>
  <cp:lastModifiedBy>给我，高高的飞起来啊！！</cp:lastModifiedBy>
  <dcterms:created xsi:type="dcterms:W3CDTF">2018-12-11T19:06:00Z</dcterms:created>
  <dcterms:modified xsi:type="dcterms:W3CDTF">2026-07-29T08:01:41Z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0x010100AAA55CC3C3BD834BA343262FD5D71E76</vt:lpwstr>
  </property>
  <property fmtid="{D5CDD505-2E9C-101B-9397-08002B2CF9AE}" pid="3" name="WorkbookGuid">
    <vt:lpwstr>116d97b9-8c04-419d-8baa-7a189acc6451</vt:lpwstr>
  </property>
  <property fmtid="{D5CDD505-2E9C-101B-9397-08002B2CF9AE}" pid="4" name="MediaServiceImageTags">
    <vt:lpwstr/>
  </property>
  <property fmtid="{D5CDD505-2E9C-101B-9397-08002B2CF9AE}" pid="5" name="ICV">
    <vt:lpwstr>8A12126CEA1F49CF865D354A064E7783_13</vt:lpwstr>
  </property>
  <property fmtid="{D5CDD505-2E9C-101B-9397-08002B2CF9AE}" pid="6" name="KSOProductBuildVer">
    <vt:lpwstr>2052-12.1.0.28043</vt:lpwstr>
  </property>
  <property fmtid="{D5CDD505-2E9C-101B-9397-08002B2CF9AE}" pid="7" name="CalculationRule">
    <vt:i4>0</vt:i4>
  </property>
</Properties>
</file>