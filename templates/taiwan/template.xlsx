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eUp-工资哥All项目\转换\templates\taiwan\"/>
    </mc:Choice>
  </mc:AlternateContent>
  <bookViews>
    <workbookView windowWidth="27945" windowHeight="12255"/>
  </bookViews>
  <sheets>
    <sheet name="PN" sheetId="1" r:id="rId1"/>
    <sheet name="TW" sheetId="2" r:id="rId2"/>
    <sheet name="TW EE" sheetId="3" r:id="rId3"/>
    <sheet name="TW-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Bella Chung</author>
  </authors>
  <commentList>
    <comment ref="AY7" authorId="0">
      <text>
        <r>
          <rPr>
            <sz val="10"/>
            <rFont val="宋体"/>
            <charset val="134"/>
          </rPr>
          <t>Bella Chung:
No HI, charged if gross&gt;24000</t>
        </r>
      </text>
    </comment>
  </commentList>
</comments>
</file>

<file path=xl/sharedStrings.xml><?xml version="1.0" encoding="utf-8"?>
<sst xmlns="http://schemas.openxmlformats.org/spreadsheetml/2006/main" count="188" uniqueCount="145">
  <si>
    <t>NNRoad – Employer of Record, Payroll Worldwide</t>
  </si>
  <si>
    <t>333 W San Carlos St., Suite 600, San Jose, CA 95113, USA</t>
  </si>
  <si>
    <t>USA: +1 (669) 377-5080 | www.NNRoad.com</t>
  </si>
  <si>
    <t>INVOICE</t>
  </si>
  <si>
    <t>Bill to:</t>
  </si>
  <si>
    <t>Company name:</t>
  </si>
  <si>
    <t>Currency</t>
  </si>
  <si>
    <t>Client ID:</t>
  </si>
  <si>
    <t>Invoice number</t>
  </si>
  <si>
    <t>Address:</t>
  </si>
  <si>
    <t>Invoice date</t>
  </si>
  <si>
    <t>Due date</t>
  </si>
  <si>
    <t>Description</t>
  </si>
  <si>
    <t>Approx. In USD*</t>
  </si>
  <si>
    <t>EOR/PEO Cost</t>
  </si>
  <si>
    <t>Service Fee</t>
  </si>
  <si>
    <t xml:space="preserve">EOR/PEO Service Cost		</t>
  </si>
  <si>
    <t>EOR/PEO Service Cost</t>
  </si>
  <si>
    <t xml:space="preserve">Outstanding payment </t>
  </si>
  <si>
    <t xml:space="preserve">FX difference </t>
  </si>
  <si>
    <t xml:space="preserve">Interests of delay </t>
  </si>
  <si>
    <t xml:space="preserve">Bank Charges </t>
  </si>
  <si>
    <t xml:space="preserve">Sub Total (Excluding Tax)		</t>
  </si>
  <si>
    <t>Tax</t>
  </si>
  <si>
    <t xml:space="preserve">Total		</t>
  </si>
  <si>
    <t xml:space="preserve">Please pay the Invoice in FULL AMOUNT </t>
  </si>
  <si>
    <t>Beneficiary: NNROAD, INC.
Bank Name: Chase Bank
Bank Account: 132827913
Bank Add.: 690 River Oaks Parkway Ste A, San Jose, CA 95134, USA</t>
  </si>
  <si>
    <t xml:space="preserve">
SWIFT BIC (international transfer): CHASUS33XXX
Routing Number (domestic wire transfer): 021000021
Routing Number (domestic ACH and direct deposit): 322271627</t>
  </si>
  <si>
    <t>Notes:</t>
  </si>
  <si>
    <t>1. Please ensure that you include the Invoice Number when making your payment. This will help us accurately process and allocate your payment .</t>
  </si>
  <si>
    <t>2. This document becomes a Tax Invoice/Receipt upon payment. Please retain a copy for your records.</t>
  </si>
  <si>
    <t>3. This is a computer generated document.  No Signature required.</t>
  </si>
  <si>
    <t>TW</t>
  </si>
  <si>
    <t>Pay Period</t>
  </si>
  <si>
    <t>ER</t>
  </si>
  <si>
    <t>Sum</t>
  </si>
  <si>
    <t>Business
Tax</t>
  </si>
  <si>
    <t>Management Fee
Fee</t>
  </si>
  <si>
    <t>Gross Salary</t>
  </si>
  <si>
    <t>Mandatory Contribution</t>
  </si>
  <si>
    <t>Expense Claim</t>
  </si>
  <si>
    <t>Subtotal</t>
  </si>
  <si>
    <t>Recurring
Fee</t>
  </si>
  <si>
    <t>Expense
Fee</t>
  </si>
  <si>
    <t>Basic
Salary</t>
  </si>
  <si>
    <t>Salary
Adjustment</t>
  </si>
  <si>
    <t>OT</t>
  </si>
  <si>
    <t>Allw- Phone/ Communication</t>
  </si>
  <si>
    <t>Allw 
Transportation</t>
  </si>
  <si>
    <t>Back Pay</t>
  </si>
  <si>
    <t>伙食津貼Allw Meal</t>
  </si>
  <si>
    <t>Remote Stipend</t>
  </si>
  <si>
    <t>病假扣薪
Sick Leave
(half pay)</t>
  </si>
  <si>
    <t>NPL Hours</t>
  </si>
  <si>
    <t>No Pay Leave</t>
  </si>
  <si>
    <t>Bonus VB</t>
  </si>
  <si>
    <t>Incentives</t>
  </si>
  <si>
    <t>特休結算
Untaken AL</t>
  </si>
  <si>
    <t>資遣費
Severance</t>
  </si>
  <si>
    <t>ER insurance</t>
  </si>
  <si>
    <t>Expense
Claim</t>
  </si>
  <si>
    <t>(NTD)</t>
  </si>
  <si>
    <t>Other Fee</t>
  </si>
  <si>
    <t>Interests of delay</t>
  </si>
  <si>
    <t>Bank Charges</t>
  </si>
  <si>
    <t xml:space="preserve">Invoice adjustment </t>
  </si>
  <si>
    <t>TW EE</t>
  </si>
  <si>
    <t>EE</t>
  </si>
  <si>
    <t>Client Code</t>
  </si>
  <si>
    <t>Client Name</t>
  </si>
  <si>
    <t>EE Code</t>
  </si>
  <si>
    <t>EE Name</t>
  </si>
  <si>
    <t>Net
Income</t>
  </si>
  <si>
    <t>Deduction</t>
  </si>
  <si>
    <t>IIT</t>
  </si>
  <si>
    <t>From</t>
  </si>
  <si>
    <t>To</t>
  </si>
  <si>
    <t>伙食津貼  Allw Meal</t>
  </si>
  <si>
    <t>LI</t>
  </si>
  <si>
    <t>Pension</t>
  </si>
  <si>
    <t>HI</t>
  </si>
  <si>
    <t>2G HI</t>
  </si>
  <si>
    <t>EOR/PEO(NTD)</t>
  </si>
  <si>
    <t>NNRoad</t>
  </si>
  <si>
    <t>Payroll for the month of</t>
  </si>
  <si>
    <t>Overtime Payment</t>
  </si>
  <si>
    <t>Start Date&gt;</t>
  </si>
  <si>
    <t>End Date&gt;</t>
  </si>
  <si>
    <t>Pay Items</t>
  </si>
  <si>
    <t xml:space="preserve">Overtime Details </t>
  </si>
  <si>
    <t>Social Insurance Grading</t>
  </si>
  <si>
    <t>EE Dedution</t>
  </si>
  <si>
    <t>ER Insurance contribution</t>
  </si>
  <si>
    <t>BU</t>
  </si>
  <si>
    <t>CN Name</t>
  </si>
  <si>
    <t>EN Name</t>
  </si>
  <si>
    <t xml:space="preserve">Position </t>
  </si>
  <si>
    <t>Start Date</t>
  </si>
  <si>
    <t>End Date</t>
  </si>
  <si>
    <t>FT/PT</t>
  </si>
  <si>
    <t>Full Pay/Hourly Rate</t>
  </si>
  <si>
    <t>Monthly
Basic Salary</t>
  </si>
  <si>
    <t>Allw Meal</t>
  </si>
  <si>
    <t>Employment day/Hours Worked</t>
  </si>
  <si>
    <t>薪資
Basic Salary</t>
  </si>
  <si>
    <t>病假時數 Sick Leave Hours</t>
  </si>
  <si>
    <t>報帳
Reimb Claim</t>
  </si>
  <si>
    <t>加班費
Overtime Payment</t>
  </si>
  <si>
    <t>Hr (1.34x)</t>
  </si>
  <si>
    <t>OT Payment (1.34x)</t>
  </si>
  <si>
    <t>Hr (1.67x)</t>
  </si>
  <si>
    <t>OT Payment (1.67x)</t>
  </si>
  <si>
    <t>Hr (1x)</t>
  </si>
  <si>
    <t>OT Payment (1x)</t>
  </si>
  <si>
    <t>Hr (2.67x)</t>
  </si>
  <si>
    <t>OT Payment (2.67x)</t>
  </si>
  <si>
    <t>勞保級距
Insured Salary Grading - LI</t>
  </si>
  <si>
    <t>勞退級距 Pension Salary Grading</t>
  </si>
  <si>
    <t>健保投保級距Insured Salary Grading - HI</t>
  </si>
  <si>
    <t>健保眷屬
HI Dependent (person)</t>
  </si>
  <si>
    <t>勞保投保天數
LI Days</t>
  </si>
  <si>
    <t>所得稅代扣
Withholding Tax</t>
  </si>
  <si>
    <t>勞保自付
LI EE</t>
  </si>
  <si>
    <t>勞保自付(調整)
LI EE 1T</t>
  </si>
  <si>
    <t>勞退自提
Pension EE</t>
  </si>
  <si>
    <t>勞退自提 (調整)
Pension EE 1T</t>
  </si>
  <si>
    <t>健保自付
HI EE</t>
  </si>
  <si>
    <t>健保自付(調整)
HI EE 1T</t>
  </si>
  <si>
    <t>健保眷屬
HI
Dep</t>
  </si>
  <si>
    <t>二代健保
自付
2G HI EE</t>
  </si>
  <si>
    <t>Gross Taxable Income</t>
  </si>
  <si>
    <t>Net Salary</t>
  </si>
  <si>
    <t>勞保雇主 
LI ER</t>
  </si>
  <si>
    <t>勞保雇主
LI ER
1T</t>
  </si>
  <si>
    <t>勞退雇主
Pension ER 6%</t>
  </si>
  <si>
    <t>勞退雇主
Pension 
ER 1T</t>
  </si>
  <si>
    <t>健保雇主
HI ER</t>
  </si>
  <si>
    <t>健保雇主
HI ER
1T</t>
  </si>
  <si>
    <t>二代健保
雇主
2G HI ER</t>
  </si>
  <si>
    <t>二代健保
雇主
2G HI ER 
1T</t>
  </si>
  <si>
    <t>團保
GI</t>
  </si>
  <si>
    <t>Gross Salary
(payable)</t>
  </si>
  <si>
    <t>ER Insurance</t>
  </si>
  <si>
    <t>Operation 
Fee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</si>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</sst>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[$-409]d\-mmm\-yy;@"/>
    <numFmt numFmtId="178" formatCode="#,##0.0_);[Red]\(#,##0.0\)"/>
    <numFmt numFmtId="179" formatCode="#,##0.00_ "/>
    <numFmt numFmtId="180" formatCode="_(&quot;$&quot;* #,##0.00_);_(&quot;$&quot;* \(#,##0.00\);_(&quot;$&quot;* &quot;-&quot;??_);_(@_)"/>
  </numFmts>
  <fonts count="57">
    <font>
      <sz val="11"/>
      <color theme="1"/>
      <name val="等线"/>
      <charset val="134"/>
      <scheme val="minor"/>
    </font>
    <font>
      <sz val="10"/>
      <color theme="1"/>
      <name val="Calibri"/>
      <charset val="134"/>
    </font>
    <font>
      <sz val="10"/>
      <name val="Calibri"/>
      <charset val="134"/>
    </font>
    <font>
      <sz val="10"/>
      <color indexed="9"/>
      <name val="Calibri"/>
      <charset val="134"/>
    </font>
    <font>
      <sz val="11"/>
      <name val="Calibri"/>
      <charset val="134"/>
    </font>
    <font>
      <b/>
      <sz val="11"/>
      <name val="Calibri"/>
      <charset val="134"/>
    </font>
    <font>
      <b/>
      <sz val="10"/>
      <color theme="1"/>
      <name val="Calibri"/>
      <charset val="134"/>
    </font>
    <font>
      <sz val="10"/>
      <color rgb="FFFF0000"/>
      <name val="細明體"/>
      <charset val="136"/>
    </font>
    <font>
      <sz val="10"/>
      <color theme="1"/>
      <name val="細明體"/>
      <charset val="136"/>
    </font>
    <font>
      <sz val="10"/>
      <color rgb="FFC00000"/>
      <name val="Calibri"/>
      <charset val="134"/>
    </font>
    <font>
      <b/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theme="1"/>
      <name val="等线"/>
      <charset val="134"/>
      <scheme val="minor"/>
    </font>
    <font>
      <sz val="8"/>
      <color theme="0" tint="-0.499984740745262"/>
      <name val="等线"/>
      <charset val="134"/>
      <scheme val="minor"/>
    </font>
    <font>
      <b/>
      <sz val="11"/>
      <name val="等线"/>
      <charset val="134"/>
      <scheme val="minor"/>
    </font>
    <font>
      <i/>
      <sz val="8"/>
      <color theme="1"/>
      <name val="等线"/>
      <charset val="134"/>
      <scheme val="minor"/>
    </font>
    <font>
      <b/>
      <sz val="8"/>
      <color theme="1"/>
      <name val="等线"/>
      <charset val="134"/>
      <scheme val="minor"/>
    </font>
    <font>
      <b/>
      <i/>
      <sz val="8"/>
      <color theme="1"/>
      <name val="等线"/>
      <charset val="134"/>
      <scheme val="minor"/>
    </font>
    <font>
      <sz val="8"/>
      <color theme="1"/>
      <name val="等线"/>
      <charset val="134"/>
      <scheme val="minor"/>
    </font>
    <font>
      <b/>
      <sz val="12"/>
      <color rgb="FF0066B3"/>
      <name val="等线"/>
      <charset val="134"/>
      <scheme val="minor"/>
    </font>
    <font>
      <sz val="10.5"/>
      <name val="等线"/>
      <charset val="134"/>
      <scheme val="minor"/>
    </font>
    <font>
      <b/>
      <sz val="24"/>
      <color theme="1"/>
      <name val="等线"/>
      <charset val="134"/>
      <scheme val="minor"/>
    </font>
    <font>
      <b/>
      <sz val="18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9"/>
      <color theme="0" tint="-0.499984740745262"/>
      <name val="等线"/>
      <charset val="134"/>
      <scheme val="minor"/>
    </font>
    <font>
      <sz val="9"/>
      <color rgb="FF000000"/>
      <name val="等线"/>
      <charset val="134"/>
      <scheme val="minor"/>
    </font>
    <font>
      <sz val="9"/>
      <color theme="1"/>
      <name val="等线"/>
      <charset val="134"/>
      <scheme val="minor"/>
    </font>
    <font>
      <sz val="10.5"/>
      <color theme="1"/>
      <name val="等线"/>
      <charset val="134"/>
      <scheme val="minor"/>
    </font>
    <font>
      <b/>
      <sz val="12"/>
      <name val="等线"/>
      <charset val="134"/>
      <scheme val="minor"/>
    </font>
    <font>
      <b/>
      <i/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i/>
      <sz val="11"/>
      <color theme="1"/>
      <name val="等线"/>
      <charset val="134"/>
      <scheme val="minor"/>
    </font>
    <font>
      <i/>
      <sz val="10"/>
      <color theme="1"/>
      <name val="等线"/>
      <charset val="134"/>
      <scheme val="minor"/>
    </font>
    <font>
      <b/>
      <i/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6"/>
    </font>
    <font>
      <sz val="10"/>
      <name val="Comic Sans MS"/>
      <charset val="134"/>
    </font>
    <font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EFFF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8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8" tint="0.599963377788629"/>
      </left>
      <right/>
      <top style="medium">
        <color theme="8" tint="0.599963377788629"/>
      </top>
      <bottom/>
      <diagonal/>
    </border>
    <border>
      <left/>
      <right/>
      <top style="medium">
        <color theme="8" tint="0.599963377788629"/>
      </top>
      <bottom/>
      <diagonal/>
    </border>
    <border>
      <left/>
      <right style="medium">
        <color theme="8" tint="0.599963377788629"/>
      </right>
      <top style="medium">
        <color theme="8" tint="0.599963377788629"/>
      </top>
      <bottom/>
      <diagonal/>
    </border>
    <border>
      <left style="medium">
        <color theme="8" tint="0.599963377788629"/>
      </left>
      <right/>
      <top/>
      <bottom/>
      <diagonal/>
    </border>
    <border>
      <left/>
      <right style="medium">
        <color theme="8" tint="0.599963377788629"/>
      </right>
      <top/>
      <bottom/>
      <diagonal/>
    </border>
    <border>
      <left style="medium">
        <color theme="8" tint="0.599963377788629"/>
      </left>
      <right/>
      <top style="hair">
        <color theme="8" tint="0.599963377788629"/>
      </top>
      <bottom style="medium">
        <color theme="8" tint="0.599963377788629"/>
      </bottom>
      <diagonal/>
    </border>
    <border>
      <left/>
      <right/>
      <top style="hair">
        <color theme="8" tint="0.599963377788629"/>
      </top>
      <bottom style="medium">
        <color theme="8" tint="0.599963377788629"/>
      </bottom>
      <diagonal/>
    </border>
    <border>
      <left/>
      <right style="medium">
        <color theme="8" tint="0.599963377788629"/>
      </right>
      <top style="hair">
        <color theme="8" tint="0.599963377788629"/>
      </top>
      <bottom style="medium">
        <color theme="8" tint="0.599963377788629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"/>
      </right>
      <top/>
      <bottom/>
      <diagonal/>
    </border>
    <border>
      <left style="dashDot">
        <color theme="9" tint="-0.249946592608417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0" fillId="10" borderId="72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9" fillId="0" borderId="0">
      <alignment vertical="center"/>
    </xf>
    <xf numFmtId="0" fontId="40" fillId="0" borderId="73">
      <alignment vertical="center"/>
    </xf>
    <xf numFmtId="0" fontId="41" fillId="0" borderId="73">
      <alignment vertical="center"/>
    </xf>
    <xf numFmtId="0" fontId="42" fillId="0" borderId="74">
      <alignment vertical="center"/>
    </xf>
    <xf numFmtId="0" fontId="42" fillId="0" borderId="0">
      <alignment vertical="center"/>
    </xf>
    <xf numFmtId="0" fontId="43" fillId="11" borderId="75">
      <alignment vertical="center"/>
    </xf>
    <xf numFmtId="0" fontId="44" fillId="12" borderId="76">
      <alignment vertical="center"/>
    </xf>
    <xf numFmtId="0" fontId="45" fillId="12" borderId="75">
      <alignment vertical="center"/>
    </xf>
    <xf numFmtId="0" fontId="46" fillId="13" borderId="77">
      <alignment vertical="center"/>
    </xf>
    <xf numFmtId="0" fontId="47" fillId="0" borderId="78">
      <alignment vertical="center"/>
    </xf>
    <xf numFmtId="0" fontId="48" fillId="0" borderId="79">
      <alignment vertical="center"/>
    </xf>
    <xf numFmtId="0" fontId="49" fillId="14" borderId="0">
      <alignment vertical="center"/>
    </xf>
    <xf numFmtId="0" fontId="50" fillId="15" borderId="0">
      <alignment vertical="center"/>
    </xf>
    <xf numFmtId="0" fontId="51" fillId="16" borderId="0">
      <alignment vertical="center"/>
    </xf>
    <xf numFmtId="0" fontId="52" fillId="17" borderId="0">
      <alignment vertical="center"/>
    </xf>
    <xf numFmtId="0" fontId="53" fillId="18" borderId="0">
      <alignment vertical="center"/>
    </xf>
    <xf numFmtId="0" fontId="53" fillId="19" borderId="0">
      <alignment vertical="center"/>
    </xf>
    <xf numFmtId="0" fontId="52" fillId="20" borderId="0">
      <alignment vertical="center"/>
    </xf>
    <xf numFmtId="0" fontId="52" fillId="21" borderId="0">
      <alignment vertical="center"/>
    </xf>
    <xf numFmtId="0" fontId="53" fillId="22" borderId="0">
      <alignment vertical="center"/>
    </xf>
    <xf numFmtId="0" fontId="53" fillId="23" borderId="0">
      <alignment vertical="center"/>
    </xf>
    <xf numFmtId="0" fontId="52" fillId="24" borderId="0">
      <alignment vertical="center"/>
    </xf>
    <xf numFmtId="0" fontId="52" fillId="25" borderId="0">
      <alignment vertical="center"/>
    </xf>
    <xf numFmtId="0" fontId="53" fillId="26" borderId="0">
      <alignment vertical="center"/>
    </xf>
    <xf numFmtId="0" fontId="53" fillId="27" borderId="0">
      <alignment vertical="center"/>
    </xf>
    <xf numFmtId="0" fontId="52" fillId="28" borderId="0">
      <alignment vertical="center"/>
    </xf>
    <xf numFmtId="0" fontId="52" fillId="29" borderId="0">
      <alignment vertical="center"/>
    </xf>
    <xf numFmtId="0" fontId="53" fillId="30" borderId="0">
      <alignment vertical="center"/>
    </xf>
    <xf numFmtId="0" fontId="53" fillId="31" borderId="0">
      <alignment vertical="center"/>
    </xf>
    <xf numFmtId="0" fontId="52" fillId="32" borderId="0">
      <alignment vertical="center"/>
    </xf>
    <xf numFmtId="0" fontId="52" fillId="33" borderId="0">
      <alignment vertical="center"/>
    </xf>
    <xf numFmtId="0" fontId="53" fillId="5" borderId="0">
      <alignment vertical="center"/>
    </xf>
    <xf numFmtId="0" fontId="53" fillId="7" borderId="0">
      <alignment vertical="center"/>
    </xf>
    <xf numFmtId="0" fontId="52" fillId="34" borderId="0">
      <alignment vertical="center"/>
    </xf>
    <xf numFmtId="0" fontId="52" fillId="35" borderId="0">
      <alignment vertical="center"/>
    </xf>
    <xf numFmtId="0" fontId="53" fillId="36" borderId="0">
      <alignment vertical="center"/>
    </xf>
    <xf numFmtId="0" fontId="53" fillId="8" borderId="0">
      <alignment vertical="center"/>
    </xf>
    <xf numFmtId="0" fontId="52" fillId="37" borderId="0">
      <alignment vertical="center"/>
    </xf>
    <xf numFmtId="0" fontId="0" fillId="0" borderId="0"/>
    <xf numFmtId="0" fontId="54" fillId="0" borderId="0">
      <alignment vertical="center"/>
    </xf>
    <xf numFmtId="43" fontId="55" fillId="0" borderId="0"/>
    <xf numFmtId="43" fontId="55" fillId="0" borderId="0"/>
    <xf numFmtId="0" fontId="55" fillId="0" borderId="0"/>
    <xf numFmtId="0" fontId="55" fillId="0" borderId="0"/>
  </cellStyleXfs>
  <cellXfs count="19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top"/>
    </xf>
    <xf numFmtId="0" fontId="3" fillId="2" borderId="0" xfId="50" applyFont="1" applyFill="1" applyAlignment="1">
      <alignment horizontal="center" vertical="center" wrapText="1"/>
    </xf>
    <xf numFmtId="17" fontId="4" fillId="0" borderId="0" xfId="53" applyNumberFormat="1" applyFont="1" applyAlignment="1">
      <alignment horizontal="center" vertical="center"/>
    </xf>
    <xf numFmtId="14" fontId="5" fillId="0" borderId="0" xfId="53" applyNumberFormat="1" applyFont="1" applyAlignment="1">
      <alignment vertical="center"/>
    </xf>
    <xf numFmtId="17" fontId="5" fillId="0" borderId="0" xfId="53" applyNumberFormat="1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/>
    <xf numFmtId="0" fontId="1" fillId="0" borderId="0" xfId="0" applyFont="1" applyAlignment="1">
      <alignment horizontal="center" vertical="center"/>
    </xf>
    <xf numFmtId="0" fontId="2" fillId="0" borderId="0" xfId="53" applyAlignment="1">
      <alignment horizontal="right" vertical="center"/>
    </xf>
    <xf numFmtId="14" fontId="2" fillId="0" borderId="0" xfId="53" applyNumberFormat="1" applyAlignment="1">
      <alignment horizontal="center" vertical="center" wrapText="1"/>
    </xf>
    <xf numFmtId="49" fontId="2" fillId="0" borderId="0" xfId="53" applyNumberFormat="1" applyAlignment="1">
      <alignment horizontal="center" vertical="center" wrapText="1"/>
    </xf>
    <xf numFmtId="177" fontId="4" fillId="0" borderId="0" xfId="53" applyNumberFormat="1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/>
    <xf numFmtId="0" fontId="0" fillId="0" borderId="8" xfId="0" applyBorder="1" applyAlignment="1"/>
    <xf numFmtId="0" fontId="6" fillId="0" borderId="5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7" fillId="3" borderId="11" xfId="0" applyFont="1" applyFill="1" applyBorder="1" applyAlignment="1">
      <alignment vertical="center" wrapText="1"/>
    </xf>
    <xf numFmtId="0" fontId="8" fillId="3" borderId="11" xfId="0" applyFont="1" applyFill="1" applyBorder="1" applyAlignment="1">
      <alignment vertical="center" wrapText="1"/>
    </xf>
    <xf numFmtId="0" fontId="9" fillId="3" borderId="11" xfId="0" applyFont="1" applyFill="1" applyBorder="1" applyAlignment="1">
      <alignment vertical="center" wrapText="1"/>
    </xf>
    <xf numFmtId="0" fontId="9" fillId="3" borderId="12" xfId="0" applyFont="1" applyFill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 wrapText="1"/>
    </xf>
    <xf numFmtId="38" fontId="1" fillId="4" borderId="15" xfId="0" applyNumberFormat="1" applyFont="1" applyFill="1" applyBorder="1" applyAlignment="1">
      <alignment horizontal="center" vertical="center"/>
    </xf>
    <xf numFmtId="38" fontId="1" fillId="4" borderId="15" xfId="0" applyNumberFormat="1" applyFont="1" applyFill="1" applyBorder="1" applyAlignment="1">
      <alignment horizontal="center" vertical="center" wrapText="1"/>
    </xf>
    <xf numFmtId="38" fontId="1" fillId="4" borderId="16" xfId="0" applyNumberFormat="1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4" fontId="1" fillId="0" borderId="18" xfId="0" applyNumberFormat="1" applyFont="1" applyBorder="1" applyAlignment="1">
      <alignment horizontal="center" vertical="center"/>
    </xf>
    <xf numFmtId="38" fontId="2" fillId="0" borderId="18" xfId="51" applyNumberFormat="1" applyBorder="1" applyAlignment="1">
      <alignment horizontal="center" vertical="center" wrapText="1"/>
    </xf>
    <xf numFmtId="178" fontId="2" fillId="0" borderId="18" xfId="51" applyNumberFormat="1" applyBorder="1" applyAlignment="1">
      <alignment horizontal="center" vertical="center" wrapText="1"/>
    </xf>
    <xf numFmtId="178" fontId="2" fillId="0" borderId="18" xfId="52" applyNumberFormat="1" applyBorder="1" applyAlignment="1">
      <alignment horizontal="center" vertical="center" wrapText="1"/>
    </xf>
    <xf numFmtId="38" fontId="2" fillId="0" borderId="18" xfId="52" applyNumberFormat="1" applyBorder="1" applyAlignment="1">
      <alignment horizontal="center" vertical="center" wrapText="1"/>
    </xf>
    <xf numFmtId="38" fontId="2" fillId="0" borderId="18" xfId="0" applyNumberFormat="1" applyFont="1" applyBorder="1" applyAlignment="1">
      <alignment horizontal="center" vertical="center" wrapText="1"/>
    </xf>
    <xf numFmtId="38" fontId="2" fillId="0" borderId="19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vertical="center"/>
    </xf>
    <xf numFmtId="0" fontId="10" fillId="0" borderId="0" xfId="0" applyFont="1" applyAlignment="1">
      <alignment horizontal="left" vertical="center"/>
    </xf>
    <xf numFmtId="0" fontId="0" fillId="0" borderId="0" xfId="0" applyAlignment="1"/>
    <xf numFmtId="0" fontId="10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vertical="center"/>
    </xf>
    <xf numFmtId="0" fontId="10" fillId="0" borderId="2" xfId="0" applyFont="1" applyBorder="1" applyAlignment="1">
      <alignment vertical="center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/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/>
    <xf numFmtId="0" fontId="0" fillId="0" borderId="25" xfId="0" applyBorder="1" applyAlignment="1"/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/>
    <xf numFmtId="0" fontId="0" fillId="0" borderId="28" xfId="0" applyBorder="1" applyAlignment="1">
      <alignment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/>
    <xf numFmtId="0" fontId="0" fillId="0" borderId="31" xfId="0" applyBorder="1" applyAlignment="1"/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0" fillId="5" borderId="0" xfId="0" applyFont="1" applyFill="1" applyAlignment="1">
      <alignment horizontal="left" vertical="center"/>
    </xf>
    <xf numFmtId="179" fontId="0" fillId="5" borderId="35" xfId="0" applyNumberFormat="1" applyFill="1" applyBorder="1" applyAlignment="1">
      <alignment vertical="center"/>
    </xf>
    <xf numFmtId="179" fontId="0" fillId="5" borderId="36" xfId="0" applyNumberFormat="1" applyFill="1" applyBorder="1" applyAlignment="1">
      <alignment vertical="center"/>
    </xf>
    <xf numFmtId="179" fontId="0" fillId="5" borderId="37" xfId="0" applyNumberFormat="1" applyFill="1" applyBorder="1" applyAlignment="1">
      <alignment vertical="center"/>
    </xf>
    <xf numFmtId="179" fontId="0" fillId="5" borderId="38" xfId="0" applyNumberFormat="1" applyFill="1" applyBorder="1" applyAlignment="1">
      <alignment vertical="center"/>
    </xf>
    <xf numFmtId="179" fontId="0" fillId="5" borderId="39" xfId="0" applyNumberFormat="1" applyFill="1" applyBorder="1" applyAlignment="1">
      <alignment vertical="center"/>
    </xf>
    <xf numFmtId="179" fontId="0" fillId="5" borderId="40" xfId="0" applyNumberFormat="1" applyFill="1" applyBorder="1" applyAlignment="1">
      <alignment vertical="center"/>
    </xf>
    <xf numFmtId="0" fontId="0" fillId="5" borderId="0" xfId="0" applyFill="1" applyAlignment="1">
      <alignment horizontal="left" vertical="center"/>
    </xf>
    <xf numFmtId="49" fontId="0" fillId="5" borderId="0" xfId="0" applyNumberFormat="1" applyFill="1" applyAlignment="1">
      <alignment vertical="center"/>
    </xf>
    <xf numFmtId="0" fontId="11" fillId="6" borderId="0" xfId="0" applyFont="1" applyFill="1" applyAlignment="1">
      <alignment vertical="center"/>
    </xf>
    <xf numFmtId="0" fontId="0" fillId="5" borderId="38" xfId="0" applyFill="1" applyBorder="1" applyAlignment="1">
      <alignment vertical="center"/>
    </xf>
    <xf numFmtId="0" fontId="0" fillId="5" borderId="39" xfId="0" applyFill="1" applyBorder="1" applyAlignment="1">
      <alignment vertical="center"/>
    </xf>
    <xf numFmtId="0" fontId="0" fillId="5" borderId="40" xfId="0" applyFill="1" applyBorder="1" applyAlignment="1">
      <alignment vertical="center"/>
    </xf>
    <xf numFmtId="0" fontId="0" fillId="5" borderId="41" xfId="0" applyFill="1" applyBorder="1" applyAlignment="1">
      <alignment vertical="center"/>
    </xf>
    <xf numFmtId="0" fontId="0" fillId="5" borderId="42" xfId="0" applyFill="1" applyBorder="1" applyAlignment="1">
      <alignment vertical="center"/>
    </xf>
    <xf numFmtId="0" fontId="0" fillId="5" borderId="43" xfId="0" applyFill="1" applyBorder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0" fontId="0" fillId="0" borderId="29" xfId="0" applyBorder="1" applyAlignment="1">
      <alignment vertical="center"/>
    </xf>
    <xf numFmtId="0" fontId="0" fillId="0" borderId="29" xfId="0" applyBorder="1" applyAlignment="1">
      <alignment horizontal="center" vertical="center"/>
    </xf>
    <xf numFmtId="0" fontId="0" fillId="0" borderId="45" xfId="0" applyBorder="1" applyAlignment="1">
      <alignment horizontal="center" vertical="center" wrapText="1"/>
    </xf>
    <xf numFmtId="0" fontId="0" fillId="3" borderId="39" xfId="0" applyFill="1" applyBorder="1" applyAlignment="1">
      <alignment vertical="center"/>
    </xf>
    <xf numFmtId="179" fontId="0" fillId="5" borderId="41" xfId="0" applyNumberFormat="1" applyFill="1" applyBorder="1" applyAlignment="1">
      <alignment vertical="center"/>
    </xf>
    <xf numFmtId="179" fontId="0" fillId="5" borderId="42" xfId="0" applyNumberFormat="1" applyFill="1" applyBorder="1" applyAlignment="1">
      <alignment vertical="center"/>
    </xf>
    <xf numFmtId="0" fontId="11" fillId="0" borderId="0" xfId="0" applyFont="1" applyAlignment="1">
      <alignment vertical="center"/>
    </xf>
    <xf numFmtId="40" fontId="12" fillId="0" borderId="46" xfId="0" applyNumberFormat="1" applyFont="1" applyBorder="1" applyAlignment="1">
      <alignment vertical="center"/>
    </xf>
    <xf numFmtId="40" fontId="12" fillId="0" borderId="47" xfId="0" applyNumberFormat="1" applyFont="1" applyBorder="1" applyAlignment="1">
      <alignment vertical="center"/>
    </xf>
    <xf numFmtId="4" fontId="0" fillId="0" borderId="0" xfId="0" applyNumberFormat="1" applyAlignment="1">
      <alignment vertical="center"/>
    </xf>
    <xf numFmtId="40" fontId="12" fillId="0" borderId="48" xfId="0" applyNumberFormat="1" applyFont="1" applyBorder="1" applyAlignment="1">
      <alignment vertical="center"/>
    </xf>
    <xf numFmtId="40" fontId="12" fillId="0" borderId="49" xfId="0" applyNumberFormat="1" applyFont="1" applyBorder="1" applyAlignment="1">
      <alignment vertical="center"/>
    </xf>
    <xf numFmtId="40" fontId="12" fillId="0" borderId="9" xfId="0" applyNumberFormat="1" applyFont="1" applyBorder="1" applyAlignment="1">
      <alignment vertical="center"/>
    </xf>
    <xf numFmtId="40" fontId="12" fillId="0" borderId="50" xfId="0" applyNumberFormat="1" applyFont="1" applyBorder="1" applyAlignment="1">
      <alignment vertical="center"/>
    </xf>
    <xf numFmtId="0" fontId="13" fillId="0" borderId="0" xfId="49" applyFont="1" applyAlignment="1">
      <alignment vertical="center"/>
    </xf>
    <xf numFmtId="0" fontId="14" fillId="0" borderId="0" xfId="49" applyFont="1" applyAlignment="1">
      <alignment vertical="center"/>
    </xf>
    <xf numFmtId="0" fontId="15" fillId="0" borderId="0" xfId="49" applyFont="1" applyAlignment="1">
      <alignment vertical="center"/>
    </xf>
    <xf numFmtId="0" fontId="16" fillId="0" borderId="0" xfId="49" applyFont="1" applyAlignment="1">
      <alignment vertical="center"/>
    </xf>
    <xf numFmtId="0" fontId="17" fillId="0" borderId="0" xfId="49" applyFont="1" applyAlignment="1">
      <alignment vertical="center"/>
    </xf>
    <xf numFmtId="0" fontId="18" fillId="0" borderId="0" xfId="49" applyFont="1" applyAlignment="1">
      <alignment vertical="center"/>
    </xf>
    <xf numFmtId="0" fontId="19" fillId="0" borderId="0" xfId="49" applyFont="1" applyAlignment="1">
      <alignment vertical="center"/>
    </xf>
    <xf numFmtId="0" fontId="19" fillId="0" borderId="0" xfId="49" applyFont="1" applyAlignment="1">
      <alignment horizontal="right" vertical="center"/>
    </xf>
    <xf numFmtId="0" fontId="20" fillId="0" borderId="0" xfId="49" applyFont="1" applyAlignment="1">
      <alignment horizontal="right" vertical="center"/>
    </xf>
    <xf numFmtId="0" fontId="13" fillId="0" borderId="0" xfId="49" applyFont="1" applyAlignment="1">
      <alignment horizontal="right" vertical="center"/>
    </xf>
    <xf numFmtId="0" fontId="21" fillId="0" borderId="0" xfId="49" applyFont="1" applyAlignment="1">
      <alignment horizontal="right" vertical="center"/>
    </xf>
    <xf numFmtId="0" fontId="22" fillId="0" borderId="0" xfId="49" applyFont="1" applyAlignment="1">
      <alignment horizontal="center" vertical="center"/>
    </xf>
    <xf numFmtId="0" fontId="23" fillId="0" borderId="0" xfId="49" applyFont="1" applyAlignment="1">
      <alignment horizontal="center" vertical="center"/>
    </xf>
    <xf numFmtId="0" fontId="24" fillId="0" borderId="0" xfId="49" applyFont="1" applyAlignment="1">
      <alignment vertical="center"/>
    </xf>
    <xf numFmtId="0" fontId="25" fillId="0" borderId="0" xfId="49" applyFont="1" applyAlignment="1">
      <alignment vertical="center"/>
    </xf>
    <xf numFmtId="0" fontId="26" fillId="0" borderId="0" xfId="49" applyFont="1" applyAlignment="1">
      <alignment horizontal="right" vertical="center"/>
    </xf>
    <xf numFmtId="0" fontId="26" fillId="0" borderId="0" xfId="49" applyFont="1" applyAlignment="1">
      <alignment vertical="center"/>
    </xf>
    <xf numFmtId="0" fontId="14" fillId="0" borderId="0" xfId="49" applyFont="1" applyAlignment="1">
      <alignment horizontal="right" vertical="center"/>
    </xf>
    <xf numFmtId="0" fontId="26" fillId="0" borderId="0" xfId="49" applyFont="1" applyAlignment="1">
      <alignment vertical="top" wrapText="1"/>
    </xf>
    <xf numFmtId="0" fontId="26" fillId="0" borderId="0" xfId="49" applyFont="1" applyAlignment="1">
      <alignment horizontal="right" vertical="top" wrapText="1"/>
    </xf>
    <xf numFmtId="14" fontId="26" fillId="0" borderId="0" xfId="49" applyNumberFormat="1" applyFont="1" applyAlignment="1">
      <alignment vertical="center"/>
    </xf>
    <xf numFmtId="0" fontId="27" fillId="0" borderId="0" xfId="49" applyFont="1" applyAlignment="1">
      <alignment horizontal="right" vertical="center"/>
    </xf>
    <xf numFmtId="0" fontId="28" fillId="0" borderId="0" xfId="49" applyFont="1" applyAlignment="1">
      <alignment vertical="center"/>
    </xf>
    <xf numFmtId="14" fontId="28" fillId="0" borderId="0" xfId="49" applyNumberFormat="1" applyFont="1" applyAlignment="1">
      <alignment horizontal="left" vertical="center"/>
    </xf>
    <xf numFmtId="0" fontId="29" fillId="7" borderId="51" xfId="49" applyFont="1" applyFill="1" applyBorder="1" applyAlignment="1">
      <alignment horizontal="center" vertical="center"/>
    </xf>
    <xf numFmtId="0" fontId="0" fillId="0" borderId="52" xfId="0" applyBorder="1" applyAlignment="1"/>
    <xf numFmtId="0" fontId="29" fillId="7" borderId="52" xfId="49" applyFont="1" applyFill="1" applyBorder="1" applyAlignment="1">
      <alignment horizontal="center" vertical="center"/>
    </xf>
    <xf numFmtId="0" fontId="29" fillId="7" borderId="53" xfId="49" applyFont="1" applyFill="1" applyBorder="1" applyAlignment="1">
      <alignment horizontal="center" vertical="center"/>
    </xf>
    <xf numFmtId="0" fontId="15" fillId="0" borderId="0" xfId="49" applyFont="1" applyAlignment="1">
      <alignment horizontal="right" vertical="center"/>
    </xf>
    <xf numFmtId="0" fontId="30" fillId="0" borderId="54" xfId="49" applyFont="1" applyBorder="1" applyAlignment="1">
      <alignment horizontal="left" vertical="center" indent="1"/>
    </xf>
    <xf numFmtId="0" fontId="30" fillId="0" borderId="0" xfId="49" applyFont="1" applyAlignment="1">
      <alignment horizontal="left" vertical="center" indent="1"/>
    </xf>
    <xf numFmtId="43" fontId="30" fillId="0" borderId="0" xfId="49" applyNumberFormat="1" applyFont="1" applyAlignment="1">
      <alignment horizontal="left" vertical="center"/>
    </xf>
    <xf numFmtId="180" fontId="31" fillId="0" borderId="55" xfId="49" applyNumberFormat="1" applyFont="1" applyBorder="1" applyAlignment="1">
      <alignment horizontal="left" vertical="center"/>
    </xf>
    <xf numFmtId="179" fontId="16" fillId="0" borderId="0" xfId="49" applyNumberFormat="1" applyFont="1" applyAlignment="1">
      <alignment horizontal="right" vertical="center"/>
    </xf>
    <xf numFmtId="0" fontId="13" fillId="0" borderId="54" xfId="49" applyFont="1" applyBorder="1" applyAlignment="1">
      <alignment horizontal="left" vertical="center" indent="3"/>
    </xf>
    <xf numFmtId="0" fontId="13" fillId="0" borderId="0" xfId="49" applyFont="1" applyAlignment="1">
      <alignment horizontal="left" vertical="center" indent="3"/>
    </xf>
    <xf numFmtId="43" fontId="13" fillId="0" borderId="0" xfId="49" applyNumberFormat="1" applyFont="1" applyAlignment="1">
      <alignment horizontal="left" vertical="center" indent="1"/>
    </xf>
    <xf numFmtId="180" fontId="13" fillId="0" borderId="55" xfId="49" applyNumberFormat="1" applyFont="1" applyBorder="1" applyAlignment="1">
      <alignment horizontal="left" vertical="center"/>
    </xf>
    <xf numFmtId="179" fontId="17" fillId="0" borderId="0" xfId="49" applyNumberFormat="1" applyFont="1" applyAlignment="1">
      <alignment horizontal="right" vertical="center"/>
    </xf>
    <xf numFmtId="179" fontId="19" fillId="0" borderId="0" xfId="49" applyNumberFormat="1" applyFont="1" applyAlignment="1">
      <alignment horizontal="right" vertical="center"/>
    </xf>
    <xf numFmtId="0" fontId="13" fillId="0" borderId="0" xfId="49" applyFont="1" applyAlignment="1">
      <alignment horizontal="left" vertical="center" indent="1"/>
    </xf>
    <xf numFmtId="0" fontId="13" fillId="0" borderId="54" xfId="49" applyFont="1" applyBorder="1" applyAlignment="1">
      <alignment horizontal="center" vertical="center"/>
    </xf>
    <xf numFmtId="0" fontId="13" fillId="0" borderId="0" xfId="49" applyFont="1" applyAlignment="1">
      <alignment horizontal="center" vertical="center"/>
    </xf>
    <xf numFmtId="43" fontId="13" fillId="0" borderId="0" xfId="49" applyNumberFormat="1" applyFont="1" applyAlignment="1">
      <alignment horizontal="left" vertical="center"/>
    </xf>
    <xf numFmtId="180" fontId="30" fillId="0" borderId="55" xfId="49" applyNumberFormat="1" applyFont="1" applyBorder="1" applyAlignment="1">
      <alignment horizontal="left" vertical="center"/>
    </xf>
    <xf numFmtId="179" fontId="18" fillId="0" borderId="0" xfId="49" applyNumberFormat="1" applyFont="1" applyAlignment="1">
      <alignment horizontal="right" vertical="center"/>
    </xf>
    <xf numFmtId="0" fontId="13" fillId="0" borderId="54" xfId="49" applyFont="1" applyBorder="1" applyAlignment="1">
      <alignment horizontal="left" vertical="center" indent="2"/>
    </xf>
    <xf numFmtId="0" fontId="13" fillId="0" borderId="0" xfId="49" applyFont="1" applyAlignment="1">
      <alignment horizontal="left" vertical="center" indent="2"/>
    </xf>
    <xf numFmtId="0" fontId="10" fillId="0" borderId="54" xfId="49" applyFont="1" applyBorder="1" applyAlignment="1">
      <alignment horizontal="left" vertical="center" indent="1"/>
    </xf>
    <xf numFmtId="0" fontId="10" fillId="0" borderId="0" xfId="49" applyFont="1" applyAlignment="1">
      <alignment horizontal="left" vertical="center" indent="1"/>
    </xf>
    <xf numFmtId="43" fontId="19" fillId="0" borderId="0" xfId="49" applyNumberFormat="1" applyFont="1" applyAlignment="1">
      <alignment horizontal="left" vertical="center"/>
    </xf>
    <xf numFmtId="180" fontId="19" fillId="0" borderId="55" xfId="49" applyNumberFormat="1" applyFont="1" applyBorder="1" applyAlignment="1">
      <alignment horizontal="left" vertical="center"/>
    </xf>
    <xf numFmtId="0" fontId="32" fillId="0" borderId="56" xfId="49" applyFont="1" applyBorder="1" applyAlignment="1">
      <alignment horizontal="left" vertical="center" indent="1"/>
    </xf>
    <xf numFmtId="0" fontId="0" fillId="0" borderId="57" xfId="0" applyBorder="1" applyAlignment="1"/>
    <xf numFmtId="43" fontId="32" fillId="0" borderId="57" xfId="49" applyNumberFormat="1" applyFont="1" applyBorder="1" applyAlignment="1">
      <alignment horizontal="left" vertical="center"/>
    </xf>
    <xf numFmtId="180" fontId="32" fillId="0" borderId="58" xfId="49" applyNumberFormat="1" applyFont="1" applyBorder="1" applyAlignment="1">
      <alignment horizontal="left" vertical="center"/>
    </xf>
    <xf numFmtId="0" fontId="32" fillId="0" borderId="0" xfId="49" applyFont="1" applyAlignment="1">
      <alignment vertical="center"/>
    </xf>
    <xf numFmtId="0" fontId="32" fillId="0" borderId="0" xfId="49" applyFont="1" applyAlignment="1">
      <alignment horizontal="center" vertical="center"/>
    </xf>
    <xf numFmtId="43" fontId="32" fillId="0" borderId="0" xfId="49" applyNumberFormat="1" applyFont="1" applyAlignment="1">
      <alignment vertical="center"/>
    </xf>
    <xf numFmtId="180" fontId="32" fillId="0" borderId="0" xfId="49" applyNumberFormat="1" applyFont="1" applyAlignment="1">
      <alignment horizontal="right" vertical="center"/>
    </xf>
    <xf numFmtId="0" fontId="32" fillId="0" borderId="0" xfId="49" applyFont="1" applyAlignment="1">
      <alignment horizontal="right" vertical="center"/>
    </xf>
    <xf numFmtId="0" fontId="33" fillId="0" borderId="0" xfId="49" applyFont="1" applyAlignment="1">
      <alignment vertical="center" wrapText="1"/>
    </xf>
    <xf numFmtId="0" fontId="33" fillId="0" borderId="0" xfId="49" applyFont="1" applyAlignment="1">
      <alignment horizontal="left" vertical="center" indent="1"/>
    </xf>
    <xf numFmtId="43" fontId="34" fillId="0" borderId="59" xfId="49" applyNumberFormat="1" applyFont="1" applyBorder="1" applyAlignment="1">
      <alignment horizontal="right" vertical="center"/>
    </xf>
    <xf numFmtId="0" fontId="0" fillId="0" borderId="60" xfId="0" applyBorder="1" applyAlignment="1"/>
    <xf numFmtId="180" fontId="34" fillId="0" borderId="61" xfId="49" applyNumberFormat="1" applyFont="1" applyBorder="1" applyAlignment="1">
      <alignment horizontal="right" vertical="center"/>
    </xf>
    <xf numFmtId="0" fontId="33" fillId="0" borderId="0" xfId="49" applyFont="1" applyAlignment="1">
      <alignment vertical="center"/>
    </xf>
    <xf numFmtId="43" fontId="34" fillId="0" borderId="62" xfId="49" applyNumberFormat="1" applyFont="1" applyBorder="1" applyAlignment="1">
      <alignment horizontal="right" vertical="center"/>
    </xf>
    <xf numFmtId="180" fontId="34" fillId="0" borderId="63" xfId="49" applyNumberFormat="1" applyFont="1" applyBorder="1" applyAlignment="1">
      <alignment horizontal="right" vertical="center"/>
    </xf>
    <xf numFmtId="40" fontId="32" fillId="0" borderId="0" xfId="49" applyNumberFormat="1" applyFont="1" applyAlignment="1">
      <alignment vertical="center"/>
    </xf>
    <xf numFmtId="40" fontId="34" fillId="0" borderId="64" xfId="49" applyNumberFormat="1" applyFont="1" applyBorder="1" applyAlignment="1">
      <alignment horizontal="right" vertical="center"/>
    </xf>
    <xf numFmtId="0" fontId="0" fillId="0" borderId="65" xfId="0" applyBorder="1" applyAlignment="1"/>
    <xf numFmtId="180" fontId="34" fillId="0" borderId="66" xfId="49" applyNumberFormat="1" applyFont="1" applyBorder="1" applyAlignment="1">
      <alignment horizontal="right" vertical="center"/>
    </xf>
    <xf numFmtId="43" fontId="10" fillId="0" borderId="62" xfId="49" applyNumberFormat="1" applyFont="1" applyBorder="1" applyAlignment="1">
      <alignment horizontal="right" vertical="center"/>
    </xf>
    <xf numFmtId="180" fontId="10" fillId="0" borderId="63" xfId="49" applyNumberFormat="1" applyFont="1" applyBorder="1" applyAlignment="1">
      <alignment horizontal="right" vertical="center"/>
    </xf>
    <xf numFmtId="43" fontId="10" fillId="0" borderId="62" xfId="49" applyNumberFormat="1" applyFont="1" applyBorder="1" applyAlignment="1">
      <alignment horizontal="right" vertical="center" indent="1"/>
    </xf>
    <xf numFmtId="0" fontId="10" fillId="0" borderId="0" xfId="49" applyFont="1" applyAlignment="1">
      <alignment vertical="center"/>
    </xf>
    <xf numFmtId="43" fontId="10" fillId="0" borderId="67" xfId="49" applyNumberFormat="1" applyFont="1" applyBorder="1" applyAlignment="1">
      <alignment horizontal="right" vertical="center"/>
    </xf>
    <xf numFmtId="0" fontId="0" fillId="0" borderId="68" xfId="0" applyBorder="1" applyAlignment="1"/>
    <xf numFmtId="180" fontId="10" fillId="0" borderId="69" xfId="49" applyNumberFormat="1" applyFont="1" applyBorder="1" applyAlignment="1">
      <alignment horizontal="right" vertical="center"/>
    </xf>
    <xf numFmtId="180" fontId="19" fillId="0" borderId="0" xfId="49" applyNumberFormat="1" applyFont="1" applyAlignment="1">
      <alignment vertical="center"/>
    </xf>
    <xf numFmtId="0" fontId="10" fillId="8" borderId="0" xfId="49" applyFont="1" applyFill="1" applyAlignment="1">
      <alignment horizontal="center"/>
    </xf>
    <xf numFmtId="179" fontId="19" fillId="9" borderId="70" xfId="49" applyNumberFormat="1" applyFont="1" applyFill="1" applyBorder="1" applyAlignment="1">
      <alignment horizontal="left" vertical="center" wrapText="1" indent="2"/>
    </xf>
    <xf numFmtId="0" fontId="0" fillId="0" borderId="70" xfId="0" applyBorder="1" applyAlignment="1"/>
    <xf numFmtId="179" fontId="19" fillId="9" borderId="71" xfId="49" applyNumberFormat="1" applyFont="1" applyFill="1" applyBorder="1" applyAlignment="1">
      <alignment horizontal="left" vertical="center" wrapText="1" indent="2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_MSD payroll 總表" xfId="50"/>
    <cellStyle name="千分位 2" xfId="51"/>
    <cellStyle name="千分位 2 2" xfId="52"/>
    <cellStyle name="一般 2" xfId="53"/>
    <cellStyle name="一般_Sheet1 2" xfId="54"/>
  </cellStyles>
  <dxfs count="2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1104295</xdr:colOff>
      <xdr:row>2</xdr:row>
      <xdr:rowOff>109286</xdr:rowOff>
    </xdr:to>
    <xdr:pic>
      <xdr:nvPicPr>
        <xdr:cNvPr id="2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261235" cy="53149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7"/>
  <sheetViews>
    <sheetView tabSelected="1" zoomScale="150" zoomScaleNormal="150" workbookViewId="0">
      <selection activeCell="A24" sqref="A24:C24"/>
    </sheetView>
  </sheetViews>
  <sheetFormatPr defaultColWidth="9.18333333333333" defaultRowHeight="11.25" outlineLevelCol="7"/>
  <cols>
    <col min="1" max="1" width="15.1833333333333" style="117" customWidth="1"/>
    <col min="2" max="2" width="23.45" style="117" customWidth="1"/>
    <col min="3" max="3" width="4.81666666666667" style="117" customWidth="1"/>
    <col min="4" max="4" width="15.1833333333333" style="117" customWidth="1"/>
    <col min="5" max="5" width="11.8166666666667" style="117" customWidth="1"/>
    <col min="6" max="6" width="15.8333333333333" style="118" customWidth="1"/>
    <col min="7" max="7" width="9.18333333333333" style="118" customWidth="1"/>
    <col min="8" max="16384" width="9.18333333333333" style="117" customWidth="1"/>
  </cols>
  <sheetData>
    <row r="1" ht="19" customHeight="1" spans="1:8">
      <c r="B1" s="119" t="s">
        <v>0</v>
      </c>
      <c r="G1" s="120"/>
      <c r="H1" s="118"/>
    </row>
    <row r="2" ht="14.25" customHeight="1" spans="1:8">
      <c r="B2" s="121" t="s">
        <v>1</v>
      </c>
      <c r="G2" s="120"/>
      <c r="H2" s="118"/>
    </row>
    <row r="3" s="111" customFormat="1" ht="18" customHeight="1" spans="1:8">
      <c r="B3" s="121" t="s">
        <v>2</v>
      </c>
      <c r="G3" s="120"/>
      <c r="H3" s="120"/>
    </row>
    <row r="4" s="111" customFormat="1" ht="14" customHeight="1" spans="1:8">
      <c r="G4" s="120"/>
      <c r="H4" s="120"/>
    </row>
    <row r="5" s="111" customFormat="1" ht="32" customHeight="1" spans="1:8">
      <c r="A5" s="122" t="s">
        <v>3</v>
      </c>
      <c r="G5" s="120"/>
      <c r="H5" s="120"/>
    </row>
    <row r="6" s="111" customFormat="1" ht="12" customHeight="1" spans="1:8">
      <c r="A6" s="123"/>
      <c r="B6" s="123"/>
      <c r="C6" s="123"/>
      <c r="D6" s="123"/>
      <c r="E6" s="123"/>
      <c r="F6" s="123"/>
      <c r="G6" s="120"/>
      <c r="H6" s="120"/>
    </row>
    <row r="7" s="111" customFormat="1" ht="13" customHeight="1" spans="1:8">
      <c r="A7" s="124" t="s">
        <v>4</v>
      </c>
      <c r="B7" s="124"/>
      <c r="C7" s="124"/>
      <c r="D7" s="124"/>
      <c r="E7" s="124"/>
      <c r="G7" s="120"/>
      <c r="H7" s="120"/>
    </row>
    <row r="8" s="112" customFormat="1" ht="13" customHeight="1" spans="1:8">
      <c r="A8" s="125" t="s">
        <v>5</v>
      </c>
      <c r="B8" s="126"/>
      <c r="C8" s="127"/>
      <c r="D8" s="125" t="s">
        <v>6</v>
      </c>
      <c r="E8" s="125"/>
      <c r="F8" s="126"/>
      <c r="G8" s="128"/>
    </row>
    <row r="9" s="112" customFormat="1" ht="13" customHeight="1" spans="1:8">
      <c r="A9" s="125" t="s">
        <v>7</v>
      </c>
      <c r="B9" s="126"/>
      <c r="C9" s="129"/>
      <c r="D9" s="125" t="s">
        <v>8</v>
      </c>
      <c r="E9" s="125"/>
      <c r="F9" s="126"/>
      <c r="G9" s="128"/>
    </row>
    <row r="10" s="111" customFormat="1" ht="13" customHeight="1" spans="1:8">
      <c r="A10" s="125" t="s">
        <v>9</v>
      </c>
      <c r="B10" s="130"/>
      <c r="C10" s="129"/>
      <c r="D10" s="125" t="s">
        <v>10</v>
      </c>
      <c r="E10" s="125"/>
      <c r="F10" s="131"/>
      <c r="G10" s="120"/>
    </row>
    <row r="11" s="112" customFormat="1" ht="12" customHeight="1" spans="1:8">
      <c r="A11" s="132"/>
      <c r="D11" s="125" t="s">
        <v>11</v>
      </c>
      <c r="E11" s="125"/>
      <c r="F11" s="131"/>
      <c r="G11" s="128"/>
    </row>
    <row r="12" s="111" customFormat="1" ht="12" customHeight="1" spans="1:8">
      <c r="A12" s="133"/>
      <c r="B12" s="133"/>
      <c r="C12" s="133"/>
      <c r="D12" s="133"/>
      <c r="E12" s="134"/>
      <c r="G12" s="120"/>
    </row>
    <row r="13" ht="12" customHeight="1"/>
    <row r="14" s="113" customFormat="1" ht="28" customHeight="1" spans="1:8">
      <c r="A14" s="135" t="s">
        <v>12</v>
      </c>
      <c r="B14" s="136"/>
      <c r="C14" s="136"/>
      <c r="D14" s="137"/>
      <c r="E14" s="137" t="str">
        <f>"Amount "&amp;TW!C6</f>
        <v>Amount (NTD)</v>
      </c>
      <c r="F14" s="138" t="s">
        <v>13</v>
      </c>
      <c r="G14" s="139"/>
    </row>
    <row r="15" s="114" customFormat="1" ht="16" customHeight="1" spans="1:8">
      <c r="A15" s="140" t="s">
        <v>14</v>
      </c>
      <c r="D15" s="141"/>
      <c r="E15" s="142">
        <f>SUM(E16:E22)</f>
        <v>0</v>
      </c>
      <c r="F15" s="143">
        <f>SUM(F16:F22)</f>
        <v>0</v>
      </c>
      <c r="G15" s="144"/>
    </row>
    <row r="16" s="115" customFormat="1" ht="12.75" customHeight="1" spans="1:8">
      <c r="A16" s="145" t="str">
        <f>"- Labor cost for "&amp;TW!B9&amp;"  -  "&amp;MONTH(TW!$B$2)&amp;"-"&amp;YEAR(TW!$B$2)</f>
        <v>- Labor cost for 0  -  1-1900</v>
      </c>
      <c r="D16" s="146"/>
      <c r="E16" s="147">
        <f>TW!J9+TW!Z9</f>
        <v>0</v>
      </c>
      <c r="F16" s="148">
        <f t="shared" ref="F16:F21" si="0">E16/$B$31</f>
        <v>0</v>
      </c>
      <c r="G16" s="149"/>
    </row>
    <row r="17" s="115" customFormat="1" ht="12.75" customHeight="1" spans="1:7">
      <c r="A17" s="145" t="str">
        <f>"- Labor cost for "&amp;TW!B10&amp;"  -  "&amp;MONTH(TW!$B$2)&amp;"-"&amp;YEAR(TW!$B$2)</f>
        <v>- Labor cost for   -  1-1900</v>
      </c>
      <c r="D17" s="146"/>
      <c r="E17" s="147">
        <f>TW!J10+TW!Z10</f>
        <v>0</v>
      </c>
      <c r="F17" s="148">
        <f t="shared" si="0"/>
        <v>0</v>
      </c>
      <c r="G17" s="149"/>
    </row>
    <row r="18" s="115" customFormat="1" ht="12.75" customHeight="1" spans="1:7">
      <c r="A18" s="145" t="str">
        <f>"- Labor cost for "&amp;TW!B11&amp;"  -  "&amp;MONTH(TW!$B$2)&amp;"-"&amp;YEAR(TW!$B$2)</f>
        <v>- Labor cost for   -  1-1900</v>
      </c>
      <c r="D18" s="146"/>
      <c r="E18" s="147">
        <f>TW!J11+TW!Z11</f>
        <v>0</v>
      </c>
      <c r="F18" s="148">
        <f t="shared" si="0"/>
        <v>0</v>
      </c>
      <c r="G18" s="149"/>
    </row>
    <row r="19" ht="12.75" customHeight="1" spans="1:7">
      <c r="A19" s="145" t="str">
        <f>"- "&amp;+"Expense claim for "&amp;TW!B9</f>
        <v>- Expense claim for 0</v>
      </c>
      <c r="D19" s="146"/>
      <c r="E19" s="147">
        <f>TW!AB9</f>
        <v>0</v>
      </c>
      <c r="F19" s="148">
        <f t="shared" si="0"/>
        <v>0</v>
      </c>
      <c r="G19" s="150"/>
    </row>
    <row r="20" ht="12.75" customHeight="1" spans="1:7">
      <c r="A20" s="145" t="str">
        <f>"- "&amp;+"Expense claim for "&amp;TW!B10</f>
        <v>- Expense claim for </v>
      </c>
      <c r="D20" s="151"/>
      <c r="E20" s="147">
        <f>TW!AB10</f>
        <v>0</v>
      </c>
      <c r="F20" s="148">
        <f t="shared" si="0"/>
        <v>0</v>
      </c>
      <c r="G20" s="150"/>
    </row>
    <row r="21" ht="12.75" customHeight="1" spans="1:7">
      <c r="A21" s="145" t="str">
        <f>"- "&amp;+"Expense claim for "&amp;TW!B11</f>
        <v>- Expense claim for </v>
      </c>
      <c r="D21" s="151"/>
      <c r="E21" s="147">
        <f>TW!AB11</f>
        <v>0</v>
      </c>
      <c r="F21" s="148">
        <f t="shared" si="0"/>
        <v>0</v>
      </c>
      <c r="G21" s="150"/>
    </row>
    <row r="22" ht="12.75" customHeight="1" spans="1:7">
      <c r="A22" s="152"/>
      <c r="D22" s="153"/>
      <c r="E22" s="154"/>
      <c r="F22" s="148"/>
      <c r="G22" s="150"/>
    </row>
    <row r="23" s="116" customFormat="1" ht="16" customHeight="1" spans="1:7">
      <c r="A23" s="140" t="s">
        <v>15</v>
      </c>
      <c r="D23" s="141"/>
      <c r="E23" s="142">
        <f>SUM(E24:E25)</f>
        <v>4500</v>
      </c>
      <c r="F23" s="155">
        <f>SUM(F24:F25)</f>
        <v>143.780533393828</v>
      </c>
      <c r="G23" s="156"/>
    </row>
    <row r="24" ht="12.75" customHeight="1" spans="1:7">
      <c r="A24" s="157" t="str">
        <f>"- "&amp;+"Management Fee - "&amp;MONTH(TW!B2)&amp;"-"&amp;YEAR(TW!B2)</f>
        <v>- Management Fee - 1-1900</v>
      </c>
      <c r="D24" s="158"/>
      <c r="E24" s="154">
        <f>TW!G6</f>
        <v>4500</v>
      </c>
      <c r="F24" s="148">
        <f>E24/$B$31</f>
        <v>143.780533393828</v>
      </c>
      <c r="G24" s="150"/>
    </row>
    <row r="25" ht="12.75" customHeight="1" spans="1:7">
      <c r="A25" s="157"/>
      <c r="D25" s="158"/>
      <c r="E25" s="154"/>
      <c r="F25" s="148"/>
      <c r="G25" s="150"/>
    </row>
    <row r="26" ht="12.75" customHeight="1" spans="1:7">
      <c r="A26" s="157"/>
      <c r="D26" s="158"/>
      <c r="E26" s="154"/>
      <c r="F26" s="148"/>
      <c r="G26" s="150"/>
    </row>
    <row r="27" ht="14.25" customHeight="1" spans="1:7">
      <c r="A27" s="159"/>
      <c r="D27" s="160"/>
      <c r="E27" s="161"/>
      <c r="F27" s="162"/>
      <c r="G27" s="150"/>
    </row>
    <row r="28" s="114" customFormat="1" ht="15" customHeight="1" spans="1:7">
      <c r="A28" s="163" t="s">
        <v>16</v>
      </c>
      <c r="B28" s="164"/>
      <c r="C28" s="164"/>
      <c r="D28" s="164"/>
      <c r="E28" s="165">
        <f>E15+E23</f>
        <v>4500</v>
      </c>
      <c r="F28" s="166">
        <f>F15+F23</f>
        <v>143.780533393828</v>
      </c>
      <c r="G28" s="144"/>
    </row>
    <row r="29" s="114" customFormat="1" ht="14.25" customHeight="1" spans="1:7">
      <c r="A29" s="167"/>
      <c r="B29" s="167"/>
      <c r="C29" s="168"/>
      <c r="D29" s="168"/>
      <c r="E29" s="169"/>
      <c r="F29" s="170"/>
      <c r="G29" s="144"/>
    </row>
    <row r="30" s="114" customFormat="1" ht="15" customHeight="1" spans="1:7">
      <c r="A30" s="171"/>
      <c r="B30" s="171"/>
      <c r="C30" s="171"/>
      <c r="D30" s="171"/>
      <c r="E30" s="169"/>
      <c r="F30" s="170"/>
      <c r="G30" s="144"/>
    </row>
    <row r="31" ht="25.5" customHeight="1" spans="1:7">
      <c r="A31" s="172" t="str">
        <f>"*FX rate  USD:  "&amp;TW!C6</f>
        <v>*FX rate  USD:  (NTD)</v>
      </c>
      <c r="B31" s="173">
        <v>31.2977</v>
      </c>
      <c r="C31" s="169"/>
      <c r="D31" s="174" t="s">
        <v>17</v>
      </c>
      <c r="E31" s="175"/>
      <c r="F31" s="176">
        <f>F28</f>
        <v>143.780533393828</v>
      </c>
      <c r="G31" s="150"/>
    </row>
    <row r="32" s="115" customFormat="1" ht="16" customHeight="1" spans="1:7">
      <c r="A32" s="177"/>
      <c r="B32" s="177"/>
      <c r="C32" s="169"/>
      <c r="D32" s="178" t="s">
        <v>18</v>
      </c>
      <c r="F32" s="179">
        <f>TW!E22</f>
        <v>0</v>
      </c>
      <c r="G32" s="149"/>
    </row>
    <row r="33" s="115" customFormat="1" ht="14.25" customHeight="1" spans="1:8">
      <c r="A33" s="177"/>
      <c r="B33" s="177"/>
      <c r="C33" s="169"/>
      <c r="D33" s="178" t="s">
        <v>19</v>
      </c>
      <c r="F33" s="179">
        <f>TW!E23</f>
        <v>0</v>
      </c>
      <c r="G33" s="149"/>
    </row>
    <row r="34" ht="14.25" customHeight="1" spans="1:8">
      <c r="A34" s="177"/>
      <c r="B34" s="177"/>
      <c r="C34" s="169"/>
      <c r="D34" s="178" t="s">
        <v>20</v>
      </c>
      <c r="F34" s="179">
        <f>TW!E24</f>
        <v>0</v>
      </c>
      <c r="G34" s="150"/>
    </row>
    <row r="35" ht="15" customHeight="1" spans="1:8">
      <c r="A35" s="177"/>
      <c r="B35" s="177"/>
      <c r="C35" s="180"/>
      <c r="D35" s="181" t="s">
        <v>21</v>
      </c>
      <c r="E35" s="182"/>
      <c r="F35" s="183">
        <f>TW!E25</f>
        <v>10</v>
      </c>
      <c r="G35" s="150"/>
    </row>
    <row r="36" ht="14.25" customHeight="1" spans="1:8">
      <c r="A36" s="177"/>
      <c r="B36" s="177"/>
      <c r="C36" s="169"/>
      <c r="D36" s="184" t="s">
        <v>22</v>
      </c>
      <c r="F36" s="185">
        <f>SUM(F31:F35)</f>
        <v>153.780533393828</v>
      </c>
      <c r="G36" s="150"/>
    </row>
    <row r="37" ht="14.25" customHeight="1" spans="1:8">
      <c r="A37" s="177"/>
      <c r="B37" s="177"/>
      <c r="C37" s="169"/>
      <c r="D37" s="186" t="s">
        <v>23</v>
      </c>
      <c r="F37" s="185">
        <f>ROUNDUP(TW!F6/PN!B31,2)+0.01</f>
        <v>0.01</v>
      </c>
      <c r="G37" s="150"/>
    </row>
    <row r="38" ht="15" customHeight="1" spans="1:8">
      <c r="A38" s="187"/>
      <c r="B38" s="187"/>
      <c r="C38" s="169"/>
      <c r="D38" s="188" t="s">
        <v>24</v>
      </c>
      <c r="E38" s="189"/>
      <c r="F38" s="190">
        <f>SUM(F36:F37)</f>
        <v>153.790533393828</v>
      </c>
      <c r="G38" s="150"/>
      <c r="H38" s="191"/>
    </row>
    <row r="39" ht="14.25" customHeight="1" spans="1:8">
      <c r="A39" s="160"/>
      <c r="B39" s="160"/>
      <c r="C39" s="160"/>
      <c r="D39" s="160"/>
      <c r="E39" s="180"/>
      <c r="F39" s="180"/>
      <c r="G39" s="150"/>
    </row>
    <row r="40" ht="14.25" customHeight="1" spans="1:8">
      <c r="A40" s="160"/>
      <c r="B40" s="160"/>
      <c r="C40" s="160"/>
      <c r="D40" s="160"/>
      <c r="E40" s="180"/>
      <c r="F40" s="180"/>
      <c r="G40" s="150"/>
    </row>
    <row r="41" spans="1:8">
      <c r="G41" s="150"/>
    </row>
    <row r="42" ht="19" customHeight="1" spans="1:8">
      <c r="A42" s="192" t="s">
        <v>25</v>
      </c>
    </row>
    <row r="43" ht="61" customHeight="1" spans="1:8">
      <c r="A43" s="193" t="s">
        <v>26</v>
      </c>
      <c r="C43" s="194"/>
      <c r="D43" s="195" t="s">
        <v>27</v>
      </c>
    </row>
    <row r="44" spans="1:8">
      <c r="A44" s="117" t="s">
        <v>28</v>
      </c>
    </row>
    <row r="45" ht="11" customHeight="1" spans="1:8">
      <c r="A45" s="114" t="s">
        <v>29</v>
      </c>
      <c r="B45" s="114"/>
      <c r="C45" s="114"/>
      <c r="D45" s="114"/>
      <c r="E45" s="114"/>
      <c r="F45" s="114"/>
    </row>
    <row r="46" spans="1:8">
      <c r="A46" s="114" t="s">
        <v>30</v>
      </c>
    </row>
    <row r="47" spans="1:8">
      <c r="A47" s="114" t="s">
        <v>31</v>
      </c>
    </row>
  </sheetData>
  <mergeCells count="31">
    <mergeCell ref="B1:F1"/>
    <mergeCell ref="B2:F2"/>
    <mergeCell ref="B3:F3"/>
    <mergeCell ref="A5:F5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D28"/>
    <mergeCell ref="D31:E31"/>
    <mergeCell ref="D32:E32"/>
    <mergeCell ref="D33:E33"/>
    <mergeCell ref="D34:E34"/>
    <mergeCell ref="D35:E35"/>
    <mergeCell ref="D36:E36"/>
    <mergeCell ref="D37:E37"/>
    <mergeCell ref="D38:E38"/>
    <mergeCell ref="A42:F42"/>
    <mergeCell ref="A43:C43"/>
    <mergeCell ref="D43:F43"/>
    <mergeCell ref="B10:B11"/>
  </mergeCells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6"/>
  <sheetViews>
    <sheetView zoomScale="87" zoomScaleNormal="87" workbookViewId="0">
      <pane xSplit="3" ySplit="4" topLeftCell="D5" activePane="bottomRight" state="frozen"/>
      <selection/>
      <selection pane="topRight"/>
      <selection pane="bottomLeft"/>
      <selection pane="bottomRight" activeCell="B4" sqref="B4"/>
    </sheetView>
  </sheetViews>
  <sheetFormatPr defaultColWidth="8.81666666666667" defaultRowHeight="14.25"/>
  <cols>
    <col min="1" max="1" width="9.725" style="56" customWidth="1"/>
    <col min="2" max="2" width="19.45" style="57" customWidth="1"/>
    <col min="3" max="3" width="13.1833333333333" style="57" customWidth="1"/>
    <col min="5" max="5" width="9.725" style="57" customWidth="1"/>
    <col min="6" max="6" width="8.63333333333333" style="57" customWidth="1"/>
    <col min="7" max="8" width="9.725" style="57" customWidth="1"/>
    <col min="9" max="9" width="7.54166666666667" style="57" customWidth="1"/>
    <col min="10" max="11" width="9.725" style="57" customWidth="1"/>
    <col min="12" max="12" width="9.81666666666667" style="57" customWidth="1"/>
    <col min="13" max="14" width="9.725" style="57" customWidth="1"/>
    <col min="15" max="15" width="12.1833333333333" style="57" customWidth="1"/>
    <col min="16" max="16" width="8" style="57" customWidth="1"/>
    <col min="17" max="17" width="12.3666666666667" style="57" customWidth="1"/>
    <col min="18" max="18" width="7.26666666666667" style="57" customWidth="1"/>
    <col min="19" max="19" width="9.26666666666667" style="57" customWidth="1"/>
    <col min="20" max="20" width="5.81666666666667" style="57" customWidth="1"/>
    <col min="21" max="21" width="6.54166666666667" style="57" customWidth="1"/>
    <col min="22" max="22" width="6" style="57" customWidth="1"/>
    <col min="23" max="23" width="9.18333333333333" style="57" customWidth="1"/>
    <col min="24" max="24" width="10.0916666666667" style="57" customWidth="1"/>
    <col min="25" max="25" width="9.26666666666667" style="57" customWidth="1"/>
    <col min="26" max="27" width="8.63333333333333" style="57" customWidth="1"/>
    <col min="28" max="28" width="7.725" style="57" customWidth="1"/>
    <col min="29" max="29" width="7.54166666666667" style="57" customWidth="1"/>
  </cols>
  <sheetData>
    <row r="1" ht="15" customHeight="1" spans="1:29">
      <c r="A1" s="56" t="s">
        <v>32</v>
      </c>
    </row>
    <row r="2" ht="15" customHeight="1" spans="1:29">
      <c r="A2" s="56" t="s">
        <v>33</v>
      </c>
      <c r="B2" s="93">
        <f>'TW-L'!C4</f>
        <v>0</v>
      </c>
      <c r="C2" s="93">
        <f>'TW-L'!C5</f>
        <v>0</v>
      </c>
      <c r="E2" s="61" t="s">
        <v>34</v>
      </c>
    </row>
    <row r="3" s="54" customFormat="1" spans="1:29">
      <c r="E3" s="94" t="s">
        <v>35</v>
      </c>
      <c r="F3" s="65" t="s">
        <v>36</v>
      </c>
      <c r="G3" s="65" t="s">
        <v>37</v>
      </c>
      <c r="H3" s="66"/>
      <c r="I3" s="67"/>
      <c r="J3" s="95" t="s">
        <v>38</v>
      </c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7"/>
      <c r="Z3" s="96" t="s">
        <v>39</v>
      </c>
      <c r="AA3" s="66"/>
      <c r="AB3" s="95" t="s">
        <v>40</v>
      </c>
      <c r="AC3" s="67"/>
    </row>
    <row r="4" s="54" customFormat="1" ht="57.75" customHeight="1" spans="1:29">
      <c r="E4" s="69"/>
      <c r="F4" s="72"/>
      <c r="G4" s="97" t="s">
        <v>41</v>
      </c>
      <c r="H4" s="71" t="s">
        <v>42</v>
      </c>
      <c r="I4" s="71" t="s">
        <v>43</v>
      </c>
      <c r="J4" s="98" t="s">
        <v>41</v>
      </c>
      <c r="K4" s="71" t="s">
        <v>44</v>
      </c>
      <c r="L4" s="71" t="s">
        <v>45</v>
      </c>
      <c r="M4" s="71" t="s">
        <v>46</v>
      </c>
      <c r="N4" s="71" t="s">
        <v>47</v>
      </c>
      <c r="O4" s="71" t="s">
        <v>48</v>
      </c>
      <c r="P4" s="71" t="s">
        <v>49</v>
      </c>
      <c r="Q4" s="71" t="s">
        <v>50</v>
      </c>
      <c r="R4" s="71" t="s">
        <v>51</v>
      </c>
      <c r="S4" s="71" t="s">
        <v>52</v>
      </c>
      <c r="T4" s="71" t="s">
        <v>53</v>
      </c>
      <c r="U4" s="71" t="s">
        <v>54</v>
      </c>
      <c r="V4" s="71" t="s">
        <v>55</v>
      </c>
      <c r="W4" s="71" t="s">
        <v>56</v>
      </c>
      <c r="X4" s="71" t="s">
        <v>57</v>
      </c>
      <c r="Y4" s="71" t="s">
        <v>58</v>
      </c>
      <c r="Z4" s="71" t="s">
        <v>41</v>
      </c>
      <c r="AA4" s="71" t="s">
        <v>59</v>
      </c>
      <c r="AB4" s="98" t="s">
        <v>41</v>
      </c>
      <c r="AC4" s="99" t="s">
        <v>60</v>
      </c>
    </row>
    <row r="5" s="54" customFormat="1" ht="15" customHeight="1" spans="1:29">
      <c r="A5" s="56"/>
      <c r="E5" s="74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6"/>
    </row>
    <row r="6" s="55" customFormat="1" spans="1:29">
      <c r="A6" s="77"/>
      <c r="B6" s="55" t="s">
        <v>35</v>
      </c>
      <c r="C6" s="55" t="s">
        <v>61</v>
      </c>
      <c r="E6" s="81">
        <f t="shared" ref="E6:AC6" si="0">SUM(E9:E17)</f>
        <v>4500</v>
      </c>
      <c r="F6" s="82">
        <f t="shared" si="0"/>
        <v>0</v>
      </c>
      <c r="G6" s="82">
        <f t="shared" si="0"/>
        <v>4500</v>
      </c>
      <c r="H6" s="82">
        <f t="shared" si="0"/>
        <v>4500</v>
      </c>
      <c r="I6" s="82">
        <f t="shared" si="0"/>
        <v>0</v>
      </c>
      <c r="J6" s="82">
        <f t="shared" si="0"/>
        <v>0</v>
      </c>
      <c r="K6" s="82">
        <f t="shared" si="0"/>
        <v>0</v>
      </c>
      <c r="L6" s="82">
        <f t="shared" si="0"/>
        <v>0</v>
      </c>
      <c r="M6" s="82">
        <f t="shared" si="0"/>
        <v>0</v>
      </c>
      <c r="N6" s="82">
        <f t="shared" si="0"/>
        <v>0</v>
      </c>
      <c r="O6" s="82">
        <f t="shared" si="0"/>
        <v>0</v>
      </c>
      <c r="P6" s="82">
        <f t="shared" si="0"/>
        <v>0</v>
      </c>
      <c r="Q6" s="82">
        <f t="shared" si="0"/>
        <v>0</v>
      </c>
      <c r="R6" s="82">
        <f t="shared" si="0"/>
        <v>0</v>
      </c>
      <c r="S6" s="82">
        <f t="shared" si="0"/>
        <v>0</v>
      </c>
      <c r="T6" s="82">
        <f t="shared" si="0"/>
        <v>0</v>
      </c>
      <c r="U6" s="82">
        <f t="shared" si="0"/>
        <v>0</v>
      </c>
      <c r="V6" s="82">
        <f t="shared" si="0"/>
        <v>0</v>
      </c>
      <c r="W6" s="82">
        <f t="shared" si="0"/>
        <v>0</v>
      </c>
      <c r="X6" s="82">
        <f t="shared" si="0"/>
        <v>0</v>
      </c>
      <c r="Y6" s="82">
        <f t="shared" si="0"/>
        <v>0</v>
      </c>
      <c r="Z6" s="82">
        <f t="shared" si="0"/>
        <v>0</v>
      </c>
      <c r="AA6" s="82">
        <f t="shared" si="0"/>
        <v>0</v>
      </c>
      <c r="AB6" s="82">
        <f t="shared" si="0"/>
        <v>0</v>
      </c>
      <c r="AC6" s="83">
        <f t="shared" si="0"/>
        <v>0</v>
      </c>
    </row>
    <row r="7" s="55" customFormat="1" spans="1:29">
      <c r="A7" s="84"/>
      <c r="B7" s="85"/>
      <c r="C7" s="85"/>
      <c r="E7" s="81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3"/>
    </row>
    <row r="8" s="55" customFormat="1" spans="1:29">
      <c r="A8" s="84"/>
      <c r="E8" s="81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3"/>
    </row>
    <row r="9" s="55" customFormat="1" spans="1:29">
      <c r="A9" s="77"/>
      <c r="B9" s="55">
        <f>'TW-L'!C9</f>
        <v>0</v>
      </c>
      <c r="C9" s="55">
        <f>'TW EE'!D10</f>
        <v>0</v>
      </c>
      <c r="E9" s="81">
        <f>SUM(F9:G9)+J9+Z9+AB9</f>
        <v>4500</v>
      </c>
      <c r="F9" s="100"/>
      <c r="G9" s="82">
        <f>SUM(H9:I9)</f>
        <v>4500</v>
      </c>
      <c r="H9" s="82">
        <f>MAX(4500,(J9+Z9)*12%)</f>
        <v>4500</v>
      </c>
      <c r="I9" s="82">
        <f>IF(AB9&gt;0,1500,0)</f>
        <v>0</v>
      </c>
      <c r="J9" s="82">
        <f>SUM(K9:Y9)</f>
        <v>0</v>
      </c>
      <c r="K9" s="82">
        <f>'TW-L'!N9</f>
        <v>0</v>
      </c>
      <c r="L9" s="82">
        <v>0</v>
      </c>
      <c r="M9" s="82">
        <f>'TW-L'!AC9</f>
        <v>0</v>
      </c>
      <c r="N9" s="82">
        <f>'TW-L'!O9</f>
        <v>0</v>
      </c>
      <c r="O9" s="82">
        <f>'TW-L'!P9</f>
        <v>0</v>
      </c>
      <c r="P9" s="82">
        <f>'TW-L'!Q9</f>
        <v>0</v>
      </c>
      <c r="Q9" s="82">
        <f>'TW-L'!R9</f>
        <v>0</v>
      </c>
      <c r="R9" s="82">
        <f>'TW-L'!R9</f>
        <v>0</v>
      </c>
      <c r="S9" s="82">
        <f>'TW-L'!U9</f>
        <v>0</v>
      </c>
      <c r="T9" s="82">
        <f>'TW-L'!V9</f>
        <v>0</v>
      </c>
      <c r="U9" s="82">
        <f>'TW-L'!W9</f>
        <v>0</v>
      </c>
      <c r="V9" s="82">
        <f>'TW-L'!X9</f>
        <v>0</v>
      </c>
      <c r="W9" s="82">
        <f>'TW-L'!Y9</f>
        <v>0</v>
      </c>
      <c r="X9" s="82">
        <f>'TW-L'!AA9</f>
        <v>0</v>
      </c>
      <c r="Y9" s="82">
        <f>'TW-L'!AB9</f>
        <v>0</v>
      </c>
      <c r="Z9" s="82">
        <f>SUM(AA9:AA9)</f>
        <v>0</v>
      </c>
      <c r="AA9" s="82">
        <f>'TW-L'!BL9</f>
        <v>0</v>
      </c>
      <c r="AB9" s="82">
        <f>SUM(AC9:AC9)</f>
        <v>0</v>
      </c>
      <c r="AC9" s="83">
        <f>'TW-L'!Z9</f>
        <v>0</v>
      </c>
    </row>
    <row r="10" s="55" customFormat="1" spans="1:29">
      <c r="A10" s="77"/>
      <c r="B10" s="55"/>
      <c r="C10" s="55"/>
      <c r="E10" s="81"/>
      <c r="F10" s="100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3"/>
    </row>
    <row r="11" s="55" customFormat="1" spans="1:29">
      <c r="A11" s="77"/>
      <c r="B11" s="55"/>
      <c r="C11" s="55"/>
      <c r="E11" s="81"/>
      <c r="F11" s="100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3"/>
    </row>
    <row r="12" s="55" customFormat="1" spans="1:29">
      <c r="A12" s="77"/>
      <c r="E12" s="81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3"/>
    </row>
    <row r="13" s="55" customFormat="1" spans="1:29">
      <c r="A13" s="77"/>
      <c r="E13" s="81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3"/>
    </row>
    <row r="14" s="55" customFormat="1" spans="1:29">
      <c r="A14" s="77"/>
      <c r="E14" s="81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3"/>
    </row>
    <row r="15" s="55" customFormat="1" spans="1:29">
      <c r="A15" s="77"/>
      <c r="E15" s="81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3"/>
    </row>
    <row r="16" s="55" customFormat="1" spans="1:29">
      <c r="A16" s="77"/>
      <c r="E16" s="81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3"/>
    </row>
    <row r="17" s="55" customFormat="1" ht="15" customHeight="1" spans="1:29">
      <c r="A17" s="77"/>
      <c r="E17" s="101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2"/>
    </row>
    <row r="20" ht="15" customHeight="1"/>
    <row r="21" spans="1:29">
      <c r="A21" s="56" t="s">
        <v>62</v>
      </c>
      <c r="B21" s="103"/>
      <c r="C21" s="103"/>
      <c r="D21" s="103"/>
      <c r="E21" s="104">
        <f>SUM(E22:E26)</f>
        <v>10</v>
      </c>
      <c r="F21" s="105">
        <v>0</v>
      </c>
      <c r="G21" s="106"/>
    </row>
    <row r="22" spans="1:29">
      <c r="B22" s="103" t="s">
        <v>18</v>
      </c>
      <c r="C22" s="103"/>
      <c r="D22" s="103"/>
      <c r="E22" s="107"/>
      <c r="F22" s="108"/>
    </row>
    <row r="23" spans="1:29">
      <c r="B23" s="103" t="s">
        <v>19</v>
      </c>
      <c r="C23" s="103"/>
      <c r="D23" s="103"/>
      <c r="E23" s="107"/>
      <c r="F23" s="108">
        <v>0</v>
      </c>
    </row>
    <row r="24" spans="1:29">
      <c r="B24" s="103" t="s">
        <v>63</v>
      </c>
      <c r="C24" s="103"/>
      <c r="D24" s="103"/>
      <c r="E24" s="107"/>
      <c r="F24" s="108">
        <v>0</v>
      </c>
    </row>
    <row r="25" spans="1:29">
      <c r="B25" s="103" t="s">
        <v>64</v>
      </c>
      <c r="C25" s="103"/>
      <c r="D25" s="103"/>
      <c r="E25" s="107">
        <f>10</f>
        <v>10</v>
      </c>
      <c r="F25" s="108"/>
    </row>
    <row r="26" ht="15" customHeight="1" spans="1:29">
      <c r="B26" s="103" t="s">
        <v>65</v>
      </c>
      <c r="C26" s="103"/>
      <c r="D26" s="103"/>
      <c r="E26" s="109">
        <v>0</v>
      </c>
      <c r="F26" s="110"/>
    </row>
  </sheetData>
  <mergeCells count="6">
    <mergeCell ref="G3:I3"/>
    <mergeCell ref="J3:Y3"/>
    <mergeCell ref="Z3:AA3"/>
    <mergeCell ref="AB3:AC3"/>
    <mergeCell ref="E3:E4"/>
    <mergeCell ref="F3:F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9"/>
  <sheetViews>
    <sheetView zoomScale="87" zoomScaleNormal="87" workbookViewId="0">
      <pane xSplit="7" ySplit="6" topLeftCell="H7" activePane="bottomRight" state="frozen"/>
      <selection/>
      <selection pane="topRight"/>
      <selection pane="bottomLeft"/>
      <selection pane="bottomRight" activeCell="E6" sqref="E6"/>
    </sheetView>
  </sheetViews>
  <sheetFormatPr defaultColWidth="8.81666666666667" defaultRowHeight="14.25"/>
  <cols>
    <col min="1" max="1" width="13.3666666666667" style="56" customWidth="1"/>
    <col min="2" max="2" width="9.81666666666667" style="57" customWidth="1"/>
    <col min="3" max="3" width="10.45" style="57" customWidth="1"/>
    <col min="4" max="4" width="12.6333333333333" style="57" customWidth="1"/>
    <col min="5" max="5" width="8.18333333333333" style="57" customWidth="1"/>
    <col min="6" max="6" width="8.63333333333333" style="57" customWidth="1"/>
    <col min="7" max="7" width="9.45" style="57" customWidth="1"/>
    <col min="8" max="10" width="9.725" style="57" customWidth="1"/>
    <col min="11" max="11" width="10.1833333333333" style="57" customWidth="1"/>
    <col min="12" max="12" width="9.45" style="57" customWidth="1"/>
    <col min="13" max="13" width="10.3666666666667" style="57" customWidth="1"/>
    <col min="14" max="14" width="12.45" style="57" customWidth="1"/>
    <col min="15" max="15" width="8.18333333333333" style="57" customWidth="1"/>
    <col min="16" max="16" width="10.1833333333333" style="57" customWidth="1"/>
    <col min="17" max="17" width="13.3666666666667" style="57" customWidth="1"/>
    <col min="18" max="18" width="9.36666666666667" style="57" customWidth="1"/>
    <col min="19" max="19" width="9" style="57" customWidth="1"/>
    <col min="20" max="20" width="11.6333333333333" style="57" customWidth="1"/>
    <col min="21" max="21" width="8.36666666666667" style="57" customWidth="1"/>
    <col min="22" max="22" width="9.18333333333333" style="57" customWidth="1"/>
    <col min="23" max="23" width="10.1833333333333" style="57" customWidth="1"/>
    <col min="24" max="24" width="9.36666666666667" style="57" customWidth="1"/>
    <col min="25" max="26" width="7.63333333333333" style="57" customWidth="1"/>
    <col min="27" max="27" width="9.26666666666667" style="57" customWidth="1"/>
    <col min="28" max="28" width="9" style="57" customWidth="1"/>
    <col min="29" max="29" width="7.36666666666667" style="57" customWidth="1"/>
    <col min="30" max="31" width="7.725" style="57" customWidth="1"/>
    <col min="32" max="32" width="9.18333333333333" style="57" customWidth="1"/>
    <col min="33" max="33" width="7.725" style="57" customWidth="1"/>
  </cols>
  <sheetData>
    <row r="1" ht="15" customHeight="1" spans="1:33">
      <c r="A1" s="56" t="s">
        <v>66</v>
      </c>
      <c r="H1" s="58"/>
    </row>
    <row r="2" ht="15" customHeight="1" spans="1:33">
      <c r="A2" s="59"/>
      <c r="B2" s="60"/>
      <c r="C2" s="60"/>
      <c r="D2" s="60"/>
      <c r="E2" s="60"/>
      <c r="F2" s="60"/>
      <c r="H2" s="61" t="s">
        <v>67</v>
      </c>
    </row>
    <row r="3" s="54" customFormat="1" spans="1:33">
      <c r="B3" s="62" t="s">
        <v>68</v>
      </c>
      <c r="C3" s="62" t="s">
        <v>69</v>
      </c>
      <c r="D3" s="62" t="s">
        <v>70</v>
      </c>
      <c r="E3" s="62" t="s">
        <v>71</v>
      </c>
      <c r="F3" s="63" t="s">
        <v>33</v>
      </c>
      <c r="G3" s="64"/>
      <c r="H3" s="62" t="s">
        <v>72</v>
      </c>
      <c r="I3" s="65" t="s">
        <v>38</v>
      </c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7"/>
      <c r="Y3" s="65" t="s">
        <v>40</v>
      </c>
      <c r="Z3" s="67"/>
      <c r="AA3" s="65" t="s">
        <v>39</v>
      </c>
      <c r="AB3" s="66"/>
      <c r="AC3" s="66"/>
      <c r="AD3" s="66"/>
      <c r="AE3" s="67"/>
      <c r="AF3" s="65" t="s">
        <v>73</v>
      </c>
      <c r="AG3" s="68" t="s">
        <v>74</v>
      </c>
    </row>
    <row r="4" s="54" customFormat="1" ht="57.75" customHeight="1" spans="1:33">
      <c r="B4" s="69"/>
      <c r="C4" s="69"/>
      <c r="D4" s="69"/>
      <c r="E4" s="69"/>
      <c r="F4" s="70" t="s">
        <v>75</v>
      </c>
      <c r="G4" s="70" t="s">
        <v>76</v>
      </c>
      <c r="H4" s="69"/>
      <c r="I4" s="71" t="s">
        <v>41</v>
      </c>
      <c r="J4" s="71" t="s">
        <v>44</v>
      </c>
      <c r="K4" s="71" t="s">
        <v>45</v>
      </c>
      <c r="L4" s="71" t="s">
        <v>46</v>
      </c>
      <c r="M4" s="71" t="s">
        <v>47</v>
      </c>
      <c r="N4" s="71" t="s">
        <v>48</v>
      </c>
      <c r="O4" s="71" t="s">
        <v>49</v>
      </c>
      <c r="P4" s="71" t="s">
        <v>77</v>
      </c>
      <c r="Q4" s="71" t="s">
        <v>51</v>
      </c>
      <c r="R4" s="71" t="s">
        <v>52</v>
      </c>
      <c r="S4" s="71" t="s">
        <v>53</v>
      </c>
      <c r="T4" s="71" t="s">
        <v>54</v>
      </c>
      <c r="U4" s="71" t="s">
        <v>55</v>
      </c>
      <c r="V4" s="71" t="s">
        <v>56</v>
      </c>
      <c r="W4" s="71" t="s">
        <v>57</v>
      </c>
      <c r="X4" s="71" t="s">
        <v>58</v>
      </c>
      <c r="Y4" s="71" t="s">
        <v>41</v>
      </c>
      <c r="Z4" s="71" t="s">
        <v>60</v>
      </c>
      <c r="AA4" s="71" t="s">
        <v>41</v>
      </c>
      <c r="AB4" s="71" t="s">
        <v>78</v>
      </c>
      <c r="AC4" s="71" t="s">
        <v>79</v>
      </c>
      <c r="AD4" s="71" t="s">
        <v>80</v>
      </c>
      <c r="AE4" s="71" t="s">
        <v>81</v>
      </c>
      <c r="AF4" s="72"/>
      <c r="AG4" s="73"/>
    </row>
    <row r="5" s="54" customFormat="1" ht="15" spans="1:33">
      <c r="A5" s="56"/>
      <c r="H5" s="74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6"/>
    </row>
    <row r="6" s="55" customFormat="1" spans="1:33">
      <c r="A6" s="77" t="s">
        <v>82</v>
      </c>
      <c r="H6" s="78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80"/>
    </row>
    <row r="7" s="55" customFormat="1" spans="1:33">
      <c r="A7" s="77"/>
      <c r="H7" s="81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3"/>
    </row>
    <row r="8" s="55" customFormat="1" spans="1:33">
      <c r="A8" s="84"/>
      <c r="B8" s="85"/>
      <c r="C8" s="85"/>
      <c r="D8" s="85"/>
      <c r="E8" s="85"/>
      <c r="F8" s="85"/>
      <c r="G8" s="85"/>
      <c r="H8" s="81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3"/>
    </row>
    <row r="9" s="55" customFormat="1" spans="1:33">
      <c r="A9" s="84"/>
      <c r="H9" s="81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3"/>
    </row>
    <row r="10" s="55" customFormat="1" spans="1:33">
      <c r="A10" s="77"/>
      <c r="B10" s="55">
        <f>PN!$B$9</f>
        <v>0</v>
      </c>
      <c r="C10" s="55">
        <f>PN!$B$8</f>
        <v>0</v>
      </c>
      <c r="E10" s="86">
        <f>'TW-L'!C9</f>
        <v>0</v>
      </c>
      <c r="F10" s="85">
        <f>'TW-L'!$C$4</f>
        <v>0</v>
      </c>
      <c r="G10" s="85">
        <f>'TW-L'!$C$5</f>
        <v>0</v>
      </c>
      <c r="H10" s="81">
        <f>I10+Y10+AA10+AF10+AG10</f>
        <v>0</v>
      </c>
      <c r="I10" s="82">
        <f>SUM(J10:X10)</f>
        <v>0</v>
      </c>
      <c r="J10" s="82">
        <f>'TW-L'!N9</f>
        <v>0</v>
      </c>
      <c r="K10" s="82">
        <v>0</v>
      </c>
      <c r="L10" s="82">
        <f>'TW-L'!AC9</f>
        <v>0</v>
      </c>
      <c r="M10" s="82">
        <f>'TW-L'!O9</f>
        <v>0</v>
      </c>
      <c r="N10" s="82">
        <f>'TW-L'!P9</f>
        <v>0</v>
      </c>
      <c r="O10" s="82">
        <f>'TW-L'!Q9</f>
        <v>0</v>
      </c>
      <c r="P10" s="82">
        <f>'TW-L'!R9</f>
        <v>0</v>
      </c>
      <c r="Q10" s="82">
        <f>'TW-L'!X9+'TW-L'!Y9</f>
        <v>0</v>
      </c>
      <c r="R10" s="82">
        <f>'TW-L'!U9</f>
        <v>0</v>
      </c>
      <c r="S10" s="82">
        <f>'TW-L'!V9</f>
        <v>0</v>
      </c>
      <c r="T10" s="82">
        <f>'TW-L'!W9</f>
        <v>0</v>
      </c>
      <c r="U10" s="82">
        <f>'TW-L'!X9</f>
        <v>0</v>
      </c>
      <c r="V10" s="82">
        <f>'TW-L'!Y9</f>
        <v>0</v>
      </c>
      <c r="W10" s="82">
        <f>'TW-L'!AA9</f>
        <v>0</v>
      </c>
      <c r="X10" s="82">
        <f>'TW-L'!AB9</f>
        <v>0</v>
      </c>
      <c r="Y10" s="82">
        <f>SUM(Z10:Z10)</f>
        <v>0</v>
      </c>
      <c r="Z10" s="82">
        <f>'TW-L'!Z9</f>
        <v>0</v>
      </c>
      <c r="AA10" s="82">
        <f>SUM(AB10:AE10)</f>
        <v>0</v>
      </c>
      <c r="AB10" s="82">
        <f>'TW-L'!AR9+'TW-L'!AS9</f>
        <v>0</v>
      </c>
      <c r="AC10" s="82">
        <f>'TW-L'!AT9+'TW-L'!AU9</f>
        <v>0</v>
      </c>
      <c r="AD10" s="82">
        <f>'TW-L'!AV9+'TW-L'!AW9</f>
        <v>0</v>
      </c>
      <c r="AE10" s="82">
        <f>'TW-L'!AY9</f>
        <v>0</v>
      </c>
      <c r="AF10" s="82">
        <v>0</v>
      </c>
      <c r="AG10" s="83">
        <f>'TW-L'!AQ9</f>
        <v>0</v>
      </c>
    </row>
    <row r="11" s="55" customFormat="1" spans="1:33">
      <c r="A11" s="77"/>
      <c r="B11" s="55"/>
      <c r="C11" s="55"/>
      <c r="D11" s="55"/>
      <c r="E11" s="86"/>
      <c r="F11" s="85"/>
      <c r="G11" s="85"/>
      <c r="H11" s="81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3"/>
    </row>
    <row r="12" s="55" customFormat="1" spans="1:33">
      <c r="A12" s="77"/>
      <c r="B12" s="55"/>
      <c r="C12" s="55"/>
      <c r="D12" s="55"/>
      <c r="E12" s="86"/>
      <c r="F12" s="85"/>
      <c r="G12" s="85"/>
      <c r="H12" s="81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3"/>
    </row>
    <row r="13" s="55" customFormat="1" spans="1:33">
      <c r="A13" s="77"/>
      <c r="H13" s="81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3"/>
    </row>
    <row r="14" s="55" customFormat="1" spans="1:33">
      <c r="A14" s="77"/>
      <c r="H14" s="81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3"/>
    </row>
    <row r="15" s="55" customFormat="1" spans="1:33">
      <c r="A15" s="77"/>
      <c r="H15" s="81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3"/>
    </row>
    <row r="16" s="55" customFormat="1" spans="1:33">
      <c r="A16" s="77"/>
      <c r="H16" s="81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3"/>
    </row>
    <row r="17" s="55" customFormat="1" spans="1:33">
      <c r="A17" s="77"/>
      <c r="H17" s="81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3"/>
    </row>
    <row r="18" s="55" customFormat="1" spans="1:33">
      <c r="A18" s="77"/>
      <c r="H18" s="87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9"/>
    </row>
    <row r="19" s="55" customFormat="1" ht="15" customHeight="1" spans="1:33">
      <c r="A19" s="77"/>
      <c r="H19" s="90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2"/>
    </row>
  </sheetData>
  <mergeCells count="11">
    <mergeCell ref="F3:G3"/>
    <mergeCell ref="I3:X3"/>
    <mergeCell ref="Y3:Z3"/>
    <mergeCell ref="AA3:AE3"/>
    <mergeCell ref="B3:B4"/>
    <mergeCell ref="C3:C4"/>
    <mergeCell ref="D3:D4"/>
    <mergeCell ref="E3:E4"/>
    <mergeCell ref="H3:H4"/>
    <mergeCell ref="AF3:AF4"/>
    <mergeCell ref="AG3:AG4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U18"/>
  <sheetViews>
    <sheetView zoomScale="120" zoomScaleNormal="120" workbookViewId="0">
      <selection activeCell="L11" sqref="L11"/>
    </sheetView>
  </sheetViews>
  <sheetFormatPr defaultColWidth="10.1833333333333" defaultRowHeight="12.75"/>
  <cols>
    <col min="1" max="1" width="8.18333333333333" style="3" customWidth="1"/>
    <col min="2" max="2" width="9.81666666666667" style="3" customWidth="1"/>
    <col min="3" max="3" width="10" style="3" customWidth="1"/>
    <col min="4" max="4" width="7.63333333333333" style="3" customWidth="1"/>
    <col min="5" max="5" width="9.18333333333333" style="3" customWidth="1"/>
    <col min="6" max="6" width="8" style="3" customWidth="1" outlineLevel="1"/>
    <col min="7" max="7" width="6" style="3" customWidth="1" outlineLevel="1"/>
    <col min="8" max="12" width="10" style="3" customWidth="1" outlineLevel="1"/>
    <col min="13" max="13" width="7.36666666666667" style="3" customWidth="1" outlineLevel="1"/>
    <col min="14" max="14" width="9.81666666666667" style="3" customWidth="1" outlineLevel="1"/>
    <col min="15" max="15" width="10.45" style="3" customWidth="1" outlineLevel="1"/>
    <col min="16" max="16" width="10.1833333333333" style="3" customWidth="1" outlineLevel="1"/>
    <col min="17" max="17" width="8" style="3" customWidth="1" outlineLevel="1"/>
    <col min="18" max="19" width="8.81666666666667" style="3" customWidth="1" outlineLevel="1"/>
    <col min="20" max="23" width="9" style="3" customWidth="1" outlineLevel="1"/>
    <col min="24" max="24" width="8.18333333333333" style="3" customWidth="1" outlineLevel="1"/>
    <col min="25" max="25" width="8.81666666666667" style="3" customWidth="1" outlineLevel="1"/>
    <col min="26" max="26" width="10.1833333333333" style="3" customWidth="1"/>
    <col min="27" max="27" width="9.63333333333333" style="3" customWidth="1"/>
    <col min="28" max="28" width="9" style="3" customWidth="1"/>
    <col min="29" max="29" width="8.36666666666667" style="3" customWidth="1"/>
    <col min="30" max="30" width="8.45" style="3" customWidth="1"/>
    <col min="31" max="31" width="10" style="3" customWidth="1"/>
    <col min="32" max="32" width="8.45" style="3" customWidth="1"/>
    <col min="33" max="33" width="10" style="3" customWidth="1"/>
    <col min="34" max="34" width="6.36666666666667" style="3" customWidth="1"/>
    <col min="35" max="35" width="10" style="4" customWidth="1"/>
    <col min="36" max="36" width="8.45" style="4" customWidth="1"/>
    <col min="37" max="37" width="10" style="4" customWidth="1"/>
    <col min="38" max="38" width="11.45" style="3" customWidth="1"/>
    <col min="39" max="39" width="11.6333333333333" style="3" customWidth="1"/>
    <col min="40" max="40" width="11.45" style="3" customWidth="1"/>
    <col min="41" max="41" width="11.1833333333333" style="3" customWidth="1"/>
    <col min="42" max="42" width="10" style="4" customWidth="1" outlineLevel="1"/>
    <col min="43" max="43" width="10.3666666666667" style="3" customWidth="1" outlineLevel="1"/>
    <col min="44" max="44" width="8.63333333333333" style="3" customWidth="1"/>
    <col min="45" max="45" width="8.63333333333333" style="4" customWidth="1" outlineLevel="1"/>
    <col min="46" max="46" width="9.18333333333333" style="3" customWidth="1" outlineLevel="1"/>
    <col min="47" max="47" width="11.1833333333333" style="3" customWidth="1" outlineLevel="1"/>
    <col min="48" max="48" width="8.63333333333333" style="4" customWidth="1"/>
    <col min="49" max="51" width="8.63333333333333" style="3" customWidth="1"/>
    <col min="52" max="52" width="7.36666666666667" style="3" customWidth="1" outlineLevel="1"/>
    <col min="53" max="53" width="9.18333333333333" style="3" customWidth="1"/>
    <col min="54" max="55" width="8.63333333333333" style="3" customWidth="1" outlineLevel="1"/>
    <col min="56" max="56" width="9.18333333333333" style="3" customWidth="1"/>
    <col min="57" max="57" width="8.63333333333333" style="3" customWidth="1"/>
    <col min="58" max="58" width="8.63333333333333" style="3" customWidth="1" outlineLevel="1"/>
    <col min="59" max="61" width="8.63333333333333" style="3" customWidth="1"/>
    <col min="62" max="62" width="5.36666666666667" style="3" customWidth="1" outlineLevel="1"/>
    <col min="63" max="63" width="10.1833333333333" style="3" customWidth="1" outlineLevel="1"/>
    <col min="64" max="64" width="8.63333333333333" style="3" customWidth="1" outlineLevel="1"/>
    <col min="65" max="65" width="9.81666666666667" style="4" customWidth="1" outlineLevel="1"/>
    <col min="66" max="66" width="8.81666666666667" style="3" customWidth="1"/>
    <col min="67" max="67" width="6.81666666666667" style="3" customWidth="1"/>
    <col min="68" max="89" width="10.1833333333333" style="3" customWidth="1"/>
    <col min="90" max="90" width="10.1833333333333" style="5" customWidth="1"/>
    <col min="91" max="16384" width="10.1833333333333" style="3" customWidth="1"/>
  </cols>
  <sheetData>
    <row r="2" spans="1:71">
      <c r="A2" s="6" t="s">
        <v>83</v>
      </c>
      <c r="D2" s="6"/>
    </row>
    <row r="3" ht="15.75" customHeight="1" spans="1:71">
      <c r="A3" s="7" t="s">
        <v>84</v>
      </c>
      <c r="C3" s="8"/>
      <c r="D3" s="9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 s="10" t="s">
        <v>85</v>
      </c>
      <c r="AE3" s="11"/>
      <c r="AF3" s="11"/>
      <c r="AG3" s="11"/>
      <c r="AH3" s="11"/>
      <c r="AI3" s="11"/>
      <c r="AJ3" s="12"/>
      <c r="AK3" s="12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</row>
    <row r="4" ht="15" customHeight="1" spans="1:71">
      <c r="A4"/>
      <c r="B4" s="13" t="s">
        <v>86</v>
      </c>
      <c r="C4" s="14"/>
      <c r="D4" s="15"/>
      <c r="E4" s="16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 s="12"/>
      <c r="AE4" s="12"/>
      <c r="AF4" s="12"/>
      <c r="AG4" s="12"/>
      <c r="AH4" s="12"/>
      <c r="AI4" s="12"/>
      <c r="AJ4" s="12"/>
      <c r="AK4" s="12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</row>
    <row r="5" ht="15.75" customHeight="1" spans="1:71">
      <c r="A5"/>
      <c r="B5" s="13" t="s">
        <v>87</v>
      </c>
      <c r="C5" s="14"/>
      <c r="D5" s="15"/>
      <c r="E5" s="16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 s="12"/>
      <c r="AE5" s="12"/>
      <c r="AF5" s="12"/>
      <c r="AG5" s="12"/>
      <c r="AH5" s="12"/>
      <c r="AI5" s="12"/>
      <c r="AJ5" s="12"/>
      <c r="AK5" s="12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</row>
    <row r="6" s="1" customFormat="1" ht="17.25" customHeight="1" spans="1:71">
      <c r="D6" s="3"/>
      <c r="M6" s="17" t="s">
        <v>88</v>
      </c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9"/>
      <c r="AD6" s="20" t="s">
        <v>89</v>
      </c>
      <c r="AE6" s="18"/>
      <c r="AF6" s="18"/>
      <c r="AG6" s="18"/>
      <c r="AH6" s="18"/>
      <c r="AI6" s="18"/>
      <c r="AJ6" s="18"/>
      <c r="AK6" s="18"/>
      <c r="AL6" s="21" t="s">
        <v>90</v>
      </c>
      <c r="AM6" s="22"/>
      <c r="AN6" s="22"/>
      <c r="AO6" s="22"/>
      <c r="AP6" s="23"/>
      <c r="AQ6" s="17" t="s">
        <v>91</v>
      </c>
      <c r="AR6" s="18"/>
      <c r="AS6" s="18"/>
      <c r="AT6" s="18"/>
      <c r="AU6" s="18"/>
      <c r="AV6" s="18"/>
      <c r="AW6" s="18"/>
      <c r="AX6" s="18"/>
      <c r="AY6" s="19"/>
      <c r="AZ6" s="24"/>
      <c r="BA6" s="25"/>
      <c r="BB6" s="26" t="s">
        <v>92</v>
      </c>
      <c r="BC6" s="18"/>
      <c r="BD6" s="18"/>
      <c r="BE6" s="18"/>
      <c r="BF6" s="18"/>
      <c r="BG6" s="18"/>
      <c r="BH6" s="18"/>
      <c r="BI6" s="18"/>
      <c r="BJ6" s="19"/>
      <c r="BK6" s="27"/>
    </row>
    <row r="7" s="2" customFormat="1" ht="57.5" customHeight="1" spans="1:71">
      <c r="A7" s="28" t="s">
        <v>93</v>
      </c>
      <c r="B7" s="29" t="s">
        <v>94</v>
      </c>
      <c r="C7" s="29" t="s">
        <v>95</v>
      </c>
      <c r="D7" s="30" t="s">
        <v>96</v>
      </c>
      <c r="E7" s="29" t="s">
        <v>97</v>
      </c>
      <c r="F7" s="29" t="s">
        <v>98</v>
      </c>
      <c r="G7" s="29" t="s">
        <v>99</v>
      </c>
      <c r="H7" s="31" t="s">
        <v>100</v>
      </c>
      <c r="I7" s="32" t="s">
        <v>101</v>
      </c>
      <c r="J7" s="32" t="s">
        <v>47</v>
      </c>
      <c r="K7" s="32" t="s">
        <v>48</v>
      </c>
      <c r="L7" s="32" t="s">
        <v>102</v>
      </c>
      <c r="M7" s="31" t="s">
        <v>103</v>
      </c>
      <c r="N7" s="29" t="s">
        <v>104</v>
      </c>
      <c r="O7" s="29" t="s">
        <v>47</v>
      </c>
      <c r="P7" s="29" t="s">
        <v>48</v>
      </c>
      <c r="Q7" s="29" t="s">
        <v>49</v>
      </c>
      <c r="R7" s="29" t="s">
        <v>50</v>
      </c>
      <c r="S7" s="33" t="s">
        <v>51</v>
      </c>
      <c r="T7" s="29" t="s">
        <v>105</v>
      </c>
      <c r="U7" s="29" t="s">
        <v>52</v>
      </c>
      <c r="V7" s="34" t="s">
        <v>53</v>
      </c>
      <c r="W7" s="34" t="s">
        <v>54</v>
      </c>
      <c r="X7" s="29" t="s">
        <v>55</v>
      </c>
      <c r="Y7" s="29" t="s">
        <v>56</v>
      </c>
      <c r="Z7" s="29" t="s">
        <v>106</v>
      </c>
      <c r="AA7" s="29" t="s">
        <v>57</v>
      </c>
      <c r="AB7" s="29" t="s">
        <v>58</v>
      </c>
      <c r="AC7" s="29" t="s">
        <v>107</v>
      </c>
      <c r="AD7" s="29" t="s">
        <v>108</v>
      </c>
      <c r="AE7" s="29" t="s">
        <v>109</v>
      </c>
      <c r="AF7" s="29" t="s">
        <v>110</v>
      </c>
      <c r="AG7" s="29" t="s">
        <v>111</v>
      </c>
      <c r="AH7" s="29" t="s">
        <v>112</v>
      </c>
      <c r="AI7" s="29" t="s">
        <v>113</v>
      </c>
      <c r="AJ7" s="29" t="s">
        <v>114</v>
      </c>
      <c r="AK7" s="29" t="s">
        <v>115</v>
      </c>
      <c r="AL7" s="29" t="s">
        <v>116</v>
      </c>
      <c r="AM7" s="29" t="s">
        <v>117</v>
      </c>
      <c r="AN7" s="29" t="s">
        <v>118</v>
      </c>
      <c r="AO7" s="29" t="s">
        <v>119</v>
      </c>
      <c r="AP7" s="29" t="s">
        <v>120</v>
      </c>
      <c r="AQ7" s="29" t="s">
        <v>121</v>
      </c>
      <c r="AR7" s="29" t="s">
        <v>122</v>
      </c>
      <c r="AS7" s="29" t="s">
        <v>123</v>
      </c>
      <c r="AT7" s="29" t="s">
        <v>124</v>
      </c>
      <c r="AU7" s="29" t="s">
        <v>125</v>
      </c>
      <c r="AV7" s="29" t="s">
        <v>126</v>
      </c>
      <c r="AW7" s="29" t="s">
        <v>127</v>
      </c>
      <c r="AX7" s="35" t="s">
        <v>128</v>
      </c>
      <c r="AY7" s="29" t="s">
        <v>129</v>
      </c>
      <c r="AZ7" s="36" t="s">
        <v>130</v>
      </c>
      <c r="BA7" s="36" t="s">
        <v>131</v>
      </c>
      <c r="BB7" s="29" t="s">
        <v>132</v>
      </c>
      <c r="BC7" s="29" t="s">
        <v>133</v>
      </c>
      <c r="BD7" s="29" t="s">
        <v>134</v>
      </c>
      <c r="BE7" s="29" t="s">
        <v>135</v>
      </c>
      <c r="BF7" s="29" t="s">
        <v>136</v>
      </c>
      <c r="BG7" s="29" t="s">
        <v>137</v>
      </c>
      <c r="BH7" s="29" t="s">
        <v>138</v>
      </c>
      <c r="BI7" s="29" t="s">
        <v>139</v>
      </c>
      <c r="BJ7" s="29" t="s">
        <v>140</v>
      </c>
      <c r="BK7" s="36" t="s">
        <v>141</v>
      </c>
      <c r="BL7" s="36" t="s">
        <v>142</v>
      </c>
      <c r="BM7" s="36" t="s">
        <v>15</v>
      </c>
      <c r="BN7" s="36" t="s">
        <v>143</v>
      </c>
      <c r="BO7" s="37" t="s">
        <v>144</v>
      </c>
    </row>
    <row r="8" ht="14.25" customHeight="1" spans="1:71">
      <c r="A8" s="38"/>
      <c r="B8" s="39"/>
      <c r="C8" s="39"/>
      <c r="D8" s="39"/>
      <c r="E8" s="39"/>
      <c r="F8" s="39"/>
      <c r="G8" s="40"/>
      <c r="H8" s="41">
        <f t="shared" ref="H8:BO8" si="0">SUM(H9:H14)</f>
        <v>0</v>
      </c>
      <c r="I8" s="41">
        <f t="shared" si="0"/>
        <v>0</v>
      </c>
      <c r="J8" s="41">
        <f t="shared" si="0"/>
        <v>0</v>
      </c>
      <c r="K8" s="41">
        <f t="shared" si="0"/>
        <v>0</v>
      </c>
      <c r="L8" s="41">
        <f t="shared" si="0"/>
        <v>0</v>
      </c>
      <c r="M8" s="41">
        <f t="shared" si="0"/>
        <v>0</v>
      </c>
      <c r="N8" s="41">
        <f t="shared" si="0"/>
        <v>0</v>
      </c>
      <c r="O8" s="41">
        <f t="shared" si="0"/>
        <v>0</v>
      </c>
      <c r="P8" s="41">
        <f t="shared" si="0"/>
        <v>0</v>
      </c>
      <c r="Q8" s="41">
        <f t="shared" si="0"/>
        <v>0</v>
      </c>
      <c r="R8" s="42">
        <f t="shared" si="0"/>
        <v>0</v>
      </c>
      <c r="S8" s="42">
        <f t="shared" si="0"/>
        <v>0</v>
      </c>
      <c r="T8" s="42">
        <f t="shared" si="0"/>
        <v>0</v>
      </c>
      <c r="U8" s="42">
        <f t="shared" si="0"/>
        <v>0</v>
      </c>
      <c r="V8" s="42">
        <f t="shared" si="0"/>
        <v>0</v>
      </c>
      <c r="W8" s="42">
        <f t="shared" si="0"/>
        <v>0</v>
      </c>
      <c r="X8" s="42">
        <f t="shared" si="0"/>
        <v>0</v>
      </c>
      <c r="Y8" s="42">
        <f t="shared" si="0"/>
        <v>0</v>
      </c>
      <c r="Z8" s="42">
        <f t="shared" si="0"/>
        <v>0</v>
      </c>
      <c r="AA8" s="42">
        <f t="shared" si="0"/>
        <v>0</v>
      </c>
      <c r="AB8" s="42">
        <f t="shared" si="0"/>
        <v>0</v>
      </c>
      <c r="AC8" s="42">
        <f t="shared" si="0"/>
        <v>0</v>
      </c>
      <c r="AD8" s="42">
        <f t="shared" si="0"/>
        <v>0</v>
      </c>
      <c r="AE8" s="42">
        <f t="shared" si="0"/>
        <v>0</v>
      </c>
      <c r="AF8" s="42">
        <f t="shared" si="0"/>
        <v>0</v>
      </c>
      <c r="AG8" s="42">
        <f t="shared" si="0"/>
        <v>0</v>
      </c>
      <c r="AH8" s="42">
        <f t="shared" si="0"/>
        <v>0</v>
      </c>
      <c r="AI8" s="42">
        <f t="shared" si="0"/>
        <v>0</v>
      </c>
      <c r="AJ8" s="42">
        <f t="shared" si="0"/>
        <v>0</v>
      </c>
      <c r="AK8" s="42">
        <f t="shared" si="0"/>
        <v>0</v>
      </c>
      <c r="AL8" s="42">
        <f t="shared" si="0"/>
        <v>0</v>
      </c>
      <c r="AM8" s="42">
        <f t="shared" si="0"/>
        <v>0</v>
      </c>
      <c r="AN8" s="42">
        <f t="shared" si="0"/>
        <v>0</v>
      </c>
      <c r="AO8" s="42">
        <f t="shared" si="0"/>
        <v>0</v>
      </c>
      <c r="AP8" s="42">
        <f t="shared" si="0"/>
        <v>0</v>
      </c>
      <c r="AQ8" s="42">
        <f t="shared" si="0"/>
        <v>0</v>
      </c>
      <c r="AR8" s="42">
        <f t="shared" si="0"/>
        <v>0</v>
      </c>
      <c r="AS8" s="42">
        <f t="shared" si="0"/>
        <v>0</v>
      </c>
      <c r="AT8" s="42">
        <f t="shared" si="0"/>
        <v>0</v>
      </c>
      <c r="AU8" s="42">
        <f t="shared" si="0"/>
        <v>0</v>
      </c>
      <c r="AV8" s="42">
        <f t="shared" si="0"/>
        <v>0</v>
      </c>
      <c r="AW8" s="42">
        <f t="shared" si="0"/>
        <v>0</v>
      </c>
      <c r="AX8" s="42">
        <f t="shared" si="0"/>
        <v>0</v>
      </c>
      <c r="AY8" s="42">
        <f t="shared" si="0"/>
        <v>0</v>
      </c>
      <c r="AZ8" s="42">
        <f t="shared" si="0"/>
        <v>0</v>
      </c>
      <c r="BA8" s="42">
        <f t="shared" si="0"/>
        <v>0</v>
      </c>
      <c r="BB8" s="42">
        <f t="shared" si="0"/>
        <v>0</v>
      </c>
      <c r="BC8" s="42">
        <f t="shared" si="0"/>
        <v>0</v>
      </c>
      <c r="BD8" s="42">
        <f t="shared" si="0"/>
        <v>0</v>
      </c>
      <c r="BE8" s="42">
        <f t="shared" si="0"/>
        <v>0</v>
      </c>
      <c r="BF8" s="42">
        <f t="shared" si="0"/>
        <v>0</v>
      </c>
      <c r="BG8" s="42">
        <f t="shared" si="0"/>
        <v>0</v>
      </c>
      <c r="BH8" s="42">
        <f t="shared" si="0"/>
        <v>0</v>
      </c>
      <c r="BI8" s="42">
        <f t="shared" si="0"/>
        <v>0</v>
      </c>
      <c r="BJ8" s="42">
        <f t="shared" si="0"/>
        <v>0</v>
      </c>
      <c r="BK8" s="42">
        <f t="shared" si="0"/>
        <v>0</v>
      </c>
      <c r="BL8" s="42">
        <f t="shared" si="0"/>
        <v>0</v>
      </c>
      <c r="BM8" s="42">
        <f t="shared" si="0"/>
        <v>0</v>
      </c>
      <c r="BN8" s="42">
        <f t="shared" si="0"/>
        <v>0</v>
      </c>
      <c r="BO8" s="43">
        <f t="shared" si="0"/>
        <v>0</v>
      </c>
      <c r="BP8" s="2"/>
    </row>
    <row r="9" spans="1:71">
      <c r="A9" s="44"/>
      <c r="B9" s="45"/>
      <c r="C9" s="45"/>
      <c r="D9" s="45"/>
      <c r="E9" s="46"/>
      <c r="F9" s="46"/>
      <c r="G9" s="45"/>
      <c r="H9" s="47"/>
      <c r="I9" s="47"/>
      <c r="J9" s="47"/>
      <c r="K9" s="47"/>
      <c r="L9" s="47"/>
      <c r="M9" s="48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9"/>
      <c r="AE9" s="50"/>
      <c r="AF9" s="49"/>
      <c r="AG9" s="50"/>
      <c r="AH9" s="50"/>
      <c r="AI9" s="50"/>
      <c r="AJ9" s="50"/>
      <c r="AK9" s="50"/>
      <c r="AL9" s="51"/>
      <c r="AM9" s="51"/>
      <c r="AN9" s="51"/>
      <c r="AO9" s="50"/>
      <c r="AP9" s="51"/>
      <c r="AQ9" s="47"/>
      <c r="AR9" s="50"/>
      <c r="AS9" s="51"/>
      <c r="AT9" s="47"/>
      <c r="AU9" s="47"/>
      <c r="AV9" s="50"/>
      <c r="AW9" s="51"/>
      <c r="AX9" s="51"/>
      <c r="AY9" s="50"/>
      <c r="AZ9" s="47"/>
      <c r="BA9" s="47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2"/>
      <c r="BP9" s="2"/>
      <c r="BS9" s="53"/>
    </row>
    <row r="10" spans="1:71">
      <c r="A10" s="44"/>
      <c r="B10" s="45"/>
      <c r="C10" s="45"/>
      <c r="D10" s="45"/>
      <c r="E10" s="46"/>
      <c r="F10" s="46"/>
      <c r="G10" s="45"/>
      <c r="H10" s="47"/>
      <c r="I10" s="47"/>
      <c r="J10" s="47"/>
      <c r="K10" s="47"/>
      <c r="L10" s="47"/>
      <c r="M10" s="48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9"/>
      <c r="AE10" s="50"/>
      <c r="AF10" s="49"/>
      <c r="AG10" s="50"/>
      <c r="AH10" s="50"/>
      <c r="AI10" s="50"/>
      <c r="AJ10" s="50"/>
      <c r="AK10" s="50"/>
      <c r="AL10" s="51"/>
      <c r="AM10" s="51"/>
      <c r="AN10" s="51"/>
      <c r="AO10" s="50"/>
      <c r="AP10" s="51"/>
      <c r="AQ10" s="47"/>
      <c r="AR10" s="50"/>
      <c r="AS10" s="51"/>
      <c r="AT10" s="47"/>
      <c r="AU10" s="47"/>
      <c r="AV10" s="50"/>
      <c r="AW10" s="51"/>
      <c r="AX10" s="51"/>
      <c r="AY10" s="50"/>
      <c r="AZ10" s="47"/>
      <c r="BA10" s="47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2"/>
      <c r="BP10" s="2"/>
      <c r="BS10" s="53"/>
    </row>
    <row r="11" spans="1:71">
      <c r="A11" s="44"/>
      <c r="B11" s="45"/>
      <c r="C11" s="45"/>
      <c r="D11" s="45"/>
      <c r="E11" s="46"/>
      <c r="F11" s="46"/>
      <c r="G11" s="45"/>
      <c r="H11" s="47"/>
      <c r="I11" s="47"/>
      <c r="J11" s="47"/>
      <c r="K11" s="47"/>
      <c r="L11" s="47"/>
      <c r="M11" s="48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9"/>
      <c r="AE11" s="50"/>
      <c r="AF11" s="49"/>
      <c r="AG11" s="50"/>
      <c r="AH11" s="50"/>
      <c r="AI11" s="50"/>
      <c r="AJ11" s="50"/>
      <c r="AK11" s="50"/>
      <c r="AL11" s="51"/>
      <c r="AM11" s="51"/>
      <c r="AN11" s="51"/>
      <c r="AO11" s="50"/>
      <c r="AP11" s="51"/>
      <c r="AQ11" s="47"/>
      <c r="AR11" s="50"/>
      <c r="AS11" s="51"/>
      <c r="AT11" s="47"/>
      <c r="AU11" s="47"/>
      <c r="AV11" s="50"/>
      <c r="AW11" s="51"/>
      <c r="AX11" s="51"/>
      <c r="AY11" s="50"/>
      <c r="AZ11" s="47"/>
      <c r="BA11" s="47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2"/>
      <c r="BP11" s="2"/>
      <c r="BS11" s="53"/>
    </row>
    <row r="12" spans="1:71">
      <c r="BS12" s="53"/>
    </row>
    <row r="13" spans="1:71">
      <c r="BS13" s="53"/>
    </row>
    <row r="14" spans="1:71">
      <c r="BS14" s="53"/>
    </row>
    <row r="15" spans="1:71">
      <c r="BS15" s="53"/>
    </row>
    <row r="16" spans="1:71">
      <c r="BS16" s="53"/>
    </row>
    <row r="17" spans="59:73">
      <c r="BG17" s="53"/>
    </row>
    <row r="18" spans="59:73">
      <c r="BT18" s="53"/>
      <c r="BU18" s="53"/>
    </row>
  </sheetData>
  <mergeCells count="8">
    <mergeCell ref="A2:C2"/>
    <mergeCell ref="A3:B3"/>
    <mergeCell ref="AD3:AI3"/>
    <mergeCell ref="M6:AC6"/>
    <mergeCell ref="AD6:AK6"/>
    <mergeCell ref="AL6:AP6"/>
    <mergeCell ref="AQ6:AY6"/>
    <mergeCell ref="BB6:BJ6"/>
  </mergeCells>
  <conditionalFormatting sqref="B9:B11">
    <cfRule type="duplicateValues" dxfId="0" priority="1" stopIfTrue="1"/>
    <cfRule type="duplicateValues" dxfId="1" priority="2" stopIfTrue="1"/>
  </conditionalFormatting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PN</vt:lpstr>
      <vt:lpstr>TW</vt:lpstr>
      <vt:lpstr>TW EE</vt:lpstr>
      <vt:lpstr>TW-L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ChunJie</dc:creator>
  <cp:lastModifiedBy>给我，高高的飞起来啊！！</cp:lastModifiedBy>
  <dcterms:created xsi:type="dcterms:W3CDTF">2018-12-11T19:06:00Z</dcterms:created>
  <cp:lastPrinted>2023-02-09T08:40:00Z</cp:lastPrinted>
  <dcterms:modified xsi:type="dcterms:W3CDTF">2026-07-28T07:23:00Z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0x010100AAA55CC3C3BD834BA343262FD5D71E76</vt:lpwstr>
  </property>
  <property fmtid="{D5CDD505-2E9C-101B-9397-08002B2CF9AE}" pid="3" name="WorkbookGuid">
    <vt:lpwstr>5990f738-fcdd-405e-99be-11cb97209fa1</vt:lpwstr>
  </property>
  <property fmtid="{D5CDD505-2E9C-101B-9397-08002B2CF9AE}" pid="4" name="MediaServiceImageTags">
    <vt:lpwstr/>
  </property>
  <property fmtid="{D5CDD505-2E9C-101B-9397-08002B2CF9AE}" pid="5" name="ICV">
    <vt:lpwstr>B3AD604BC5844E8DBE2CC40E892FDFA0_12</vt:lpwstr>
  </property>
  <property fmtid="{D5CDD505-2E9C-101B-9397-08002B2CF9AE}" pid="6" name="KSOProductBuildVer">
    <vt:lpwstr>2052-12.1.0.28043</vt:lpwstr>
  </property>
  <property fmtid="{D5CDD505-2E9C-101B-9397-08002B2CF9AE}" pid="7" name="CalculationRule">
    <vt:i4>0</vt:i4>
  </property>
</Properties>
</file>