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0" documentId="13_ncr:1_{7AA5B37E-27CC-4A89-9DB0-41D465189B02}" xr6:coauthVersionLast="47" xr6:coauthVersionMax="47" xr10:uidLastSave="{00000000-0000-0000-0000-000000000000}"/>
  <bookViews>
    <workbookView xWindow="-110" yWindow="-110" windowWidth="25820" windowHeight="15500" xr2:uid="{38C3E173-F7FD-4B3C-BC8A-276CE1A49B11}"/>
  </bookViews>
  <sheets>
    <sheet name="P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6" i="6" l="1"/>
  <c r="B26" i="6"/>
  <c r="F10" i="6" l="1"/>
  <c r="E15" i="6" l="1"/>
  <c r="E21" i="6" s="1"/>
  <c r="F15" i="6" l="1"/>
  <c r="F21" i="6" s="1"/>
  <c r="F24" i="6" l="1"/>
  <c r="F29" i="6" s="1"/>
  <c r="F31" i="6" s="1"/>
</calcChain>
</file>

<file path=xl/sharedStrings.xml><?xml version="1.0" encoding="utf-8"?>
<sst xmlns="http://schemas.openxmlformats.org/spreadsheetml/2006/main" count="41" uniqueCount="41">
  <si>
    <t xml:space="preserve">Outstanding payment </t>
  </si>
  <si>
    <t xml:space="preserve">FX difference </t>
  </si>
  <si>
    <r>
      <t>N</t>
    </r>
    <r>
      <rPr>
        <b/>
        <sz val="12"/>
        <color rgb="FF8DC63F"/>
        <rFont val="Calibri"/>
        <family val="2"/>
        <scheme val="minor"/>
      </rPr>
      <t>N</t>
    </r>
    <r>
      <rPr>
        <b/>
        <sz val="12"/>
        <color rgb="FF0066B3"/>
        <rFont val="Calibri"/>
        <family val="2"/>
        <scheme val="minor"/>
      </rPr>
      <t>Road</t>
    </r>
    <r>
      <rPr>
        <b/>
        <sz val="12"/>
        <color rgb="FF8DC63F"/>
        <rFont val="Calibri"/>
        <family val="2"/>
        <scheme val="minor"/>
      </rPr>
      <t> – Employer of Record, Payroll Worldwide</t>
    </r>
  </si>
  <si>
    <t>333 W San Carlos St., Suite 600, San Jose, CA 95113, USA</t>
    <phoneticPr fontId="1" type="noConversion"/>
  </si>
  <si>
    <t>USA: +1 (669) 377-5080 | www.NNRoad.com</t>
    <phoneticPr fontId="1" type="noConversion"/>
  </si>
  <si>
    <t>INVOICE</t>
  </si>
  <si>
    <t>Bill to:</t>
  </si>
  <si>
    <t>Company name:</t>
  </si>
  <si>
    <t>Currency</t>
  </si>
  <si>
    <t>USD</t>
  </si>
  <si>
    <t>Client ID:</t>
  </si>
  <si>
    <t>Invoice number</t>
  </si>
  <si>
    <t>Address:</t>
  </si>
  <si>
    <t>Invoice date</t>
  </si>
  <si>
    <t>Due date</t>
  </si>
  <si>
    <t>Description</t>
  </si>
  <si>
    <t>Approx. In USD*</t>
  </si>
  <si>
    <t>EOR/PEO Cost</t>
  </si>
  <si>
    <t xml:space="preserve">EOR/PEO Service Cost		</t>
  </si>
  <si>
    <t>EOR/PEO Service Cost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</si>
  <si>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</si>
  <si>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</si>
  <si>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</si>
  <si>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</si>
  <si>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</si>
  <si>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</si>
  <si>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</si>
  <si>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</si>
  <si>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</si>
  <si>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</si>
  <si>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</si>
  <si>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</si>
  <si>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Policy and Management Consulting Group, PMCG, INC</t>
  </si>
  <si>
    <t>3100 Clarendon Boulevard, Suite 200, Office 86, Arlington, VA 22201</t>
  </si>
  <si>
    <t>CNUS2026006</t>
  </si>
  <si>
    <t>*FX rate  EUR/KGS</t>
  </si>
  <si>
    <t>*FX rate USD/KGS:</t>
  </si>
  <si>
    <t>*FX rate  EUR/USD</t>
  </si>
  <si>
    <t>Amount (KGS)</t>
  </si>
  <si>
    <t>PN-CNUS2026006-091720261</t>
  </si>
  <si>
    <t>Expense claim for Maksat Iskakov - 9-2026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</si>
</sst>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_ "/>
  </numFmts>
  <fonts count="2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66B3"/>
      <name val="Calibri"/>
      <family val="2"/>
      <scheme val="minor"/>
    </font>
    <font>
      <b/>
      <sz val="12"/>
      <color rgb="FF8DC63F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FFED"/>
        <bgColor indexed="64"/>
      </patternFill>
    </fill>
  </fills>
  <borders count="22">
    <border>
      <left/>
      <right/>
      <top/>
      <bottom/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/>
      <right/>
      <top style="medium">
        <color theme="8" tint="0.59996337778862885"/>
      </top>
      <bottom/>
      <diagonal/>
    </border>
    <border>
      <left/>
      <right style="medium">
        <color theme="8" tint="0.59996337778862885"/>
      </right>
      <top style="medium">
        <color theme="8" tint="0.59996337778862885"/>
      </top>
      <bottom/>
      <diagonal/>
    </border>
    <border>
      <left style="medium">
        <color theme="8" tint="0.59996337778862885"/>
      </left>
      <right/>
      <top/>
      <bottom/>
      <diagonal/>
    </border>
    <border>
      <left/>
      <right style="medium">
        <color theme="8" tint="0.59996337778862885"/>
      </right>
      <top/>
      <bottom/>
      <diagonal/>
    </border>
    <border>
      <left style="medium">
        <color theme="8" tint="0.59996337778862885"/>
      </left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 style="medium">
        <color theme="8" tint="0.59996337778862885"/>
      </right>
      <top style="hair">
        <color theme="8" tint="0.59996337778862885"/>
      </top>
      <bottom style="medium">
        <color theme="8" tint="0.59996337778862885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01"/>
      </right>
      <top/>
      <bottom/>
      <diagonal/>
    </border>
    <border>
      <left style="dashDot">
        <color theme="9" tint="-0.24994659260841701"/>
      </left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/>
  </cellStyleXfs>
  <cellXfs count="89">
    <xf numFmtId="0" fontId="0" fillId="0" borderId="0" xfId="0"/>
    <xf numFmtId="0" fontId="5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top" wrapText="1"/>
    </xf>
    <xf numFmtId="14" fontId="14" fillId="0" borderId="0" xfId="0" applyNumberFormat="1" applyFont="1" applyAlignment="1">
      <alignment vertical="center"/>
    </xf>
    <xf numFmtId="0" fontId="16" fillId="0" borderId="0" xfId="0" applyFont="1" applyAlignment="1">
      <alignment horizontal="right" vertical="center"/>
    </xf>
    <xf numFmtId="0" fontId="17" fillId="0" borderId="0" xfId="0" applyFont="1" applyAlignment="1">
      <alignment vertical="center"/>
    </xf>
    <xf numFmtId="14" fontId="17" fillId="0" borderId="0" xfId="0" applyNumberFormat="1" applyFont="1" applyAlignment="1">
      <alignment horizontal="left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 indent="1"/>
    </xf>
    <xf numFmtId="165" fontId="20" fillId="0" borderId="0" xfId="0" applyNumberFormat="1" applyFont="1" applyAlignment="1">
      <alignment horizontal="left" vertical="center"/>
    </xf>
    <xf numFmtId="164" fontId="4" fillId="0" borderId="5" xfId="0" applyNumberFormat="1" applyFont="1" applyBorder="1" applyAlignment="1">
      <alignment horizontal="left" vertical="center"/>
    </xf>
    <xf numFmtId="166" fontId="21" fillId="0" borderId="0" xfId="0" applyNumberFormat="1" applyFont="1" applyAlignment="1">
      <alignment horizontal="right" vertical="center"/>
    </xf>
    <xf numFmtId="0" fontId="21" fillId="0" borderId="0" xfId="0" applyFont="1" applyAlignment="1">
      <alignment vertical="center"/>
    </xf>
    <xf numFmtId="0" fontId="8" fillId="0" borderId="0" xfId="0" applyFont="1" applyAlignment="1">
      <alignment horizontal="left" vertical="center" indent="3"/>
    </xf>
    <xf numFmtId="165" fontId="8" fillId="0" borderId="0" xfId="0" applyNumberFormat="1" applyFont="1" applyAlignment="1">
      <alignment horizontal="left" vertical="center" indent="1"/>
    </xf>
    <xf numFmtId="164" fontId="8" fillId="0" borderId="5" xfId="0" applyNumberFormat="1" applyFont="1" applyBorder="1" applyAlignment="1">
      <alignment horizontal="left" vertical="center"/>
    </xf>
    <xf numFmtId="166" fontId="22" fillId="0" borderId="0" xfId="0" applyNumberFormat="1" applyFont="1" applyAlignment="1">
      <alignment horizontal="right" vertical="center"/>
    </xf>
    <xf numFmtId="0" fontId="22" fillId="0" borderId="0" xfId="0" applyFont="1" applyAlignment="1">
      <alignment vertical="center"/>
    </xf>
    <xf numFmtId="166" fontId="5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"/>
    </xf>
    <xf numFmtId="165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 indent="2"/>
    </xf>
    <xf numFmtId="0" fontId="23" fillId="0" borderId="0" xfId="0" applyFont="1" applyAlignment="1">
      <alignment horizontal="left" vertical="center" indent="1"/>
    </xf>
    <xf numFmtId="165" fontId="5" fillId="0" borderId="0" xfId="0" applyNumberFormat="1" applyFont="1" applyAlignment="1">
      <alignment horizontal="left" vertical="center"/>
    </xf>
    <xf numFmtId="164" fontId="5" fillId="0" borderId="5" xfId="0" applyNumberFormat="1" applyFont="1" applyBorder="1" applyAlignment="1">
      <alignment horizontal="left" vertical="center"/>
    </xf>
    <xf numFmtId="165" fontId="24" fillId="0" borderId="7" xfId="0" applyNumberFormat="1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165" fontId="24" fillId="0" borderId="0" xfId="0" applyNumberFormat="1" applyFont="1" applyAlignment="1">
      <alignment vertical="center"/>
    </xf>
    <xf numFmtId="164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164" fontId="26" fillId="0" borderId="11" xfId="0" applyNumberFormat="1" applyFont="1" applyBorder="1" applyAlignment="1">
      <alignment horizontal="right" vertical="center"/>
    </xf>
    <xf numFmtId="0" fontId="25" fillId="0" borderId="0" xfId="0" applyFont="1" applyAlignment="1">
      <alignment vertical="center"/>
    </xf>
    <xf numFmtId="164" fontId="26" fillId="0" borderId="13" xfId="0" applyNumberFormat="1" applyFont="1" applyBorder="1" applyAlignment="1">
      <alignment horizontal="right" vertical="center"/>
    </xf>
    <xf numFmtId="40" fontId="24" fillId="0" borderId="0" xfId="0" applyNumberFormat="1" applyFont="1" applyAlignment="1">
      <alignment vertical="center"/>
    </xf>
    <xf numFmtId="164" fontId="26" fillId="0" borderId="16" xfId="0" applyNumberFormat="1" applyFont="1" applyBorder="1" applyAlignment="1">
      <alignment horizontal="right" vertical="center"/>
    </xf>
    <xf numFmtId="164" fontId="23" fillId="0" borderId="13" xfId="0" applyNumberFormat="1" applyFont="1" applyBorder="1" applyAlignment="1">
      <alignment horizontal="right" vertical="center"/>
    </xf>
    <xf numFmtId="0" fontId="23" fillId="0" borderId="0" xfId="0" applyFont="1" applyAlignment="1">
      <alignment vertical="center"/>
    </xf>
    <xf numFmtId="164" fontId="23" fillId="0" borderId="19" xfId="0" applyNumberFormat="1" applyFont="1" applyBorder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 wrapText="1"/>
    </xf>
    <xf numFmtId="0" fontId="25" fillId="0" borderId="0" xfId="0" quotePrefix="1" applyFont="1" applyAlignment="1">
      <alignment vertical="center" wrapText="1"/>
    </xf>
    <xf numFmtId="0" fontId="25" fillId="0" borderId="0" xfId="0" applyFont="1" applyAlignment="1">
      <alignment horizontal="left" vertical="center" indent="1"/>
    </xf>
    <xf numFmtId="165" fontId="23" fillId="0" borderId="17" xfId="0" applyNumberFormat="1" applyFont="1" applyBorder="1" applyAlignment="1">
      <alignment horizontal="right" vertical="center"/>
    </xf>
    <xf numFmtId="165" fontId="23" fillId="0" borderId="18" xfId="0" applyNumberFormat="1" applyFont="1" applyBorder="1" applyAlignment="1">
      <alignment horizontal="right" vertical="center"/>
    </xf>
    <xf numFmtId="0" fontId="23" fillId="3" borderId="0" xfId="0" applyFont="1" applyFill="1" applyAlignment="1">
      <alignment horizontal="center"/>
    </xf>
    <xf numFmtId="166" fontId="5" fillId="4" borderId="0" xfId="0" applyNumberFormat="1" applyFont="1" applyFill="1" applyAlignment="1">
      <alignment horizontal="left" vertical="center" wrapText="1" indent="2"/>
    </xf>
    <xf numFmtId="166" fontId="5" fillId="4" borderId="20" xfId="0" applyNumberFormat="1" applyFont="1" applyFill="1" applyBorder="1" applyAlignment="1">
      <alignment horizontal="left" vertical="center" wrapText="1" indent="2"/>
    </xf>
    <xf numFmtId="166" fontId="5" fillId="4" borderId="21" xfId="0" applyNumberFormat="1" applyFont="1" applyFill="1" applyBorder="1" applyAlignment="1">
      <alignment horizontal="left" vertical="center" wrapText="1" indent="2"/>
    </xf>
    <xf numFmtId="165" fontId="26" fillId="0" borderId="12" xfId="0" applyNumberFormat="1" applyFont="1" applyBorder="1" applyAlignment="1">
      <alignment horizontal="right" vertical="center"/>
    </xf>
    <xf numFmtId="165" fontId="26" fillId="0" borderId="0" xfId="0" applyNumberFormat="1" applyFont="1" applyAlignment="1">
      <alignment horizontal="right" vertical="center"/>
    </xf>
    <xf numFmtId="40" fontId="26" fillId="0" borderId="14" xfId="0" applyNumberFormat="1" applyFont="1" applyBorder="1" applyAlignment="1">
      <alignment horizontal="right" vertical="center"/>
    </xf>
    <xf numFmtId="40" fontId="26" fillId="0" borderId="15" xfId="0" applyNumberFormat="1" applyFont="1" applyBorder="1" applyAlignment="1">
      <alignment horizontal="right" vertical="center"/>
    </xf>
    <xf numFmtId="165" fontId="23" fillId="0" borderId="12" xfId="0" applyNumberFormat="1" applyFont="1" applyBorder="1" applyAlignment="1">
      <alignment horizontal="right" vertical="center"/>
    </xf>
    <xf numFmtId="165" fontId="23" fillId="0" borderId="0" xfId="0" applyNumberFormat="1" applyFont="1" applyAlignment="1">
      <alignment horizontal="right" vertical="center"/>
    </xf>
    <xf numFmtId="165" fontId="23" fillId="0" borderId="12" xfId="0" applyNumberFormat="1" applyFont="1" applyBorder="1" applyAlignment="1">
      <alignment horizontal="right" vertical="center" indent="1"/>
    </xf>
    <xf numFmtId="165" fontId="23" fillId="0" borderId="0" xfId="0" applyNumberFormat="1" applyFont="1" applyAlignment="1">
      <alignment horizontal="right" vertical="center" indent="1"/>
    </xf>
    <xf numFmtId="165" fontId="26" fillId="0" borderId="9" xfId="0" applyNumberFormat="1" applyFont="1" applyBorder="1" applyAlignment="1">
      <alignment horizontal="right" vertical="center"/>
    </xf>
    <xf numFmtId="165" fontId="26" fillId="0" borderId="10" xfId="0" applyNumberFormat="1" applyFont="1" applyBorder="1" applyAlignment="1">
      <alignment horizontal="right" vertical="center"/>
    </xf>
    <xf numFmtId="0" fontId="20" fillId="0" borderId="4" xfId="0" applyFont="1" applyBorder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8" fillId="0" borderId="4" xfId="0" applyFont="1" applyBorder="1" applyAlignment="1">
      <alignment horizontal="left" vertical="center" indent="3"/>
    </xf>
    <xf numFmtId="0" fontId="8" fillId="0" borderId="0" xfId="0" applyFont="1" applyAlignment="1">
      <alignment horizontal="left" vertical="center" indent="3"/>
    </xf>
    <xf numFmtId="0" fontId="8" fillId="0" borderId="4" xfId="0" applyFont="1" applyBorder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23" fillId="0" borderId="4" xfId="0" applyFont="1" applyBorder="1" applyAlignment="1">
      <alignment horizontal="left" vertical="center" indent="1"/>
    </xf>
    <xf numFmtId="0" fontId="23" fillId="0" borderId="0" xfId="0" applyFont="1" applyAlignment="1">
      <alignment horizontal="left" vertical="center" indent="1"/>
    </xf>
    <xf numFmtId="0" fontId="24" fillId="0" borderId="6" xfId="0" applyFont="1" applyBorder="1" applyAlignment="1">
      <alignment horizontal="left" vertical="center" indent="1"/>
    </xf>
    <xf numFmtId="0" fontId="24" fillId="0" borderId="7" xfId="0" applyFont="1" applyBorder="1" applyAlignment="1">
      <alignment horizontal="left" vertical="center" indent="1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top" wrapText="1"/>
    </xf>
  </cellXfs>
  <cellStyles count="3">
    <cellStyle name="Normal" xfId="0" builtinId="0"/>
    <cellStyle name="Normal 2" xfId="2" xr:uid="{AC6CFE7B-E6FD-8545-BC63-03F2586D763F}"/>
    <cellStyle name="常规 2" xfId="1" xr:uid="{43AA1550-6345-4C45-AE3A-35D24DE644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1095828</xdr:colOff>
      <xdr:row>2</xdr:row>
      <xdr:rowOff>109286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07BA56D0-1232-9D45-82B5-462439DF0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59995" cy="528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90C7-3741-B145-8A6C-AFDB386C2364}">
  <dimension ref="A1:H40"/>
  <sheetViews>
    <sheetView tabSelected="1" topLeftCell="A16" zoomScale="150" zoomScaleNormal="150" workbookViewId="0">
      <selection activeCell="H12" sqref="H12"/>
    </sheetView>
  </sheetViews>
  <sheetFormatPr defaultColWidth="9.1796875" defaultRowHeight="10.5"/>
  <cols>
    <col min="1" max="1" width="15.36328125" style="1" customWidth="1"/>
    <col min="2" max="2" width="23.453125" style="1" customWidth="1"/>
    <col min="3" max="3" width="4.453125" style="1" customWidth="1"/>
    <col min="4" max="4" width="15.1796875" style="1" customWidth="1"/>
    <col min="5" max="5" width="14.26953125" style="1" customWidth="1"/>
    <col min="6" max="6" width="17.08984375" style="3" customWidth="1"/>
    <col min="7" max="7" width="9.1796875" style="3"/>
    <col min="8" max="8" width="9.1796875" style="1"/>
    <col min="9" max="9" width="9.1796875" style="1" customWidth="1"/>
    <col min="10" max="16384" width="9.1796875" style="1"/>
  </cols>
  <sheetData>
    <row r="1" spans="1:8" ht="19" customHeight="1">
      <c r="B1" s="85" t="s">
        <v>2</v>
      </c>
      <c r="C1" s="85"/>
      <c r="D1" s="85"/>
      <c r="E1" s="85"/>
      <c r="F1" s="85"/>
      <c r="G1" s="2"/>
      <c r="H1" s="3"/>
    </row>
    <row r="2" spans="1:8" ht="14.25" customHeight="1">
      <c r="B2" s="86" t="s">
        <v>3</v>
      </c>
      <c r="C2" s="86"/>
      <c r="D2" s="86"/>
      <c r="E2" s="86"/>
      <c r="F2" s="86"/>
      <c r="G2" s="2"/>
      <c r="H2" s="3"/>
    </row>
    <row r="3" spans="1:8" s="4" customFormat="1" ht="18" customHeight="1">
      <c r="B3" s="86" t="s">
        <v>4</v>
      </c>
      <c r="C3" s="86"/>
      <c r="D3" s="86"/>
      <c r="E3" s="86"/>
      <c r="F3" s="86"/>
      <c r="G3" s="2"/>
      <c r="H3" s="2"/>
    </row>
    <row r="4" spans="1:8" s="4" customFormat="1" ht="14" customHeight="1">
      <c r="G4" s="2"/>
      <c r="H4" s="2"/>
    </row>
    <row r="5" spans="1:8" s="4" customFormat="1" ht="32" customHeight="1">
      <c r="A5" s="87" t="s">
        <v>5</v>
      </c>
      <c r="B5" s="87"/>
      <c r="C5" s="87"/>
      <c r="D5" s="87"/>
      <c r="E5" s="87"/>
      <c r="F5" s="87"/>
      <c r="G5" s="2"/>
      <c r="H5" s="2"/>
    </row>
    <row r="6" spans="1:8" s="4" customFormat="1" ht="12" customHeight="1">
      <c r="A6" s="5"/>
      <c r="B6" s="5"/>
      <c r="C6" s="5"/>
      <c r="D6" s="5"/>
      <c r="E6" s="5"/>
      <c r="F6" s="5"/>
      <c r="G6" s="2"/>
      <c r="H6" s="2"/>
    </row>
    <row r="7" spans="1:8" s="4" customFormat="1" ht="13" customHeight="1">
      <c r="A7" s="6" t="s">
        <v>6</v>
      </c>
      <c r="B7" s="6"/>
      <c r="C7" s="6"/>
      <c r="D7" s="6"/>
      <c r="E7" s="6"/>
      <c r="G7" s="2"/>
      <c r="H7" s="2"/>
    </row>
    <row r="8" spans="1:8" s="11" customFormat="1" ht="24">
      <c r="A8" s="7" t="s">
        <v>7</v>
      </c>
      <c r="B8" s="54" t="s">
        <v>32</v>
      </c>
      <c r="C8" s="9"/>
      <c r="D8" s="7" t="s">
        <v>8</v>
      </c>
      <c r="E8" s="7"/>
      <c r="F8" s="8" t="s">
        <v>9</v>
      </c>
      <c r="G8" s="10"/>
    </row>
    <row r="9" spans="1:8" s="11" customFormat="1" ht="13" customHeight="1">
      <c r="A9" s="7" t="s">
        <v>10</v>
      </c>
      <c r="B9" s="8" t="s">
        <v>34</v>
      </c>
      <c r="C9" s="12"/>
      <c r="D9" s="7" t="s">
        <v>11</v>
      </c>
      <c r="E9" s="7"/>
      <c r="F9" s="8" t="s">
        <v>39</v>
      </c>
      <c r="G9" s="10"/>
    </row>
    <row r="10" spans="1:8" s="4" customFormat="1" ht="13" customHeight="1">
      <c r="A10" s="7" t="s">
        <v>12</v>
      </c>
      <c r="B10" s="88" t="s">
        <v>33</v>
      </c>
      <c r="C10" s="12"/>
      <c r="D10" s="7" t="s">
        <v>13</v>
      </c>
      <c r="E10" s="7"/>
      <c r="F10" s="13">
        <f ca="1">TODAY()</f>
        <v>46282</v>
      </c>
      <c r="G10" s="2"/>
    </row>
    <row r="11" spans="1:8" s="11" customFormat="1" ht="12" customHeight="1">
      <c r="A11" s="14"/>
      <c r="B11" s="88"/>
      <c r="D11" s="7" t="s">
        <v>14</v>
      </c>
      <c r="E11" s="7"/>
      <c r="F11" s="13">
        <v>46288</v>
      </c>
      <c r="G11" s="10"/>
    </row>
    <row r="12" spans="1:8" s="4" customFormat="1" ht="12" customHeight="1">
      <c r="A12" s="15"/>
      <c r="B12" s="15"/>
      <c r="C12" s="15"/>
      <c r="D12" s="15"/>
      <c r="E12" s="16"/>
      <c r="G12" s="2"/>
    </row>
    <row r="13" spans="1:8" ht="11" thickBot="1"/>
    <row r="14" spans="1:8" s="20" customFormat="1" ht="28" customHeight="1">
      <c r="A14" s="83" t="s">
        <v>15</v>
      </c>
      <c r="B14" s="84"/>
      <c r="C14" s="84"/>
      <c r="D14" s="17"/>
      <c r="E14" s="17" t="s">
        <v>38</v>
      </c>
      <c r="F14" s="18" t="s">
        <v>16</v>
      </c>
      <c r="G14" s="19"/>
    </row>
    <row r="15" spans="1:8" s="25" customFormat="1" ht="16" customHeight="1">
      <c r="A15" s="73" t="s">
        <v>17</v>
      </c>
      <c r="B15" s="74"/>
      <c r="C15" s="74"/>
      <c r="D15" s="21"/>
      <c r="E15" s="22">
        <f>SUM(E16:E18)</f>
        <v>36904</v>
      </c>
      <c r="F15" s="23">
        <f>SUM(F16:F18)</f>
        <v>422.00114351057744</v>
      </c>
      <c r="G15" s="24"/>
    </row>
    <row r="16" spans="1:8" s="30" customFormat="1" ht="13">
      <c r="A16" s="75" t="s">
        <v>40</v>
      </c>
      <c r="B16" s="76"/>
      <c r="C16" s="76"/>
      <c r="D16" s="26"/>
      <c r="E16" s="27">
        <v>36904</v>
      </c>
      <c r="F16" s="28">
        <f>E16/$B$24</f>
        <v>422.00114351057744</v>
      </c>
      <c r="G16" s="29"/>
    </row>
    <row r="17" spans="1:8" ht="13">
      <c r="A17" s="75"/>
      <c r="B17" s="76"/>
      <c r="C17" s="76"/>
      <c r="D17" s="26"/>
      <c r="E17" s="27"/>
      <c r="F17" s="28"/>
      <c r="G17" s="31"/>
    </row>
    <row r="18" spans="1:8" ht="13">
      <c r="A18" s="75"/>
      <c r="B18" s="76"/>
      <c r="C18" s="76"/>
      <c r="D18" s="32"/>
      <c r="E18" s="27"/>
      <c r="F18" s="28"/>
      <c r="G18" s="31"/>
    </row>
    <row r="19" spans="1:8" ht="13">
      <c r="A19" s="77"/>
      <c r="B19" s="78"/>
      <c r="C19" s="78"/>
      <c r="D19" s="34"/>
      <c r="E19" s="33"/>
      <c r="F19" s="28"/>
      <c r="G19" s="31"/>
    </row>
    <row r="20" spans="1:8" ht="14.5">
      <c r="A20" s="79"/>
      <c r="B20" s="80"/>
      <c r="C20" s="80"/>
      <c r="D20" s="35"/>
      <c r="E20" s="36"/>
      <c r="F20" s="37"/>
      <c r="G20" s="31"/>
    </row>
    <row r="21" spans="1:8" s="25" customFormat="1" ht="15" thickBot="1">
      <c r="A21" s="81" t="s">
        <v>18</v>
      </c>
      <c r="B21" s="82"/>
      <c r="C21" s="82"/>
      <c r="D21" s="82"/>
      <c r="E21" s="38">
        <f>E15</f>
        <v>36904</v>
      </c>
      <c r="F21" s="39">
        <f>F15</f>
        <v>422.00114351057744</v>
      </c>
      <c r="G21" s="24"/>
    </row>
    <row r="22" spans="1:8" s="25" customFormat="1" ht="14.5">
      <c r="A22" s="40"/>
      <c r="B22" s="40"/>
      <c r="C22" s="41"/>
      <c r="D22" s="41"/>
      <c r="E22" s="42"/>
      <c r="F22" s="43"/>
      <c r="G22" s="24"/>
    </row>
    <row r="23" spans="1:8" s="25" customFormat="1" ht="15" thickBot="1">
      <c r="A23" s="44"/>
      <c r="B23" s="44"/>
      <c r="C23" s="44"/>
      <c r="D23" s="44"/>
      <c r="E23" s="42"/>
      <c r="F23" s="43"/>
      <c r="G23" s="24"/>
    </row>
    <row r="24" spans="1:8" ht="14.5">
      <c r="A24" s="55" t="s">
        <v>36</v>
      </c>
      <c r="B24" s="56">
        <v>87.45</v>
      </c>
      <c r="C24" s="42"/>
      <c r="D24" s="71" t="s">
        <v>19</v>
      </c>
      <c r="E24" s="72"/>
      <c r="F24" s="45">
        <f>F21</f>
        <v>422.00114351057744</v>
      </c>
      <c r="G24" s="31"/>
    </row>
    <row r="25" spans="1:8" s="30" customFormat="1" ht="14.5">
      <c r="A25" s="55" t="s">
        <v>35</v>
      </c>
      <c r="B25" s="56">
        <v>101.63</v>
      </c>
      <c r="C25" s="42"/>
      <c r="D25" s="63" t="s">
        <v>0</v>
      </c>
      <c r="E25" s="64"/>
      <c r="F25" s="47">
        <v>0</v>
      </c>
      <c r="G25" s="29"/>
    </row>
    <row r="26" spans="1:8" s="30" customFormat="1" ht="14.5">
      <c r="A26" s="55" t="s">
        <v>37</v>
      </c>
      <c r="B26" s="56">
        <f>ROUND(B25/B24,2)</f>
        <v>1.1599999999999999</v>
      </c>
      <c r="C26" s="42"/>
      <c r="D26" s="63" t="s">
        <v>1</v>
      </c>
      <c r="E26" s="64"/>
      <c r="F26" s="47">
        <v>0</v>
      </c>
      <c r="G26" s="29"/>
    </row>
    <row r="27" spans="1:8" ht="14.5">
      <c r="A27" s="46"/>
      <c r="B27" s="46"/>
      <c r="C27" s="42"/>
      <c r="D27" s="63" t="s">
        <v>20</v>
      </c>
      <c r="E27" s="64"/>
      <c r="F27" s="47">
        <v>0</v>
      </c>
      <c r="G27" s="31"/>
    </row>
    <row r="28" spans="1:8" ht="15" thickBot="1">
      <c r="A28" s="46"/>
      <c r="B28" s="46"/>
      <c r="C28" s="48"/>
      <c r="D28" s="65" t="s">
        <v>21</v>
      </c>
      <c r="E28" s="66"/>
      <c r="F28" s="49">
        <v>11.6</v>
      </c>
      <c r="G28" s="31"/>
    </row>
    <row r="29" spans="1:8" ht="14.5">
      <c r="A29" s="46"/>
      <c r="B29" s="46"/>
      <c r="C29" s="42"/>
      <c r="D29" s="67" t="s">
        <v>22</v>
      </c>
      <c r="E29" s="68"/>
      <c r="F29" s="50">
        <f>SUM(F24:F28)</f>
        <v>433.60114351057746</v>
      </c>
      <c r="G29" s="31"/>
    </row>
    <row r="30" spans="1:8" ht="14.5">
      <c r="A30" s="46"/>
      <c r="B30" s="46"/>
      <c r="C30" s="42"/>
      <c r="D30" s="69" t="s">
        <v>23</v>
      </c>
      <c r="E30" s="70"/>
      <c r="F30" s="50">
        <v>0</v>
      </c>
      <c r="G30" s="31"/>
    </row>
    <row r="31" spans="1:8" ht="15" thickBot="1">
      <c r="A31" s="51"/>
      <c r="B31" s="51"/>
      <c r="C31" s="42"/>
      <c r="D31" s="57" t="s">
        <v>24</v>
      </c>
      <c r="E31" s="58"/>
      <c r="F31" s="52">
        <f>SUM(F29:F30)</f>
        <v>433.60114351057746</v>
      </c>
      <c r="G31" s="31"/>
      <c r="H31" s="53"/>
    </row>
    <row r="32" spans="1:8" ht="14.5">
      <c r="A32" s="35"/>
      <c r="B32" s="35"/>
      <c r="C32" s="35"/>
      <c r="D32" s="35"/>
      <c r="E32" s="48"/>
      <c r="F32" s="48"/>
      <c r="G32" s="31"/>
    </row>
    <row r="33" spans="1:7" ht="14.5">
      <c r="A33" s="35"/>
      <c r="B33" s="35"/>
      <c r="C33" s="35"/>
      <c r="D33" s="35"/>
      <c r="E33" s="48"/>
      <c r="F33" s="48"/>
      <c r="G33" s="31"/>
    </row>
    <row r="34" spans="1:7">
      <c r="G34" s="31"/>
    </row>
    <row r="35" spans="1:7" ht="19" customHeight="1">
      <c r="A35" s="59" t="s">
        <v>25</v>
      </c>
      <c r="B35" s="59"/>
      <c r="C35" s="59"/>
      <c r="D35" s="59"/>
      <c r="E35" s="59"/>
      <c r="F35" s="59"/>
    </row>
    <row r="36" spans="1:7" ht="61" customHeight="1">
      <c r="A36" s="60" t="s">
        <v>26</v>
      </c>
      <c r="B36" s="60"/>
      <c r="C36" s="61"/>
      <c r="D36" s="62" t="s">
        <v>27</v>
      </c>
      <c r="E36" s="60"/>
      <c r="F36" s="60"/>
    </row>
    <row r="37" spans="1:7">
      <c r="A37" s="1" t="s">
        <v>28</v>
      </c>
    </row>
    <row r="38" spans="1:7" ht="11" customHeight="1">
      <c r="A38" s="25" t="s">
        <v>29</v>
      </c>
      <c r="B38" s="25"/>
      <c r="C38" s="25"/>
      <c r="D38" s="25"/>
      <c r="E38" s="25"/>
      <c r="F38" s="25"/>
    </row>
    <row r="39" spans="1:7">
      <c r="A39" s="25" t="s">
        <v>30</v>
      </c>
    </row>
    <row r="40" spans="1:7">
      <c r="A40" s="25" t="s">
        <v>31</v>
      </c>
    </row>
  </sheetData>
  <mergeCells count="24">
    <mergeCell ref="A14:C14"/>
    <mergeCell ref="B1:F1"/>
    <mergeCell ref="B2:F2"/>
    <mergeCell ref="B3:F3"/>
    <mergeCell ref="A5:F5"/>
    <mergeCell ref="B10:B11"/>
    <mergeCell ref="D24:E24"/>
    <mergeCell ref="A15:C15"/>
    <mergeCell ref="A16:C16"/>
    <mergeCell ref="A17:C17"/>
    <mergeCell ref="A18:C18"/>
    <mergeCell ref="A19:C19"/>
    <mergeCell ref="A20:C20"/>
    <mergeCell ref="A21:D21"/>
    <mergeCell ref="D31:E31"/>
    <mergeCell ref="A35:F35"/>
    <mergeCell ref="A36:C36"/>
    <mergeCell ref="D36:F36"/>
    <mergeCell ref="D25:E25"/>
    <mergeCell ref="D26:E26"/>
    <mergeCell ref="D27:E27"/>
    <mergeCell ref="D28:E28"/>
    <mergeCell ref="D29:E29"/>
    <mergeCell ref="D30:E3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e176b99f4290556bde1598ff6b6ed8e0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bab490ee63bce1f9e8e60e07f4f4e94a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A60528-3AB9-4F01-A2D5-59B350660FD8}"/>
</file>

<file path=customXml/itemProps2.xml><?xml version="1.0" encoding="utf-8"?>
<ds:datastoreItem xmlns:ds="http://schemas.openxmlformats.org/officeDocument/2006/customXml" ds:itemID="{CB81C1AA-15EC-4ADB-A46F-B6AE36F878FA}">
  <ds:schemaRefs>
    <ds:schemaRef ds:uri="d627f54e-f962-403c-9056-fc9f08248a08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00ff829c-5328-4041-8e8f-a41155b380e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2A9B423-83D3-49E0-BE6D-5522DEF8F0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LIU, SiYu</cp:lastModifiedBy>
  <cp:revision/>
  <cp:lastPrinted>2025-03-05T21:09:11Z</cp:lastPrinted>
  <dcterms:created xsi:type="dcterms:W3CDTF">2019-04-02T09:07:35Z</dcterms:created>
  <dcterms:modified xsi:type="dcterms:W3CDTF">2026-09-17T01:13:39Z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a8ef3fbe-4e27-48f7-a0b1-3e7729cc8ae0</vt:lpwstr>
  </property>
  <property fmtid="{D5CDD505-2E9C-101B-9397-08002B2CF9AE}" pid="4" name="MediaServiceImageTags">
    <vt:lpwstr/>
  </property>
</Properties>
</file>