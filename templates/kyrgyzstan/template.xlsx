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PN" sheetId="1" state="visible" r:id="rId1"/>
    <sheet name="Kyrgyzstan" sheetId="2" state="visible" r:id="rId2"/>
    <sheet name="Kyrgyzstan EE" sheetId="3" state="visible" r:id="rId3"/>
    <sheet name="Kyrgyzstan-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 "/>
    <numFmt numFmtId="165" formatCode="_(&quot;$&quot;* #,##0.00_);_(&quot;$&quot;* \(#,##0.00\);_(&quot;$&quot;* &quot;-&quot;??_);_(@_)"/>
    <numFmt numFmtId="166" formatCode="#,##0.000_);\(#,##0.000\)"/>
    <numFmt numFmtId="167" formatCode="[$-10409]#,##0.00;\(#,##0.00\)"/>
  </numFmts>
  <fonts count="36">
    <font>
      <name val="Calibri"/>
      <family val="2"/>
      <color theme="1"/>
      <sz val="11"/>
      <scheme val="minor"/>
    </font>
    <font>
      <name val="Calibri"/>
      <charset val="134"/>
      <family val="3"/>
      <b val="1"/>
      <color theme="1"/>
      <sz val="10"/>
      <scheme val="minor"/>
    </font>
    <font>
      <name val="Calibri"/>
      <charset val="134"/>
      <family val="3"/>
      <color theme="1"/>
      <sz val="10"/>
      <scheme val="minor"/>
    </font>
    <font>
      <name val="Calibri"/>
      <charset val="134"/>
      <family val="3"/>
      <sz val="9"/>
      <scheme val="minor"/>
    </font>
    <font>
      <name val="Calibri"/>
      <charset val="134"/>
      <family val="2"/>
      <color theme="1"/>
      <sz val="11"/>
      <scheme val="minor"/>
    </font>
    <font>
      <name val="Calibri"/>
      <charset val="134"/>
      <family val="3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charset val="134"/>
      <family val="3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rgb="FF0066B3"/>
      <sz val="12"/>
      <scheme val="minor"/>
    </font>
    <font>
      <name val="Calibri"/>
      <family val="2"/>
      <b val="1"/>
      <color rgb="FF8DC63F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sz val="10.5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0" tint="-0.499984740745262"/>
      <sz val="9"/>
      <scheme val="minor"/>
    </font>
    <font>
      <name val="Calibri"/>
      <family val="2"/>
      <color rgb="FF000000"/>
      <sz val="9"/>
      <scheme val="minor"/>
    </font>
    <font>
      <name val="Calibri"/>
      <family val="2"/>
      <color theme="0" tint="-0.499984740745262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.5"/>
      <scheme val="minor"/>
    </font>
    <font>
      <name val="Calibri"/>
      <family val="2"/>
      <b val="1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i val="1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i val="1"/>
      <color theme="1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i val="1"/>
      <color theme="1"/>
      <sz val="10"/>
      <scheme val="minor"/>
    </font>
    <font>
      <name val="Calibri"/>
      <charset val="134"/>
      <family val="4"/>
      <color rgb="FF000000"/>
      <sz val="11"/>
      <scheme val="minor"/>
    </font>
    <font>
      <name val="Calibri"/>
      <charset val="134"/>
      <family val="4"/>
      <color rgb="FF000000"/>
      <sz val="10"/>
      <scheme val="minor"/>
    </font>
    <font>
      <name val="Calibri"/>
      <family val="2"/>
      <color rgb="FF000000"/>
      <sz val="11"/>
    </font>
    <font>
      <name val="Calibri"/>
      <charset val="134"/>
      <family val="3"/>
      <color rgb="FF000000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3999755851924192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88"/>
      </left>
      <right/>
      <top style="medium">
        <color theme="8" tint="0.5999633777886288"/>
      </top>
      <bottom/>
      <diagonal/>
    </border>
    <border>
      <left/>
      <right/>
      <top style="medium">
        <color theme="8" tint="0.5999633777886288"/>
      </top>
      <bottom/>
      <diagonal/>
    </border>
    <border>
      <left/>
      <right style="medium">
        <color theme="8" tint="0.5999633777886288"/>
      </right>
      <top style="medium">
        <color theme="8" tint="0.5999633777886288"/>
      </top>
      <bottom/>
      <diagonal/>
    </border>
    <border>
      <left style="medium">
        <color theme="8" tint="0.5999633777886288"/>
      </left>
      <right/>
      <top/>
      <bottom/>
      <diagonal/>
    </border>
    <border>
      <left/>
      <right style="medium">
        <color theme="8" tint="0.5999633777886288"/>
      </right>
      <top/>
      <bottom/>
      <diagonal/>
    </border>
    <border>
      <left style="medium">
        <color theme="8" tint="0.5999633777886288"/>
      </left>
      <right/>
      <top style="hair">
        <color theme="8" tint="0.5999633777886288"/>
      </top>
      <bottom style="medium">
        <color theme="8" tint="0.5999633777886288"/>
      </bottom>
      <diagonal/>
    </border>
    <border>
      <left/>
      <right/>
      <top style="hair">
        <color theme="8" tint="0.5999633777886288"/>
      </top>
      <bottom style="medium">
        <color theme="8" tint="0.5999633777886288"/>
      </bottom>
      <diagonal/>
    </border>
    <border>
      <left/>
      <right style="medium">
        <color theme="8" tint="0.5999633777886288"/>
      </right>
      <top style="hair">
        <color theme="8" tint="0.5999633777886288"/>
      </top>
      <bottom style="medium">
        <color theme="8" tint="0.5999633777886288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theme="8" tint="0.5999633777886288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</borders>
  <cellStyleXfs count="3">
    <xf numFmtId="0" fontId="0" fillId="0" borderId="0"/>
    <xf numFmtId="0" fontId="4" fillId="0" borderId="0" applyAlignment="1">
      <alignment vertical="center"/>
    </xf>
    <xf numFmtId="0" fontId="6" fillId="0" borderId="0"/>
  </cellStyleXfs>
  <cellXfs count="2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40" fontId="2" fillId="2" borderId="0" applyAlignment="1" pivotButton="0" quotePrefix="0" xfId="0">
      <alignment vertical="center"/>
    </xf>
    <xf numFmtId="40" fontId="2" fillId="2" borderId="7" applyAlignment="1" pivotButton="0" quotePrefix="0" xfId="0">
      <alignment vertical="center"/>
    </xf>
    <xf numFmtId="40" fontId="2" fillId="2" borderId="14" applyAlignment="1" pivotButton="0" quotePrefix="0" xfId="0">
      <alignment vertical="center"/>
    </xf>
    <xf numFmtId="40" fontId="2" fillId="2" borderId="8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40" fontId="2" fillId="2" borderId="9" applyAlignment="1" pivotButton="0" quotePrefix="0" xfId="0">
      <alignment vertical="center"/>
    </xf>
    <xf numFmtId="40" fontId="2" fillId="2" borderId="15" applyAlignment="1" pivotButton="0" quotePrefix="0" xfId="0">
      <alignment vertical="center"/>
    </xf>
    <xf numFmtId="40" fontId="2" fillId="2" borderId="1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6" applyAlignment="1" pivotButton="0" quotePrefix="0" xfId="0">
      <alignment horizontal="center" vertical="center"/>
    </xf>
    <xf numFmtId="0" fontId="1" fillId="0" borderId="18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5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2" fillId="2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3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7" fillId="2" borderId="0" applyAlignment="1" pivotButton="0" quotePrefix="0" xfId="0">
      <alignment horizontal="left" vertical="center"/>
    </xf>
    <xf numFmtId="49" fontId="0" fillId="2" borderId="0" applyAlignment="1" pivotButton="0" quotePrefix="0" xfId="0">
      <alignment vertical="center"/>
    </xf>
    <xf numFmtId="14" fontId="2" fillId="2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vertical="center"/>
    </xf>
    <xf numFmtId="0" fontId="18" fillId="0" borderId="0" applyAlignment="1" pivotButton="0" quotePrefix="0" xfId="0">
      <alignment vertical="top" wrapText="1"/>
    </xf>
    <xf numFmtId="14" fontId="18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vertical="center"/>
    </xf>
    <xf numFmtId="14" fontId="21" fillId="0" borderId="0" applyAlignment="1" pivotButton="0" quotePrefix="0" xfId="0">
      <alignment horizontal="left" vertical="center"/>
    </xf>
    <xf numFmtId="0" fontId="22" fillId="3" borderId="29" applyAlignment="1" pivotButton="0" quotePrefix="0" xfId="0">
      <alignment horizontal="center" vertical="center"/>
    </xf>
    <xf numFmtId="0" fontId="22" fillId="3" borderId="30" applyAlignment="1" pivotButton="0" quotePrefix="0" xfId="0">
      <alignment horizontal="center" vertical="center"/>
    </xf>
    <xf numFmtId="0" fontId="23" fillId="0" borderId="0" applyAlignment="1" pivotButton="0" quotePrefix="0" xfId="0">
      <alignment horizontal="right" vertical="center"/>
    </xf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horizontal="left" vertical="center" indent="1"/>
    </xf>
    <xf numFmtId="43" fontId="24" fillId="0" borderId="0" applyAlignment="1" pivotButton="0" quotePrefix="0" xfId="0">
      <alignment horizontal="left" vertical="center"/>
    </xf>
    <xf numFmtId="165" fontId="8" fillId="0" borderId="32" applyAlignment="1" pivotButton="0" quotePrefix="0" xfId="0">
      <alignment horizontal="left" vertical="center"/>
    </xf>
    <xf numFmtId="164" fontId="25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 indent="3"/>
    </xf>
    <xf numFmtId="43" fontId="12" fillId="0" borderId="0" applyAlignment="1" pivotButton="0" quotePrefix="0" xfId="0">
      <alignment horizontal="left" vertical="center" indent="1"/>
    </xf>
    <xf numFmtId="165" fontId="12" fillId="0" borderId="32" applyAlignment="1" pivotButton="0" quotePrefix="0" xfId="0">
      <alignment horizontal="left" vertical="center"/>
    </xf>
    <xf numFmtId="164" fontId="26" fillId="0" borderId="0" applyAlignment="1" pivotButton="0" quotePrefix="0" xfId="0">
      <alignment horizontal="right" vertical="center"/>
    </xf>
    <xf numFmtId="0" fontId="26" fillId="0" borderId="0" applyAlignment="1" pivotButton="0" quotePrefix="0" xfId="0">
      <alignment vertical="center"/>
    </xf>
    <xf numFmtId="164" fontId="9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center" vertical="center"/>
    </xf>
    <xf numFmtId="43" fontId="12" fillId="0" borderId="0" applyAlignment="1" pivotButton="0" quotePrefix="0" xfId="0">
      <alignment horizontal="left" vertical="center"/>
    </xf>
    <xf numFmtId="165" fontId="24" fillId="0" borderId="32" applyAlignment="1" pivotButton="0" quotePrefix="0" xfId="0">
      <alignment horizontal="left" vertical="center"/>
    </xf>
    <xf numFmtId="164" fontId="27" fillId="0" borderId="0" applyAlignment="1" pivotButton="0" quotePrefix="0" xfId="0">
      <alignment horizontal="right" vertical="center"/>
    </xf>
    <xf numFmtId="0" fontId="27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 indent="2"/>
    </xf>
    <xf numFmtId="0" fontId="28" fillId="0" borderId="0" applyAlignment="1" pivotButton="0" quotePrefix="0" xfId="0">
      <alignment horizontal="left" vertical="center" indent="1"/>
    </xf>
    <xf numFmtId="43" fontId="9" fillId="0" borderId="0" applyAlignment="1" pivotButton="0" quotePrefix="0" xfId="0">
      <alignment horizontal="left" vertical="center"/>
    </xf>
    <xf numFmtId="165" fontId="9" fillId="0" borderId="32" applyAlignment="1" pivotButton="0" quotePrefix="0" xfId="0">
      <alignment horizontal="left" vertical="center"/>
    </xf>
    <xf numFmtId="43" fontId="29" fillId="0" borderId="34" applyAlignment="1" pivotButton="0" quotePrefix="0" xfId="0">
      <alignment horizontal="left" vertical="center"/>
    </xf>
    <xf numFmtId="165" fontId="29" fillId="0" borderId="35" applyAlignment="1" pivotButton="0" quotePrefix="0" xfId="0">
      <alignment horizontal="left" vertical="center"/>
    </xf>
    <xf numFmtId="0" fontId="29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center" vertical="center"/>
    </xf>
    <xf numFmtId="43" fontId="29" fillId="0" borderId="0" applyAlignment="1" pivotButton="0" quotePrefix="0" xfId="0">
      <alignment vertical="center"/>
    </xf>
    <xf numFmtId="165" fontId="29" fillId="0" borderId="0" applyAlignment="1" pivotButton="0" quotePrefix="0" xfId="0">
      <alignment horizontal="right" vertical="center"/>
    </xf>
    <xf numFmtId="0" fontId="29" fillId="0" borderId="0" applyAlignment="1" pivotButton="0" quotePrefix="0" xfId="0">
      <alignment horizontal="right" vertical="center"/>
    </xf>
    <xf numFmtId="165" fontId="31" fillId="0" borderId="38" applyAlignment="1" pivotButton="0" quotePrefix="0" xfId="0">
      <alignment horizontal="right" vertical="center"/>
    </xf>
    <xf numFmtId="0" fontId="30" fillId="0" borderId="0" applyAlignment="1" pivotButton="0" quotePrefix="0" xfId="0">
      <alignment vertical="center"/>
    </xf>
    <xf numFmtId="165" fontId="31" fillId="0" borderId="40" applyAlignment="1" pivotButton="0" quotePrefix="0" xfId="0">
      <alignment horizontal="right" vertical="center"/>
    </xf>
    <xf numFmtId="40" fontId="29" fillId="0" borderId="0" applyAlignment="1" pivotButton="0" quotePrefix="0" xfId="0">
      <alignment vertical="center"/>
    </xf>
    <xf numFmtId="165" fontId="31" fillId="0" borderId="43" applyAlignment="1" pivotButton="0" quotePrefix="0" xfId="0">
      <alignment horizontal="right" vertical="center"/>
    </xf>
    <xf numFmtId="165" fontId="28" fillId="0" borderId="40" applyAlignment="1" pivotButton="0" quotePrefix="0" xfId="0">
      <alignment horizontal="right" vertical="center"/>
    </xf>
    <xf numFmtId="0" fontId="28" fillId="0" borderId="0" applyAlignment="1" pivotButton="0" quotePrefix="0" xfId="0">
      <alignment vertical="center"/>
    </xf>
    <xf numFmtId="165" fontId="28" fillId="0" borderId="46" applyAlignment="1" pivotButton="0" quotePrefix="0" xfId="0">
      <alignment horizontal="right" vertical="center"/>
    </xf>
    <xf numFmtId="165" fontId="9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40" fontId="33" fillId="0" borderId="22" applyAlignment="1" pivotButton="0" quotePrefix="0" xfId="0">
      <alignment vertical="center"/>
    </xf>
    <xf numFmtId="40" fontId="33" fillId="0" borderId="23" applyAlignment="1" pivotButton="0" quotePrefix="0" xfId="0">
      <alignment vertical="center"/>
    </xf>
    <xf numFmtId="40" fontId="33" fillId="0" borderId="24" applyAlignment="1" pivotButton="0" quotePrefix="0" xfId="0">
      <alignment vertical="center"/>
    </xf>
    <xf numFmtId="40" fontId="33" fillId="0" borderId="25" applyAlignment="1" pivotButton="0" quotePrefix="0" xfId="0">
      <alignment vertical="center"/>
    </xf>
    <xf numFmtId="40" fontId="33" fillId="0" borderId="26" applyAlignment="1" pivotButton="0" quotePrefix="0" xfId="0">
      <alignment vertical="center"/>
    </xf>
    <xf numFmtId="40" fontId="33" fillId="0" borderId="27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6" borderId="49" applyAlignment="1" pivotButton="0" quotePrefix="0" xfId="0">
      <alignment vertical="center" wrapText="1"/>
    </xf>
    <xf numFmtId="0" fontId="0" fillId="6" borderId="50" applyAlignment="1" pivotButton="0" quotePrefix="0" xfId="0">
      <alignment horizontal="center" vertical="center" wrapText="1"/>
    </xf>
    <xf numFmtId="0" fontId="0" fillId="6" borderId="51" applyAlignment="1" pivotButton="0" quotePrefix="0" xfId="0">
      <alignment horizontal="center" vertical="center" wrapText="1"/>
    </xf>
    <xf numFmtId="0" fontId="6" fillId="0" borderId="52" pivotButton="0" quotePrefix="0" xfId="0"/>
    <xf numFmtId="0" fontId="6" fillId="0" borderId="53" pivotButton="0" quotePrefix="0" xfId="0"/>
    <xf numFmtId="2" fontId="0" fillId="0" borderId="53" pivotButton="0" quotePrefix="0" xfId="0"/>
    <xf numFmtId="166" fontId="0" fillId="0" borderId="54" pivotButton="0" quotePrefix="0" xfId="0"/>
    <xf numFmtId="2" fontId="0" fillId="0" borderId="0" pivotButton="0" quotePrefix="0" xfId="0"/>
    <xf numFmtId="0" fontId="34" fillId="0" borderId="55" pivotButton="0" quotePrefix="0" xfId="0"/>
    <xf numFmtId="0" fontId="1" fillId="0" borderId="56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167" fontId="35" fillId="0" borderId="57" applyAlignment="1" pivotButton="0" quotePrefix="0" xfId="0">
      <alignment vertical="center" wrapText="1" readingOrder="1"/>
    </xf>
    <xf numFmtId="0" fontId="7" fillId="0" borderId="57" pivotButton="0" quotePrefix="0" xfId="0"/>
    <xf numFmtId="0" fontId="0" fillId="0" borderId="57" pivotButton="0" quotePrefix="0" xfId="0"/>
    <xf numFmtId="0" fontId="2" fillId="0" borderId="17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right" vertical="center" wrapText="1"/>
    </xf>
    <xf numFmtId="3" fontId="35" fillId="0" borderId="57" applyAlignment="1" pivotButton="0" quotePrefix="0" xfId="0">
      <alignment vertical="center" wrapText="1" readingOrder="1"/>
    </xf>
    <xf numFmtId="0" fontId="0" fillId="4" borderId="50" applyAlignment="1" pivotButton="0" quotePrefix="0" xfId="0">
      <alignment horizontal="center" vertical="center" wrapText="1"/>
    </xf>
    <xf numFmtId="0" fontId="0" fillId="7" borderId="50" applyAlignment="1" pivotButton="0" quotePrefix="0" xfId="0">
      <alignment horizontal="center" vertical="center" wrapText="1"/>
    </xf>
    <xf numFmtId="0" fontId="0" fillId="8" borderId="50" applyAlignment="1" pivotButton="0" quotePrefix="0" xfId="0">
      <alignment horizontal="center" vertical="center" wrapText="1"/>
    </xf>
    <xf numFmtId="0" fontId="1" fillId="0" borderId="58" applyAlignment="1" pivotButton="0" quotePrefix="0" xfId="0">
      <alignment vertical="center"/>
    </xf>
    <xf numFmtId="0" fontId="2" fillId="2" borderId="25" applyAlignment="1" pivotButton="0" quotePrefix="0" xfId="0">
      <alignment vertical="center"/>
    </xf>
    <xf numFmtId="2" fontId="2" fillId="2" borderId="25" applyAlignment="1" pivotButton="0" quotePrefix="0" xfId="0">
      <alignment vertical="center"/>
    </xf>
    <xf numFmtId="0" fontId="2" fillId="2" borderId="27" applyAlignment="1" pivotButton="0" quotePrefix="0" xfId="0">
      <alignment vertical="center"/>
    </xf>
    <xf numFmtId="0" fontId="2" fillId="0" borderId="59" applyAlignment="1" pivotButton="0" quotePrefix="0" xfId="0">
      <alignment horizontal="center" vertical="center"/>
    </xf>
    <xf numFmtId="0" fontId="30" fillId="0" borderId="0" applyAlignment="1" pivotButton="0" quotePrefix="1" xfId="0">
      <alignment vertical="center" wrapText="1"/>
    </xf>
    <xf numFmtId="0" fontId="30" fillId="0" borderId="0" applyAlignment="1" pivotButton="0" quotePrefix="0" xfId="0">
      <alignment horizontal="left" vertical="center" indent="1"/>
    </xf>
    <xf numFmtId="0" fontId="22" fillId="3" borderId="28" applyAlignment="1" pivotButton="0" quotePrefix="0" xfId="0">
      <alignment horizontal="center" vertical="center"/>
    </xf>
    <xf numFmtId="0" fontId="22" fillId="3" borderId="29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top" wrapText="1"/>
    </xf>
    <xf numFmtId="43" fontId="31" fillId="0" borderId="36" applyAlignment="1" pivotButton="0" quotePrefix="0" xfId="0">
      <alignment horizontal="right" vertical="center"/>
    </xf>
    <xf numFmtId="43" fontId="31" fillId="0" borderId="37" applyAlignment="1" pivotButton="0" quotePrefix="0" xfId="0">
      <alignment horizontal="right" vertical="center"/>
    </xf>
    <xf numFmtId="0" fontId="24" fillId="0" borderId="31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12" fillId="0" borderId="31" applyAlignment="1" pivotButton="0" quotePrefix="0" xfId="0">
      <alignment horizontal="left" vertical="center" indent="3"/>
    </xf>
    <xf numFmtId="0" fontId="12" fillId="0" borderId="0" applyAlignment="1" pivotButton="0" quotePrefix="0" xfId="0">
      <alignment horizontal="left" vertical="center" indent="3"/>
    </xf>
    <xf numFmtId="0" fontId="12" fillId="0" borderId="3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31" applyAlignment="1" pivotButton="0" quotePrefix="0" xfId="0">
      <alignment horizontal="left" vertical="center" indent="2"/>
    </xf>
    <xf numFmtId="0" fontId="12" fillId="0" borderId="0" applyAlignment="1" pivotButton="0" quotePrefix="0" xfId="0">
      <alignment horizontal="left" vertical="center" indent="2"/>
    </xf>
    <xf numFmtId="0" fontId="28" fillId="0" borderId="31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0" borderId="33" applyAlignment="1" pivotButton="0" quotePrefix="0" xfId="0">
      <alignment horizontal="left" vertical="center" indent="1"/>
    </xf>
    <xf numFmtId="0" fontId="29" fillId="0" borderId="34" applyAlignment="1" pivotButton="0" quotePrefix="0" xfId="0">
      <alignment horizontal="left" vertical="center" indent="1"/>
    </xf>
    <xf numFmtId="43" fontId="28" fillId="0" borderId="44" applyAlignment="1" pivotButton="0" quotePrefix="0" xfId="0">
      <alignment horizontal="right" vertical="center"/>
    </xf>
    <xf numFmtId="43" fontId="28" fillId="0" borderId="45" applyAlignment="1" pivotButton="0" quotePrefix="0" xfId="0">
      <alignment horizontal="right" vertical="center"/>
    </xf>
    <xf numFmtId="0" fontId="28" fillId="4" borderId="0" applyAlignment="1" pivotButton="0" quotePrefix="0" xfId="0">
      <alignment horizontal="center"/>
    </xf>
    <xf numFmtId="164" fontId="9" fillId="5" borderId="0" applyAlignment="1" pivotButton="0" quotePrefix="0" xfId="0">
      <alignment horizontal="left" vertical="center" wrapText="1" indent="2"/>
    </xf>
    <xf numFmtId="164" fontId="9" fillId="5" borderId="47" applyAlignment="1" pivotButton="0" quotePrefix="0" xfId="0">
      <alignment horizontal="left" vertical="center" wrapText="1" indent="2"/>
    </xf>
    <xf numFmtId="164" fontId="9" fillId="5" borderId="48" applyAlignment="1" pivotButton="0" quotePrefix="0" xfId="0">
      <alignment horizontal="left" vertical="center" wrapText="1" indent="2"/>
    </xf>
    <xf numFmtId="43" fontId="31" fillId="0" borderId="39" applyAlignment="1" pivotButton="0" quotePrefix="0" xfId="0">
      <alignment horizontal="right" vertical="center"/>
    </xf>
    <xf numFmtId="43" fontId="31" fillId="0" borderId="0" applyAlignment="1" pivotButton="0" quotePrefix="0" xfId="0">
      <alignment horizontal="right" vertical="center"/>
    </xf>
    <xf numFmtId="40" fontId="31" fillId="0" borderId="41" applyAlignment="1" pivotButton="0" quotePrefix="0" xfId="0">
      <alignment horizontal="right" vertical="center"/>
    </xf>
    <xf numFmtId="40" fontId="31" fillId="0" borderId="42" applyAlignment="1" pivotButton="0" quotePrefix="0" xfId="0">
      <alignment horizontal="right" vertical="center"/>
    </xf>
    <xf numFmtId="43" fontId="28" fillId="0" borderId="39" applyAlignment="1" pivotButton="0" quotePrefix="0" xfId="0">
      <alignment horizontal="right" vertical="center"/>
    </xf>
    <xf numFmtId="43" fontId="28" fillId="0" borderId="0" applyAlignment="1" pivotButton="0" quotePrefix="0" xfId="0">
      <alignment horizontal="right" vertical="center"/>
    </xf>
    <xf numFmtId="43" fontId="28" fillId="0" borderId="39" applyAlignment="1" pivotButton="0" quotePrefix="0" xfId="0">
      <alignment horizontal="right" vertical="center" indent="1"/>
    </xf>
    <xf numFmtId="43" fontId="28" fillId="0" borderId="0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 wrapText="1"/>
    </xf>
    <xf numFmtId="0" fontId="7" fillId="0" borderId="2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29" pivotButton="0" quotePrefix="0" xfId="0"/>
    <xf numFmtId="43" fontId="24" fillId="0" borderId="0" applyAlignment="1" pivotButton="0" quotePrefix="0" xfId="0">
      <alignment horizontal="left" vertical="center"/>
    </xf>
    <xf numFmtId="165" fontId="8" fillId="0" borderId="32" applyAlignment="1" pivotButton="0" quotePrefix="0" xfId="0">
      <alignment horizontal="left" vertical="center"/>
    </xf>
    <xf numFmtId="164" fontId="25" fillId="0" borderId="0" applyAlignment="1" pivotButton="0" quotePrefix="0" xfId="0">
      <alignment horizontal="right" vertical="center"/>
    </xf>
    <xf numFmtId="43" fontId="12" fillId="0" borderId="0" applyAlignment="1" pivotButton="0" quotePrefix="0" xfId="0">
      <alignment horizontal="left" vertical="center" indent="1"/>
    </xf>
    <xf numFmtId="165" fontId="12" fillId="0" borderId="32" applyAlignment="1" pivotButton="0" quotePrefix="0" xfId="0">
      <alignment horizontal="left" vertical="center"/>
    </xf>
    <xf numFmtId="164" fontId="26" fillId="0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43" fontId="12" fillId="0" borderId="0" applyAlignment="1" pivotButton="0" quotePrefix="0" xfId="0">
      <alignment horizontal="left" vertical="center"/>
    </xf>
    <xf numFmtId="165" fontId="24" fillId="0" borderId="32" applyAlignment="1" pivotButton="0" quotePrefix="0" xfId="0">
      <alignment horizontal="left" vertical="center"/>
    </xf>
    <xf numFmtId="164" fontId="27" fillId="0" borderId="0" applyAlignment="1" pivotButton="0" quotePrefix="0" xfId="0">
      <alignment horizontal="right" vertical="center"/>
    </xf>
    <xf numFmtId="43" fontId="9" fillId="0" borderId="0" applyAlignment="1" pivotButton="0" quotePrefix="0" xfId="0">
      <alignment horizontal="left" vertical="center"/>
    </xf>
    <xf numFmtId="165" fontId="9" fillId="0" borderId="32" applyAlignment="1" pivotButton="0" quotePrefix="0" xfId="0">
      <alignment horizontal="left" vertical="center"/>
    </xf>
    <xf numFmtId="0" fontId="0" fillId="0" borderId="34" pivotButton="0" quotePrefix="0" xfId="0"/>
    <xf numFmtId="43" fontId="29" fillId="0" borderId="34" applyAlignment="1" pivotButton="0" quotePrefix="0" xfId="0">
      <alignment horizontal="left" vertical="center"/>
    </xf>
    <xf numFmtId="165" fontId="29" fillId="0" borderId="35" applyAlignment="1" pivotButton="0" quotePrefix="0" xfId="0">
      <alignment horizontal="left" vertical="center"/>
    </xf>
    <xf numFmtId="43" fontId="29" fillId="0" borderId="0" applyAlignment="1" pivotButton="0" quotePrefix="0" xfId="0">
      <alignment vertical="center"/>
    </xf>
    <xf numFmtId="165" fontId="29" fillId="0" borderId="0" applyAlignment="1" pivotButton="0" quotePrefix="0" xfId="0">
      <alignment horizontal="right" vertical="center"/>
    </xf>
    <xf numFmtId="43" fontId="31" fillId="0" borderId="36" applyAlignment="1" pivotButton="0" quotePrefix="0" xfId="0">
      <alignment horizontal="right" vertical="center"/>
    </xf>
    <xf numFmtId="0" fontId="0" fillId="0" borderId="37" pivotButton="0" quotePrefix="0" xfId="0"/>
    <xf numFmtId="165" fontId="31" fillId="0" borderId="38" applyAlignment="1" pivotButton="0" quotePrefix="0" xfId="0">
      <alignment horizontal="right" vertical="center"/>
    </xf>
    <xf numFmtId="43" fontId="31" fillId="0" borderId="39" applyAlignment="1" pivotButton="0" quotePrefix="0" xfId="0">
      <alignment horizontal="right" vertical="center"/>
    </xf>
    <xf numFmtId="165" fontId="31" fillId="0" borderId="40" applyAlignment="1" pivotButton="0" quotePrefix="0" xfId="0">
      <alignment horizontal="right" vertical="center"/>
    </xf>
    <xf numFmtId="0" fontId="0" fillId="0" borderId="42" pivotButton="0" quotePrefix="0" xfId="0"/>
    <xf numFmtId="165" fontId="31" fillId="0" borderId="43" applyAlignment="1" pivotButton="0" quotePrefix="0" xfId="0">
      <alignment horizontal="right" vertical="center"/>
    </xf>
    <xf numFmtId="43" fontId="28" fillId="0" borderId="39" applyAlignment="1" pivotButton="0" quotePrefix="0" xfId="0">
      <alignment horizontal="right" vertical="center"/>
    </xf>
    <xf numFmtId="165" fontId="28" fillId="0" borderId="40" applyAlignment="1" pivotButton="0" quotePrefix="0" xfId="0">
      <alignment horizontal="right" vertical="center"/>
    </xf>
    <xf numFmtId="43" fontId="28" fillId="0" borderId="39" applyAlignment="1" pivotButton="0" quotePrefix="0" xfId="0">
      <alignment horizontal="right" vertical="center" indent="1"/>
    </xf>
    <xf numFmtId="43" fontId="28" fillId="0" borderId="44" applyAlignment="1" pivotButton="0" quotePrefix="0" xfId="0">
      <alignment horizontal="right" vertical="center"/>
    </xf>
    <xf numFmtId="0" fontId="0" fillId="0" borderId="45" pivotButton="0" quotePrefix="0" xfId="0"/>
    <xf numFmtId="165" fontId="28" fillId="0" borderId="46" applyAlignment="1" pivotButton="0" quotePrefix="0" xfId="0">
      <alignment horizontal="right" vertical="center"/>
    </xf>
    <xf numFmtId="165" fontId="9" fillId="0" borderId="0" applyAlignment="1" pivotButton="0" quotePrefix="0" xfId="0">
      <alignment vertical="center"/>
    </xf>
    <xf numFmtId="164" fontId="9" fillId="5" borderId="47" applyAlignment="1" pivotButton="0" quotePrefix="0" xfId="0">
      <alignment horizontal="left" vertical="center" wrapText="1" indent="2"/>
    </xf>
    <xf numFmtId="0" fontId="0" fillId="0" borderId="47" pivotButton="0" quotePrefix="0" xfId="0"/>
    <xf numFmtId="164" fontId="9" fillId="5" borderId="48" applyAlignment="1" pivotButton="0" quotePrefix="0" xfId="0">
      <alignment horizontal="left" vertical="center" wrapText="1" indent="2"/>
    </xf>
    <xf numFmtId="164" fontId="2" fillId="0" borderId="0" applyAlignment="1" pivotButton="0" quotePrefix="0" xfId="0">
      <alignment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63" pivotButton="0" quotePrefix="0" xfId="0"/>
    <xf numFmtId="0" fontId="0" fillId="0" borderId="65" pivotButton="0" quotePrefix="0" xfId="0"/>
    <xf numFmtId="0" fontId="7" fillId="0" borderId="66" applyAlignment="1" pivotButton="0" quotePrefix="0" xfId="0">
      <alignment horizontal="center" vertical="center" wrapText="1"/>
    </xf>
    <xf numFmtId="0" fontId="0" fillId="0" borderId="21" pivotButton="0" quotePrefix="0" xfId="0"/>
    <xf numFmtId="167" fontId="35" fillId="0" borderId="57" applyAlignment="1" pivotButton="0" quotePrefix="0" xfId="0">
      <alignment vertical="center" wrapText="1" readingOrder="1"/>
    </xf>
    <xf numFmtId="166" fontId="0" fillId="0" borderId="54" pivotButton="0" quotePrefix="0" xfId="0"/>
  </cellXfs>
  <cellStyles count="3">
    <cellStyle name="Normal" xfId="0" builtinId="0"/>
    <cellStyle name="常规 2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</col>
      <colOff>1095828</colOff>
      <row>2</row>
      <rowOff>109286</rowOff>
    </to>
    <pic>
      <nvPicPr>
        <cNvPr id="2" name="图片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2259995" cy="52838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tabSelected="1" zoomScale="150" zoomScaleNormal="150" workbookViewId="0">
      <selection activeCell="H17" sqref="H17"/>
    </sheetView>
  </sheetViews>
  <sheetFormatPr baseColWidth="8" defaultColWidth="9.1796875" defaultRowHeight="10.5"/>
  <cols>
    <col width="15.36328125" customWidth="1" style="36" min="1" max="1"/>
    <col width="23.453125" customWidth="1" style="36" min="2" max="2"/>
    <col width="4.453125" customWidth="1" style="36" min="3" max="3"/>
    <col width="15.1796875" customWidth="1" style="36" min="4" max="4"/>
    <col width="14.26953125" customWidth="1" style="36" min="5" max="5"/>
    <col width="17.08984375" customWidth="1" style="38" min="6" max="6"/>
    <col width="9.1796875" customWidth="1" style="38" min="7" max="7"/>
    <col width="9.1796875" customWidth="1" style="36" min="8" max="8"/>
    <col width="9.1796875" customWidth="1" style="36" min="9" max="9"/>
    <col width="9.1796875" customWidth="1" style="36" min="10" max="16384"/>
  </cols>
  <sheetData>
    <row r="1" ht="19" customHeight="1">
      <c r="B1" s="134" t="inlineStr">
        <is>
          <t>NNRoad – Employer of Record, Payroll Worldwide</t>
        </is>
      </c>
      <c r="G1" s="37" t="n"/>
      <c r="H1" s="38" t="n"/>
    </row>
    <row r="2" ht="14.25" customHeight="1">
      <c r="B2" s="135" t="inlineStr">
        <is>
          <t>333 W San Carlos St., Suite 600, San Jose, CA 95113, USA</t>
        </is>
      </c>
      <c r="G2" s="37" t="n"/>
      <c r="H2" s="38" t="n"/>
    </row>
    <row r="3" ht="18" customFormat="1" customHeight="1" s="39">
      <c r="B3" s="135" t="inlineStr">
        <is>
          <t>USA: +1 (669) 377-5080 | www.NNRoad.com</t>
        </is>
      </c>
      <c r="G3" s="37" t="n"/>
      <c r="H3" s="37" t="n"/>
    </row>
    <row r="4" ht="14" customFormat="1" customHeight="1" s="39">
      <c r="G4" s="37" t="n"/>
      <c r="H4" s="37" t="n"/>
    </row>
    <row r="5" ht="32" customFormat="1" customHeight="1" s="39">
      <c r="A5" s="136" t="inlineStr">
        <is>
          <t>INVOICE</t>
        </is>
      </c>
      <c r="G5" s="37" t="n"/>
      <c r="H5" s="37" t="n"/>
    </row>
    <row r="6" ht="12" customFormat="1" customHeight="1" s="39">
      <c r="A6" s="40" t="n"/>
      <c r="B6" s="40" t="n"/>
      <c r="C6" s="40" t="n"/>
      <c r="D6" s="40" t="n"/>
      <c r="E6" s="40" t="n"/>
      <c r="F6" s="40" t="n"/>
      <c r="G6" s="37" t="n"/>
      <c r="H6" s="37" t="n"/>
    </row>
    <row r="7" ht="13" customFormat="1" customHeight="1" s="39">
      <c r="A7" s="41" t="inlineStr">
        <is>
          <t>Bill to:</t>
        </is>
      </c>
      <c r="B7" s="41" t="n"/>
      <c r="C7" s="41" t="n"/>
      <c r="D7" s="41" t="n"/>
      <c r="E7" s="41" t="n"/>
      <c r="G7" s="37" t="n"/>
      <c r="H7" s="37" t="n"/>
    </row>
    <row r="8" ht="24" customFormat="1" customHeight="1" s="46">
      <c r="A8" s="42" t="inlineStr">
        <is>
          <t>Company name:</t>
        </is>
      </c>
      <c r="B8" s="120" t="n"/>
      <c r="C8" s="44" t="n"/>
      <c r="D8" s="42" t="inlineStr">
        <is>
          <t>Currency</t>
        </is>
      </c>
      <c r="E8" s="42" t="n"/>
      <c r="F8" s="43" t="inlineStr">
        <is>
          <t>USD</t>
        </is>
      </c>
      <c r="G8" s="45" t="n"/>
    </row>
    <row r="9" ht="13" customFormat="1" customHeight="1" s="46">
      <c r="A9" s="42" t="inlineStr">
        <is>
          <t>Client ID:</t>
        </is>
      </c>
      <c r="B9" s="43" t="n"/>
      <c r="C9" s="47" t="n"/>
      <c r="D9" s="42" t="inlineStr">
        <is>
          <t>Invoice number</t>
        </is>
      </c>
      <c r="E9" s="42" t="n"/>
      <c r="F9" s="43" t="n"/>
      <c r="G9" s="45" t="n"/>
    </row>
    <row r="10" ht="13" customFormat="1" customHeight="1" s="39">
      <c r="A10" s="42" t="inlineStr">
        <is>
          <t>Address:</t>
        </is>
      </c>
      <c r="B10" s="137" t="n"/>
      <c r="C10" s="47" t="n"/>
      <c r="D10" s="42" t="inlineStr">
        <is>
          <t>Invoice date</t>
        </is>
      </c>
      <c r="E10" s="42" t="n"/>
      <c r="F10" s="48">
        <f>TODAY()</f>
        <v/>
      </c>
      <c r="G10" s="37" t="n"/>
    </row>
    <row r="11" ht="12" customFormat="1" customHeight="1" s="46">
      <c r="A11" s="49" t="n"/>
      <c r="D11" s="42" t="inlineStr">
        <is>
          <t>Due date</t>
        </is>
      </c>
      <c r="E11" s="42" t="n"/>
      <c r="F11" s="48" t="n"/>
      <c r="G11" s="45" t="n"/>
    </row>
    <row r="12" ht="12" customFormat="1" customHeight="1" s="39">
      <c r="A12" s="50" t="n"/>
      <c r="B12" s="50" t="n"/>
      <c r="C12" s="50" t="n"/>
      <c r="D12" s="50" t="n"/>
      <c r="E12" s="51" t="n"/>
      <c r="G12" s="37" t="n"/>
    </row>
    <row r="13" ht="11" customHeight="1" thickBot="1"/>
    <row r="14" ht="28" customFormat="1" customHeight="1" s="55">
      <c r="A14" s="132" t="inlineStr">
        <is>
          <t>Description</t>
        </is>
      </c>
      <c r="B14" s="184" t="n"/>
      <c r="C14" s="184" t="n"/>
      <c r="D14" s="133" t="n"/>
      <c r="E14" s="133">
        <f>"Amount "&amp;Kyrgyzstan!C6</f>
        <v/>
      </c>
      <c r="F14" s="53" t="inlineStr">
        <is>
          <t>Approx. In USD*</t>
        </is>
      </c>
      <c r="G14" s="54" t="n"/>
    </row>
    <row r="15" ht="16" customFormat="1" customHeight="1" s="60">
      <c r="A15" s="140" t="inlineStr">
        <is>
          <t>EOR/PEO Cost</t>
        </is>
      </c>
      <c r="D15" s="141" t="n"/>
      <c r="E15" s="185">
        <f>SUM(E16:E18)</f>
        <v/>
      </c>
      <c r="F15" s="186">
        <f>SUM(F16:F18)</f>
        <v/>
      </c>
      <c r="G15" s="187" t="n"/>
    </row>
    <row r="16" ht="13" customFormat="1" customHeight="1" s="65">
      <c r="A16" s="142">
        <f>"- Labor cost for "&amp;Kyrgyzstan!B9&amp;"  -  "&amp;MONTH(Kyrgyzstan!B2) &amp;"-"&amp; YEAR(Kyrgyzstan!C2)</f>
        <v/>
      </c>
      <c r="D16" s="143" t="n"/>
      <c r="E16" s="188">
        <f>Kyrgyzstan!J9+Kyrgyzstan!P9-Kyrgyzstan!O9</f>
        <v/>
      </c>
      <c r="F16" s="189">
        <f>E16/$B$28</f>
        <v/>
      </c>
      <c r="G16" s="190" t="n"/>
    </row>
    <row r="17" ht="13" customHeight="1">
      <c r="A17" s="142">
        <f>"- "&amp;+"Expense claim for "&amp;Kyrgyzstan!B9&amp;"  -  "&amp;MONTH(Kyrgyzstan!B2) &amp;"-"&amp; YEAR(Kyrgyzstan!C2)</f>
        <v/>
      </c>
      <c r="D17" s="143" t="n"/>
      <c r="E17" s="188">
        <f>Kyrgyzstan!T9</f>
        <v/>
      </c>
      <c r="F17" s="189">
        <f>E17/$B$28</f>
        <v/>
      </c>
      <c r="G17" s="191" t="n"/>
    </row>
    <row r="18" ht="13" customHeight="1">
      <c r="A18" s="142" t="n"/>
      <c r="D18" s="67" t="n"/>
      <c r="E18" s="188" t="n"/>
      <c r="F18" s="189" t="n"/>
      <c r="G18" s="191" t="n"/>
    </row>
    <row r="19" ht="13" customHeight="1">
      <c r="A19" s="144" t="n"/>
      <c r="D19" s="145" t="n"/>
      <c r="E19" s="192" t="n"/>
      <c r="F19" s="189" t="n"/>
      <c r="G19" s="191" t="n"/>
    </row>
    <row r="20" ht="16" customFormat="1" customHeight="1" s="72">
      <c r="A20" s="140" t="inlineStr">
        <is>
          <t>Service Fee</t>
        </is>
      </c>
      <c r="D20" s="141" t="n"/>
      <c r="E20" s="185">
        <f>SUM(E21:E22)</f>
        <v/>
      </c>
      <c r="F20" s="193">
        <f>SUM(F21:F22)</f>
        <v/>
      </c>
      <c r="G20" s="194" t="n"/>
    </row>
    <row r="21" ht="13" customHeight="1">
      <c r="A21" s="146">
        <f>"- "&amp;+"Management Fee - "&amp;MONTH(Kyrgyzstan!B2) &amp;"-"&amp; YEAR(Kyrgyzstan!B2)</f>
        <v/>
      </c>
      <c r="D21" s="147" t="n"/>
      <c r="E21" s="192">
        <f>Kyrgyzstan!G9</f>
        <v/>
      </c>
      <c r="F21" s="189">
        <f>E21/$B$28</f>
        <v/>
      </c>
      <c r="G21" s="191" t="n"/>
    </row>
    <row r="22" ht="13" customHeight="1">
      <c r="A22" s="146" t="n"/>
      <c r="D22" s="147" t="n"/>
      <c r="E22" s="192" t="inlineStr">
        <is>
          <t> </t>
        </is>
      </c>
      <c r="F22" s="189" t="n"/>
      <c r="G22" s="191" t="n"/>
    </row>
    <row r="23" ht="13" customHeight="1">
      <c r="A23" s="146" t="n"/>
      <c r="D23" s="147" t="n"/>
      <c r="E23" s="192" t="n"/>
      <c r="F23" s="189" t="n"/>
      <c r="G23" s="191" t="n"/>
    </row>
    <row r="24" ht="14.5" customHeight="1">
      <c r="A24" s="148" t="n"/>
      <c r="D24" s="149" t="n"/>
      <c r="E24" s="195" t="n"/>
      <c r="F24" s="196" t="n"/>
      <c r="G24" s="191" t="n"/>
    </row>
    <row r="25" ht="15" customFormat="1" customHeight="1" s="60" thickBot="1">
      <c r="A25" s="150" t="inlineStr">
        <is>
          <t xml:space="preserve">EOR/PEO Service Cost		</t>
        </is>
      </c>
      <c r="B25" s="197" t="n"/>
      <c r="C25" s="197" t="n"/>
      <c r="D25" s="197" t="n"/>
      <c r="E25" s="198">
        <f>E15+E20</f>
        <v/>
      </c>
      <c r="F25" s="199">
        <f>F15+F20</f>
        <v/>
      </c>
      <c r="G25" s="187" t="n"/>
    </row>
    <row r="26" ht="14.5" customFormat="1" customHeight="1" s="60">
      <c r="A26" s="79" t="n"/>
      <c r="B26" s="79" t="n"/>
      <c r="C26" s="80" t="n"/>
      <c r="D26" s="80" t="n"/>
      <c r="E26" s="200" t="n"/>
      <c r="F26" s="201" t="n"/>
      <c r="G26" s="187" t="n"/>
    </row>
    <row r="27" ht="15" customFormat="1" customHeight="1" s="60" thickBot="1">
      <c r="A27" s="83" t="n"/>
      <c r="B27" s="83" t="n"/>
      <c r="C27" s="83" t="n"/>
      <c r="D27" s="83" t="n"/>
      <c r="E27" s="200" t="n"/>
      <c r="F27" s="201" t="n"/>
      <c r="G27" s="187" t="n"/>
    </row>
    <row r="28" ht="14.5" customHeight="1">
      <c r="A28" s="130" t="inlineStr">
        <is>
          <t>*FX rate USD/KGS:</t>
        </is>
      </c>
      <c r="B28" s="131" t="n"/>
      <c r="C28" s="200" t="n"/>
      <c r="D28" s="202" t="inlineStr">
        <is>
          <t>EOR/PEO Service Cost</t>
        </is>
      </c>
      <c r="E28" s="203" t="n"/>
      <c r="F28" s="204">
        <f>F25</f>
        <v/>
      </c>
      <c r="G28" s="191" t="n"/>
    </row>
    <row r="29" ht="14.5" customFormat="1" customHeight="1" s="65">
      <c r="A29" s="130" t="inlineStr">
        <is>
          <t>*FX rate  EUR/KGS</t>
        </is>
      </c>
      <c r="B29" s="131" t="n"/>
      <c r="C29" s="200" t="n"/>
      <c r="D29" s="205" t="inlineStr">
        <is>
          <t xml:space="preserve">Outstanding payment </t>
        </is>
      </c>
      <c r="F29" s="206">
        <f>Kyrgyzstan!E22</f>
        <v/>
      </c>
      <c r="G29" s="190" t="n"/>
    </row>
    <row r="30" ht="14.5" customFormat="1" customHeight="1" s="65">
      <c r="A30" s="130" t="inlineStr">
        <is>
          <t>*FX rate  EUR/USD</t>
        </is>
      </c>
      <c r="B30" s="131">
        <f>ROUND(B29/B28,2)</f>
        <v/>
      </c>
      <c r="C30" s="200" t="n"/>
      <c r="D30" s="205" t="inlineStr">
        <is>
          <t xml:space="preserve">FX difference </t>
        </is>
      </c>
      <c r="F30" s="206">
        <f>Kyrgyzstan!E23</f>
        <v/>
      </c>
      <c r="G30" s="190" t="n"/>
    </row>
    <row r="31" ht="14.5" customHeight="1">
      <c r="A31" s="85" t="n"/>
      <c r="B31" s="85" t="n"/>
      <c r="C31" s="200" t="n"/>
      <c r="D31" s="205" t="inlineStr">
        <is>
          <t xml:space="preserve">Interests of delay </t>
        </is>
      </c>
      <c r="F31" s="206">
        <f>Kyrgyzstan!E24</f>
        <v/>
      </c>
      <c r="G31" s="191" t="n"/>
    </row>
    <row r="32" ht="15" customHeight="1" thickBot="1">
      <c r="A32" s="85" t="n"/>
      <c r="B32" s="85" t="n"/>
      <c r="C32" s="87" t="n"/>
      <c r="D32" s="160" t="inlineStr">
        <is>
          <t xml:space="preserve">Bank Charges </t>
        </is>
      </c>
      <c r="E32" s="207" t="n"/>
      <c r="F32" s="208">
        <f>Kyrgyzstan!E25</f>
        <v/>
      </c>
      <c r="G32" s="191" t="n"/>
    </row>
    <row r="33" ht="14.5" customHeight="1">
      <c r="A33" s="85" t="n"/>
      <c r="B33" s="85" t="n"/>
      <c r="C33" s="200" t="n"/>
      <c r="D33" s="209" t="inlineStr">
        <is>
          <t xml:space="preserve">Sub Total (Excluding Tax)		</t>
        </is>
      </c>
      <c r="F33" s="210">
        <f>SUM(F28:F32)</f>
        <v/>
      </c>
      <c r="G33" s="191" t="n"/>
    </row>
    <row r="34" ht="14.5" customHeight="1">
      <c r="A34" s="85" t="n"/>
      <c r="B34" s="85" t="n"/>
      <c r="C34" s="200" t="n"/>
      <c r="D34" s="211" t="inlineStr">
        <is>
          <t>Tax</t>
        </is>
      </c>
      <c r="F34" s="210">
        <f>ROUND(Kyrgyzstan!F6/PN!B28,0)</f>
        <v/>
      </c>
      <c r="G34" s="191" t="n"/>
    </row>
    <row r="35" ht="15" customHeight="1" thickBot="1">
      <c r="A35" s="90" t="n"/>
      <c r="B35" s="90" t="n"/>
      <c r="C35" s="200" t="n"/>
      <c r="D35" s="212" t="inlineStr">
        <is>
          <t xml:space="preserve">Total		</t>
        </is>
      </c>
      <c r="E35" s="213" t="n"/>
      <c r="F35" s="214">
        <f>SUM(F33:F34)</f>
        <v/>
      </c>
      <c r="G35" s="191" t="n"/>
      <c r="H35" s="215" t="n"/>
    </row>
    <row r="36" ht="14.5" customHeight="1">
      <c r="A36" s="149" t="n"/>
      <c r="B36" s="149" t="n"/>
      <c r="C36" s="149" t="n"/>
      <c r="D36" s="149" t="n"/>
      <c r="E36" s="87" t="n"/>
      <c r="F36" s="87" t="n"/>
      <c r="G36" s="191" t="n"/>
    </row>
    <row r="37" ht="14.5" customHeight="1">
      <c r="A37" s="149" t="n"/>
      <c r="B37" s="149" t="n"/>
      <c r="C37" s="149" t="n"/>
      <c r="D37" s="149" t="n"/>
      <c r="E37" s="87" t="n"/>
      <c r="F37" s="87" t="n"/>
      <c r="G37" s="191" t="n"/>
    </row>
    <row r="38">
      <c r="G38" s="191" t="n"/>
    </row>
    <row r="39" ht="19" customHeight="1">
      <c r="A39" s="154" t="inlineStr">
        <is>
          <t xml:space="preserve">Please pay the Invoice in FULL AMOUNT </t>
        </is>
      </c>
    </row>
    <row r="40" ht="61" customHeight="1">
      <c r="A40" s="216" t="inlineStr">
        <is>
          <t>Beneficiary: NNROAD, INC.
Bank Name: Chase Bank
Bank Account: 132827913
Bank Add.: 690 River Oaks Parkway Ste A, San Jose, CA 95134, USA</t>
        </is>
      </c>
      <c r="C40" s="217" t="n"/>
      <c r="D40" s="218" t="inlineStr">
        <is>
          <t xml:space="preserve">
SWIFT BIC (international transfer): CHASUS33XXX
Routing Number (domestic wire transfer): 021000021
Routing Number (domestic ACH and direct deposit): 322271627</t>
        </is>
      </c>
    </row>
    <row r="41">
      <c r="A41" s="36" t="inlineStr">
        <is>
          <t>Notes:</t>
        </is>
      </c>
    </row>
    <row r="42" ht="11" customHeight="1">
      <c r="A42" s="60" t="inlineStr">
        <is>
          <t>1. Please ensure that you include the Invoice Number when making your payment. This will help us accurately process and allocate your payment .</t>
        </is>
      </c>
      <c r="B42" s="60" t="n"/>
      <c r="C42" s="60" t="n"/>
      <c r="D42" s="60" t="n"/>
      <c r="E42" s="60" t="n"/>
      <c r="F42" s="60" t="n"/>
    </row>
    <row r="43">
      <c r="A43" s="60" t="inlineStr">
        <is>
          <t>2. This document becomes a Tax Invoice/Receipt upon payment. Please retain a copy for your records.</t>
        </is>
      </c>
    </row>
    <row r="44">
      <c r="A44" s="60" t="inlineStr">
        <is>
          <t>3. This is a computer generated document.  No Signature required.</t>
        </is>
      </c>
    </row>
  </sheetData>
  <mergeCells count="28">
    <mergeCell ref="D34:E34"/>
    <mergeCell ref="B3:F3"/>
    <mergeCell ref="A18:C18"/>
    <mergeCell ref="A21:C21"/>
    <mergeCell ref="D31:E31"/>
    <mergeCell ref="B2:F2"/>
    <mergeCell ref="A23:C23"/>
    <mergeCell ref="A14:C14"/>
    <mergeCell ref="A5:F5"/>
    <mergeCell ref="A22:C22"/>
    <mergeCell ref="A17:C17"/>
    <mergeCell ref="D32:E32"/>
    <mergeCell ref="B1:F1"/>
    <mergeCell ref="B10:B11"/>
    <mergeCell ref="A20:C20"/>
    <mergeCell ref="A19:C19"/>
    <mergeCell ref="A40:C40"/>
    <mergeCell ref="D28:E28"/>
    <mergeCell ref="A25:D25"/>
    <mergeCell ref="A15:C15"/>
    <mergeCell ref="A39:F39"/>
    <mergeCell ref="A24:C24"/>
    <mergeCell ref="D30:E30"/>
    <mergeCell ref="D33:E33"/>
    <mergeCell ref="D29:E29"/>
    <mergeCell ref="D40:F40"/>
    <mergeCell ref="A16:C16"/>
    <mergeCell ref="D35:E35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zoomScale="110" zoomScaleNormal="110" workbookViewId="0">
      <selection activeCell="H24" sqref="H24"/>
    </sheetView>
  </sheetViews>
  <sheetFormatPr baseColWidth="8" defaultColWidth="9.1796875" defaultRowHeight="13"/>
  <cols>
    <col width="8.81640625" bestFit="1" customWidth="1" style="1" min="1" max="1"/>
    <col width="18" bestFit="1" customWidth="1" style="2" min="2" max="2"/>
    <col width="11.81640625" bestFit="1" customWidth="1" style="2" min="3" max="3"/>
    <col width="7.453125" customWidth="1" style="2" min="4" max="4"/>
    <col width="9.81640625" bestFit="1" customWidth="1" style="2" min="5" max="5"/>
    <col width="8.08984375" bestFit="1" customWidth="1" style="2" min="6" max="6"/>
    <col width="8.81640625" bestFit="1" customWidth="1" style="2" min="7" max="8"/>
    <col width="8.81640625" customWidth="1" style="2" min="9" max="9"/>
    <col width="8.81640625" bestFit="1" customWidth="1" style="2" min="10" max="11"/>
    <col width="4.81640625" bestFit="1" customWidth="1" style="2" min="12" max="12"/>
    <col width="8.81640625" customWidth="1" style="2" min="13" max="13"/>
    <col width="5.6328125" bestFit="1" customWidth="1" style="2" min="14" max="14"/>
    <col width="8" bestFit="1" customWidth="1" style="2" min="15" max="16"/>
    <col width="11" bestFit="1" customWidth="1" style="2" min="17" max="17"/>
    <col width="8" bestFit="1" customWidth="1" style="2" min="18" max="18"/>
    <col width="11.54296875" customWidth="1" style="2" min="19" max="19"/>
    <col width="8.81640625" bestFit="1" customWidth="1" style="2" min="20" max="21"/>
    <col width="9.1796875" customWidth="1" style="2" min="22" max="16384"/>
  </cols>
  <sheetData>
    <row r="1" ht="13.5" customHeight="1" thickBot="1">
      <c r="A1" s="1">
        <f>MID(CELL("filename",A1),FIND("]",CELL("filename",A1))+1,256)</f>
        <v/>
      </c>
    </row>
    <row r="2" ht="13.5" customHeight="1" thickBot="1">
      <c r="A2" s="3" t="inlineStr">
        <is>
          <t>Pay Period</t>
        </is>
      </c>
      <c r="B2" s="219">
        <f>'Kyrgyzstan-L'!C2</f>
        <v/>
      </c>
      <c r="C2" s="115">
        <f>'Kyrgyzstan-L'!E2</f>
        <v/>
      </c>
      <c r="E2" s="114" t="inlineStr">
        <is>
          <t>ER</t>
        </is>
      </c>
    </row>
    <row r="3" ht="14" customFormat="1" customHeight="1" s="5">
      <c r="A3" s="3" t="n"/>
      <c r="B3" s="219" t="n"/>
      <c r="E3" s="168" t="inlineStr">
        <is>
          <t>Sum</t>
        </is>
      </c>
      <c r="F3" s="170" t="inlineStr">
        <is>
          <t>Business
Tax</t>
        </is>
      </c>
      <c r="G3" s="172" t="inlineStr">
        <is>
          <t>Management Fee</t>
        </is>
      </c>
      <c r="H3" s="220" t="n"/>
      <c r="I3" s="173" t="n"/>
      <c r="J3" s="174" t="inlineStr">
        <is>
          <t>Gross Salary</t>
        </is>
      </c>
      <c r="K3" s="220" t="n"/>
      <c r="L3" s="220" t="n"/>
      <c r="M3" s="220" t="n"/>
      <c r="N3" s="220" t="n"/>
      <c r="O3" s="220" t="n"/>
      <c r="P3" s="166" t="inlineStr">
        <is>
          <t>Mandatory Contribution</t>
        </is>
      </c>
      <c r="Q3" s="220" t="n"/>
      <c r="R3" s="220" t="n"/>
      <c r="S3" s="221" t="n"/>
      <c r="T3" s="166" t="inlineStr">
        <is>
          <t>Expense Claim</t>
        </is>
      </c>
      <c r="U3" s="221" t="n"/>
    </row>
    <row r="4" ht="39.5" customFormat="1" customHeight="1" s="5" thickBot="1">
      <c r="E4" s="222" t="n"/>
      <c r="F4" s="223" t="n"/>
      <c r="G4" s="171" t="inlineStr">
        <is>
          <t>Subtotal</t>
        </is>
      </c>
      <c r="H4" s="6" t="inlineStr">
        <is>
          <t>Recurring
Fee</t>
        </is>
      </c>
      <c r="I4" s="6" t="inlineStr">
        <is>
          <t>Set-up Fee</t>
        </is>
      </c>
      <c r="J4" s="171" t="inlineStr">
        <is>
          <t>Subtotal</t>
        </is>
      </c>
      <c r="K4" s="6" t="inlineStr">
        <is>
          <t>Base Salary</t>
        </is>
      </c>
      <c r="L4" s="6" t="inlineStr">
        <is>
          <t>OT</t>
        </is>
      </c>
      <c r="M4" s="6" t="inlineStr">
        <is>
          <t>Salary Adjusment</t>
        </is>
      </c>
      <c r="N4" s="6" t="inlineStr">
        <is>
          <t>Bonus</t>
        </is>
      </c>
      <c r="O4" s="171" t="inlineStr">
        <is>
          <t xml:space="preserve">Other </t>
        </is>
      </c>
      <c r="P4" s="171" t="inlineStr">
        <is>
          <t>Subtotal</t>
        </is>
      </c>
      <c r="Q4" s="6">
        <f>'Kyrgyzstan-L'!N7</f>
        <v/>
      </c>
      <c r="R4" s="6">
        <f>'Kyrgyzstan-L'!O7</f>
        <v/>
      </c>
      <c r="S4" s="6">
        <f>'Kyrgyzstan-L'!P7</f>
        <v/>
      </c>
      <c r="T4" s="171" t="inlineStr">
        <is>
          <t>Subtotal</t>
        </is>
      </c>
      <c r="U4" s="100" t="inlineStr">
        <is>
          <t>Expense
Claim</t>
        </is>
      </c>
    </row>
    <row r="5" ht="13.5" customFormat="1" customHeight="1" s="5" thickBot="1">
      <c r="A5" s="1" t="n"/>
      <c r="E5" s="7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9" t="n"/>
    </row>
    <row r="6" customFormat="1" s="11">
      <c r="A6" s="10" t="n"/>
      <c r="B6" s="11" t="inlineStr">
        <is>
          <t>Sum</t>
        </is>
      </c>
      <c r="C6" s="11" t="inlineStr">
        <is>
          <t>(KGS)</t>
        </is>
      </c>
      <c r="E6" s="13">
        <f>SUM(E9:E17)</f>
        <v/>
      </c>
      <c r="F6" s="14">
        <f>SUM(F9:F17)</f>
        <v/>
      </c>
      <c r="G6" s="14">
        <f>SUM(G9:G17)</f>
        <v/>
      </c>
      <c r="H6" s="14">
        <f>SUM(H9:H17)</f>
        <v/>
      </c>
      <c r="I6" s="14">
        <f>SUM(I9:I17)</f>
        <v/>
      </c>
      <c r="J6" s="14">
        <f>SUM(J9:J17)</f>
        <v/>
      </c>
      <c r="K6" s="14">
        <f>SUM(K9:K17)</f>
        <v/>
      </c>
      <c r="L6" s="14">
        <f>SUM(L9:L17)</f>
        <v/>
      </c>
      <c r="M6" s="14">
        <f>SUM(M9:M17)</f>
        <v/>
      </c>
      <c r="N6" s="14">
        <f>SUM(N9:N17)</f>
        <v/>
      </c>
      <c r="O6" s="14">
        <f>SUM(O9:O17)</f>
        <v/>
      </c>
      <c r="P6" s="14">
        <f>SUM(P9:P17)</f>
        <v/>
      </c>
      <c r="Q6" s="14">
        <f>SUM(Q9:Q17)</f>
        <v/>
      </c>
      <c r="R6" s="14">
        <f>SUM(R9:R17)</f>
        <v/>
      </c>
      <c r="S6" s="14">
        <f>SUM(S9:S17)</f>
        <v/>
      </c>
      <c r="T6" s="14">
        <f>SUM(T9:T17)</f>
        <v/>
      </c>
      <c r="U6" s="15">
        <f>SUM(U9:U17)</f>
        <v/>
      </c>
      <c r="V6" s="12" t="n"/>
    </row>
    <row r="7" customFormat="1" s="11">
      <c r="A7" s="16" t="n"/>
      <c r="B7" s="29" t="n"/>
      <c r="C7" s="35" t="n"/>
      <c r="E7" s="13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5" t="n"/>
      <c r="V7" s="12" t="n"/>
    </row>
    <row r="8" customFormat="1" s="11">
      <c r="A8" s="16" t="n"/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5" t="n"/>
      <c r="V8" s="12" t="n"/>
    </row>
    <row r="9" customFormat="1" s="11">
      <c r="A9" s="10" t="n"/>
      <c r="B9" s="11">
        <f>'Kyrgyzstan-L'!B8</f>
        <v/>
      </c>
      <c r="C9" s="11">
        <f>'Kyrgyzstan EE'!D10</f>
        <v/>
      </c>
      <c r="E9" s="13">
        <f>F9+G9+J9+P9+T9</f>
        <v/>
      </c>
      <c r="F9" s="14">
        <f>(J9+P9+T9+200*PN!B29)*6%</f>
        <v/>
      </c>
      <c r="G9" s="14">
        <f>SUM(H9:I9)</f>
        <v/>
      </c>
      <c r="H9" s="14">
        <f>300*PN!B29</f>
        <v/>
      </c>
      <c r="I9" s="14">
        <f>100*PN!B29</f>
        <v/>
      </c>
      <c r="J9" s="14">
        <f>SUM(K9:O9)</f>
        <v/>
      </c>
      <c r="K9" s="14">
        <f>'Kyrgyzstan-L'!C8</f>
        <v/>
      </c>
      <c r="L9" s="14">
        <f>'Kyrgyzstan-L'!D8</f>
        <v/>
      </c>
      <c r="M9" s="14">
        <f>'Kyrgyzstan-L'!E8</f>
        <v/>
      </c>
      <c r="N9" s="14">
        <f>'Kyrgyzstan-L'!F8</f>
        <v/>
      </c>
      <c r="O9" s="14">
        <f>'Kyrgyzstan-L'!G8</f>
        <v/>
      </c>
      <c r="P9" s="14">
        <f>SUM(Q9:S9)</f>
        <v/>
      </c>
      <c r="Q9" s="14">
        <f>'Kyrgyzstan-L'!N8</f>
        <v/>
      </c>
      <c r="R9" s="14">
        <f>'Kyrgyzstan-L'!O8</f>
        <v/>
      </c>
      <c r="S9" s="14">
        <f>'Kyrgyzstan-L'!P8</f>
        <v/>
      </c>
      <c r="T9" s="14">
        <f>SUM(U9:U9)</f>
        <v/>
      </c>
      <c r="U9" s="15">
        <f>'Kyrgyzstan-L'!H8</f>
        <v/>
      </c>
      <c r="V9" s="12" t="n"/>
    </row>
    <row r="10" customFormat="1" s="11">
      <c r="A10" s="10" t="n"/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5" t="n"/>
      <c r="V10" s="12" t="n"/>
    </row>
    <row r="11" customFormat="1" s="11">
      <c r="A11" s="10" t="n"/>
      <c r="E11" s="13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5" t="n"/>
      <c r="V11" s="12" t="n"/>
    </row>
    <row r="12" customFormat="1" s="11">
      <c r="A12" s="10" t="n"/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5" t="n"/>
      <c r="V12" s="12" t="n"/>
    </row>
    <row r="13" customFormat="1" s="11">
      <c r="A13" s="10" t="n"/>
      <c r="E13" s="13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5" t="n"/>
      <c r="V13" s="12" t="n"/>
    </row>
    <row r="14" customFormat="1" s="11">
      <c r="A14" s="10" t="n"/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5" t="n"/>
      <c r="V14" s="12" t="n"/>
    </row>
    <row r="15" customFormat="1" s="11">
      <c r="A15" s="10" t="n"/>
      <c r="E15" s="13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5" t="n"/>
      <c r="V15" s="12" t="n"/>
    </row>
    <row r="16" customFormat="1" s="11">
      <c r="A16" s="10" t="n"/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5" t="n"/>
      <c r="V16" s="12" t="n"/>
    </row>
    <row r="17" ht="13.5" customFormat="1" customHeight="1" s="11" thickBot="1">
      <c r="A17" s="10" t="n"/>
      <c r="E17" s="17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9" t="n"/>
      <c r="V17" s="12" t="n"/>
    </row>
    <row r="20" ht="15" customFormat="1" customHeight="1" s="24" thickBot="1">
      <c r="A20" s="23" t="n"/>
    </row>
    <row r="21" ht="14.5" customFormat="1" customHeight="1" s="24">
      <c r="A21" s="23" t="inlineStr">
        <is>
          <t>Other Fee</t>
        </is>
      </c>
      <c r="B21" s="93" t="n"/>
      <c r="C21" s="93" t="n"/>
      <c r="D21" s="93" t="n"/>
      <c r="E21" s="94">
        <f>SUM(E22:E26)</f>
        <v/>
      </c>
      <c r="F21" s="95" t="n">
        <v>0</v>
      </c>
    </row>
    <row r="22" ht="14.5" customFormat="1" customHeight="1" s="24">
      <c r="A22" s="23" t="n"/>
      <c r="B22" s="93" t="inlineStr">
        <is>
          <t xml:space="preserve">Outstanding payment </t>
        </is>
      </c>
      <c r="C22" s="93" t="n"/>
      <c r="D22" s="93" t="n"/>
      <c r="E22" s="96" t="n">
        <v>0</v>
      </c>
      <c r="F22" s="97" t="n"/>
      <c r="G22" s="27" t="n"/>
    </row>
    <row r="23" ht="14.5" customFormat="1" customHeight="1" s="24">
      <c r="A23" s="23" t="n"/>
      <c r="B23" s="93" t="inlineStr">
        <is>
          <t xml:space="preserve">FX difference </t>
        </is>
      </c>
      <c r="C23" s="93" t="n"/>
      <c r="D23" s="93" t="n"/>
      <c r="E23" s="96" t="n"/>
      <c r="F23" s="97" t="n">
        <v>0</v>
      </c>
    </row>
    <row r="24" ht="14.5" customFormat="1" customHeight="1" s="24">
      <c r="A24" s="23" t="n"/>
      <c r="B24" s="93" t="inlineStr">
        <is>
          <t>Interests of delay</t>
        </is>
      </c>
      <c r="C24" s="93" t="n"/>
      <c r="D24" s="93" t="n"/>
      <c r="E24" s="96" t="n"/>
      <c r="F24" s="97" t="n">
        <v>0</v>
      </c>
    </row>
    <row r="25" ht="14.5" customFormat="1" customHeight="1" s="24">
      <c r="A25" s="23" t="n"/>
      <c r="B25" s="93" t="inlineStr">
        <is>
          <t>Bank Charges</t>
        </is>
      </c>
      <c r="C25" s="93" t="n"/>
      <c r="D25" s="93" t="n"/>
      <c r="E25" s="96">
        <f>10*PN!B30</f>
        <v/>
      </c>
      <c r="F25" s="97" t="n"/>
    </row>
    <row r="26" ht="15" customFormat="1" customHeight="1" s="24" thickBot="1">
      <c r="A26" s="23" t="n"/>
      <c r="B26" s="93" t="inlineStr">
        <is>
          <t xml:space="preserve">Invoice adjustment </t>
        </is>
      </c>
      <c r="C26" s="93" t="n"/>
      <c r="D26" s="93" t="n"/>
      <c r="E26" s="98" t="n">
        <v>0</v>
      </c>
      <c r="F26" s="99" t="n"/>
    </row>
  </sheetData>
  <mergeCells count="6">
    <mergeCell ref="P3:S3"/>
    <mergeCell ref="E3:E4"/>
    <mergeCell ref="F3:F4"/>
    <mergeCell ref="T3:U3"/>
    <mergeCell ref="G3:H3"/>
    <mergeCell ref="J3:O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9"/>
  <sheetViews>
    <sheetView zoomScale="120" zoomScaleNormal="120" workbookViewId="0">
      <selection activeCell="F24" sqref="F24"/>
    </sheetView>
  </sheetViews>
  <sheetFormatPr baseColWidth="8" defaultColWidth="9.1796875" defaultRowHeight="13"/>
  <cols>
    <col width="12.7265625" customWidth="1" style="1" min="1" max="1"/>
    <col width="9.81640625" bestFit="1" customWidth="1" style="2" min="2" max="2"/>
    <col width="10.36328125" bestFit="1" customWidth="1" style="2" min="3" max="3"/>
    <col width="17.54296875" customWidth="1" style="2" min="4" max="4"/>
    <col width="12" bestFit="1" customWidth="1" style="2" min="5" max="5"/>
    <col width="8.453125" bestFit="1" customWidth="1" style="2" min="6" max="6"/>
    <col width="9.453125" bestFit="1" customWidth="1" style="2" min="7" max="7"/>
    <col width="10.1796875" customWidth="1" style="2" min="8" max="8"/>
    <col width="10" customWidth="1" style="2" min="9" max="9"/>
    <col width="8.81640625" bestFit="1" customWidth="1" style="2" min="10" max="10"/>
    <col width="4.6328125" bestFit="1" customWidth="1" style="2" min="11" max="11"/>
    <col width="8.36328125" bestFit="1" customWidth="1" style="2" min="12" max="12"/>
    <col width="5.1796875" bestFit="1" customWidth="1" style="2" min="13" max="13"/>
    <col width="7.453125" bestFit="1" customWidth="1" style="2" min="14" max="14"/>
    <col width="8.36328125" bestFit="1" customWidth="1" style="2" min="15" max="18"/>
    <col width="9.54296875" customWidth="1" style="2" min="19" max="20"/>
    <col width="12.08984375" customWidth="1" style="2" min="21" max="21"/>
    <col width="9.1796875" customWidth="1" style="2" min="22" max="16384"/>
  </cols>
  <sheetData>
    <row r="1" ht="13.5" customHeight="1" thickBot="1">
      <c r="A1" s="1">
        <f>MID(CELL("filename",A1),FIND("]",CELL("filename",A1))+1,256)</f>
        <v/>
      </c>
      <c r="C1" s="219" t="n"/>
      <c r="D1" s="219" t="n"/>
      <c r="E1" s="219" t="n"/>
      <c r="F1" s="219" t="n"/>
      <c r="H1" s="22" t="n"/>
    </row>
    <row r="2" ht="13.5" customHeight="1" thickBot="1">
      <c r="A2" s="3" t="n"/>
      <c r="B2" s="219" t="n"/>
      <c r="C2" s="219" t="n"/>
      <c r="D2" s="219" t="n"/>
      <c r="E2" s="219" t="n"/>
      <c r="F2" s="219" t="n"/>
      <c r="H2" s="125" t="inlineStr">
        <is>
          <t>EE</t>
        </is>
      </c>
    </row>
    <row r="3" ht="14" customFormat="1" customHeight="1" s="5">
      <c r="A3" s="30" t="n"/>
      <c r="B3" s="179" t="inlineStr">
        <is>
          <t>Client Code</t>
        </is>
      </c>
      <c r="C3" s="179" t="inlineStr">
        <is>
          <t>Client Name</t>
        </is>
      </c>
      <c r="D3" s="179" t="inlineStr">
        <is>
          <t>EE Code</t>
        </is>
      </c>
      <c r="E3" s="179" t="inlineStr">
        <is>
          <t>EE Name</t>
        </is>
      </c>
      <c r="F3" s="224" t="inlineStr">
        <is>
          <t>Pay Period</t>
        </is>
      </c>
      <c r="G3" s="225" t="n"/>
      <c r="H3" s="178" t="inlineStr">
        <is>
          <t>Net
Income</t>
        </is>
      </c>
      <c r="I3" s="174" t="inlineStr">
        <is>
          <t>Gross Salary</t>
        </is>
      </c>
      <c r="J3" s="220" t="n"/>
      <c r="K3" s="220" t="n"/>
      <c r="L3" s="220" t="n"/>
      <c r="M3" s="220" t="n"/>
      <c r="N3" s="220" t="n"/>
      <c r="O3" s="166" t="inlineStr">
        <is>
          <t>Expense Claim</t>
        </is>
      </c>
      <c r="P3" s="221" t="n"/>
      <c r="Q3" s="166" t="inlineStr">
        <is>
          <t>Mandatory Contribution</t>
        </is>
      </c>
      <c r="R3" s="220" t="n"/>
      <c r="S3" s="221" t="n"/>
      <c r="T3" s="167" t="inlineStr">
        <is>
          <t>IIT</t>
        </is>
      </c>
      <c r="U3" s="225" t="n"/>
    </row>
    <row r="4" ht="39.5" customFormat="1" customHeight="1" s="5" thickBot="1">
      <c r="A4" s="30" t="n"/>
      <c r="B4" s="222" t="n"/>
      <c r="C4" s="222" t="n"/>
      <c r="D4" s="222" t="n"/>
      <c r="E4" s="222" t="n"/>
      <c r="F4" s="31" t="inlineStr">
        <is>
          <t>From</t>
        </is>
      </c>
      <c r="G4" s="31" t="inlineStr">
        <is>
          <t>To</t>
        </is>
      </c>
      <c r="H4" s="222" t="n"/>
      <c r="I4" s="171" t="inlineStr">
        <is>
          <t>Subtotal</t>
        </is>
      </c>
      <c r="J4" s="6" t="inlineStr">
        <is>
          <t>Base Salary</t>
        </is>
      </c>
      <c r="K4" s="6" t="inlineStr">
        <is>
          <t>OT</t>
        </is>
      </c>
      <c r="L4" s="6" t="inlineStr">
        <is>
          <t>Salary Adjusment</t>
        </is>
      </c>
      <c r="M4" s="6" t="inlineStr">
        <is>
          <t>Bonus</t>
        </is>
      </c>
      <c r="N4" s="171" t="inlineStr">
        <is>
          <t xml:space="preserve">Other </t>
        </is>
      </c>
      <c r="O4" s="171" t="inlineStr">
        <is>
          <t>Subtotal</t>
        </is>
      </c>
      <c r="P4" s="6" t="inlineStr">
        <is>
          <t>Expense
Claim</t>
        </is>
      </c>
      <c r="Q4" s="171" t="inlineStr">
        <is>
          <t>Subtotal</t>
        </is>
      </c>
      <c r="R4" s="6">
        <f>'Kyrgyzstan-L'!K7</f>
        <v/>
      </c>
      <c r="S4" s="6">
        <f>'Kyrgyzstan-L'!L7</f>
        <v/>
      </c>
      <c r="T4" s="171" t="inlineStr">
        <is>
          <t>Subtotal</t>
        </is>
      </c>
      <c r="U4" s="100">
        <f>'Kyrgyzstan-L'!J7</f>
        <v/>
      </c>
    </row>
    <row r="5" ht="15" customFormat="1" customHeight="1" s="5" thickBot="1">
      <c r="A5" s="23" t="n"/>
      <c r="B5" s="28" t="n"/>
      <c r="C5" s="28" t="n"/>
      <c r="D5" s="28" t="n"/>
      <c r="E5" s="28" t="n"/>
      <c r="F5" s="28" t="n"/>
      <c r="G5" s="28" t="n"/>
      <c r="H5" s="7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129" t="n"/>
    </row>
    <row r="6" ht="14.5" customFormat="1" customHeight="1" s="11">
      <c r="A6" s="25" t="inlineStr">
        <is>
          <t>EOR/PEO(KGS)</t>
        </is>
      </c>
      <c r="B6" s="32" t="n"/>
      <c r="C6" s="32" t="n"/>
      <c r="D6" s="32" t="n"/>
      <c r="E6" s="32" t="n"/>
      <c r="F6" s="32" t="n"/>
      <c r="G6" s="32" t="n"/>
      <c r="H6" s="13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26" t="n"/>
    </row>
    <row r="7" ht="14.5" customFormat="1" customHeight="1" s="11">
      <c r="A7" s="25" t="n"/>
      <c r="B7" s="32" t="n"/>
      <c r="C7" s="32" t="n"/>
      <c r="D7" s="32" t="n"/>
      <c r="E7" s="32" t="n"/>
      <c r="F7" s="32" t="n"/>
      <c r="G7" s="32" t="n"/>
      <c r="H7" s="13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26" t="n"/>
    </row>
    <row r="8" ht="14.5" customFormat="1" customHeight="1" s="11">
      <c r="A8" s="33" t="n"/>
      <c r="B8" s="34" t="n"/>
      <c r="C8" s="34" t="n"/>
      <c r="D8" s="34" t="n"/>
      <c r="E8" s="34" t="n"/>
      <c r="F8" s="34" t="n"/>
      <c r="G8" s="34" t="n"/>
      <c r="H8" s="13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26" t="n"/>
    </row>
    <row r="9" ht="14.5" customFormat="1" customHeight="1" s="11">
      <c r="A9" s="33" t="n"/>
      <c r="B9" s="26" t="n"/>
      <c r="C9" s="26" t="n"/>
      <c r="D9" s="26" t="n"/>
      <c r="E9" s="26" t="n"/>
      <c r="F9" s="26" t="n"/>
      <c r="G9" s="26" t="n"/>
      <c r="H9" s="13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26" t="n"/>
    </row>
    <row r="10" ht="14.5" customFormat="1" customHeight="1" s="11">
      <c r="A10" s="25" t="n"/>
      <c r="B10" s="26">
        <f>PN!B9</f>
        <v/>
      </c>
      <c r="C10" s="26">
        <f>PN!B8</f>
        <v/>
      </c>
      <c r="D10" s="26">
        <f>'Kyrgyzstan-L'!A8</f>
        <v/>
      </c>
      <c r="E10" s="26">
        <f>'Kyrgyzstan-L'!B8</f>
        <v/>
      </c>
      <c r="F10" s="34">
        <f>'Kyrgyzstan-L'!C2</f>
        <v/>
      </c>
      <c r="G10" s="34">
        <f>'Kyrgyzstan-L'!E2</f>
        <v/>
      </c>
      <c r="H10" s="13">
        <f>I10+O10-Q10-T10</f>
        <v/>
      </c>
      <c r="I10" s="14">
        <f>SUM(J10:N10)</f>
        <v/>
      </c>
      <c r="J10" s="14">
        <f>'Kyrgyzstan-L'!C8</f>
        <v/>
      </c>
      <c r="K10" s="14">
        <f>'Kyrgyzstan-L'!D8</f>
        <v/>
      </c>
      <c r="L10" s="14">
        <f>'Kyrgyzstan-L'!E8</f>
        <v/>
      </c>
      <c r="M10" s="14">
        <f>'Kyrgyzstan-L'!F8</f>
        <v/>
      </c>
      <c r="N10" s="14">
        <f>'Kyrgyzstan-L'!G8</f>
        <v/>
      </c>
      <c r="O10" s="14">
        <f>SUM(P10:P10)</f>
        <v/>
      </c>
      <c r="P10" s="14">
        <f>'Kyrgyzstan-L'!H8</f>
        <v/>
      </c>
      <c r="Q10" s="14">
        <f>SUM(R10:S10)</f>
        <v/>
      </c>
      <c r="R10" s="14">
        <f>'Kyrgyzstan-L'!K8</f>
        <v/>
      </c>
      <c r="S10" s="14">
        <f>'Kyrgyzstan-L'!L8</f>
        <v/>
      </c>
      <c r="T10" s="14">
        <f>U10</f>
        <v/>
      </c>
      <c r="U10" s="127">
        <f>'Kyrgyzstan-L'!J8</f>
        <v/>
      </c>
    </row>
    <row r="11" customFormat="1" s="11">
      <c r="A11" s="10" t="n"/>
      <c r="H11" s="13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26" t="n"/>
    </row>
    <row r="12" customFormat="1" s="11">
      <c r="A12" s="10" t="n"/>
      <c r="H12" s="13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26" t="n"/>
    </row>
    <row r="13" customFormat="1" s="11">
      <c r="A13" s="10" t="n"/>
      <c r="H13" s="13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26" t="n"/>
    </row>
    <row r="14" customFormat="1" s="11">
      <c r="A14" s="10" t="n"/>
      <c r="H14" s="13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26" t="n"/>
    </row>
    <row r="15" customFormat="1" s="11">
      <c r="A15" s="10" t="n"/>
      <c r="H15" s="13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26" t="n"/>
    </row>
    <row r="16" customFormat="1" s="11">
      <c r="A16" s="10" t="n"/>
      <c r="H16" s="13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26" t="n"/>
    </row>
    <row r="17" customFormat="1" s="11">
      <c r="A17" s="10" t="n"/>
      <c r="H17" s="13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26" t="n"/>
    </row>
    <row r="18" customFormat="1" s="11">
      <c r="A18" s="10" t="n"/>
      <c r="H18" s="13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26" t="n"/>
    </row>
    <row r="19" ht="13.5" customFormat="1" customHeight="1" s="11" thickBot="1">
      <c r="A19" s="10" t="n"/>
      <c r="H19" s="17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28" t="n"/>
    </row>
  </sheetData>
  <mergeCells count="10">
    <mergeCell ref="F3:G3"/>
    <mergeCell ref="O3:P3"/>
    <mergeCell ref="C3:C4"/>
    <mergeCell ref="B3:B4"/>
    <mergeCell ref="E3:E4"/>
    <mergeCell ref="H3:H4"/>
    <mergeCell ref="D3:D4"/>
    <mergeCell ref="I3:N3"/>
    <mergeCell ref="T3:U3"/>
    <mergeCell ref="Q3:S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zoomScale="115" workbookViewId="0">
      <selection activeCell="C20" sqref="C20"/>
    </sheetView>
  </sheetViews>
  <sheetFormatPr baseColWidth="8" defaultColWidth="8.81640625" defaultRowHeight="14.5"/>
  <cols>
    <col width="19.08984375" customWidth="1" min="1" max="1"/>
    <col width="20.453125" customWidth="1" min="2" max="2"/>
    <col width="11.1796875" customWidth="1" min="3" max="3"/>
    <col width="6.1796875" customWidth="1" min="4" max="4"/>
    <col width="8.6328125" customWidth="1" min="5" max="5"/>
    <col width="6.81640625" customWidth="1" min="6" max="6"/>
    <col width="6.26953125" customWidth="1" min="7" max="7"/>
    <col width="9" bestFit="1" customWidth="1" min="8" max="8"/>
    <col width="11.26953125" customWidth="1" min="9" max="11"/>
    <col width="10.36328125" bestFit="1" customWidth="1" min="12" max="12"/>
    <col width="9.54296875" bestFit="1" customWidth="1" min="13" max="13"/>
    <col width="13.453125" customWidth="1" min="14" max="14"/>
    <col width="12.81640625" customWidth="1" min="16" max="16"/>
    <col width="10.54296875" customWidth="1" min="17" max="17"/>
    <col width="15" customWidth="1" min="18" max="18"/>
    <col width="13.1796875" customWidth="1" min="19" max="19"/>
    <col width="10.6328125" customWidth="1" min="20" max="20"/>
    <col width="9.453125" bestFit="1" customWidth="1" min="22" max="22"/>
    <col width="10.6328125" bestFit="1" customWidth="1" min="42" max="42"/>
  </cols>
  <sheetData>
    <row r="1">
      <c r="A1" s="183" t="inlineStr">
        <is>
          <t>Company name:</t>
        </is>
      </c>
      <c r="C1" s="102">
        <f>PN!B8</f>
        <v/>
      </c>
    </row>
    <row r="2">
      <c r="A2" s="183" t="inlineStr">
        <is>
          <t>Payroll period:</t>
        </is>
      </c>
      <c r="C2" s="103" t="n"/>
      <c r="D2" s="183" t="inlineStr">
        <is>
          <t>to</t>
        </is>
      </c>
      <c r="E2" s="103" t="n"/>
    </row>
    <row r="3">
      <c r="A3" s="183" t="inlineStr">
        <is>
          <t xml:space="preserve">Currency: </t>
        </is>
      </c>
      <c r="C3" s="104" t="inlineStr">
        <is>
          <t>KGS</t>
        </is>
      </c>
    </row>
    <row r="6" ht="15" customHeight="1" thickBot="1"/>
    <row r="7" ht="44" customFormat="1" customHeight="1" s="20" thickBot="1">
      <c r="A7" s="105" t="inlineStr">
        <is>
          <t>No. of EE</t>
        </is>
      </c>
      <c r="B7" s="106" t="inlineStr">
        <is>
          <t>Name of Employee</t>
        </is>
      </c>
      <c r="C7" s="106" t="inlineStr">
        <is>
          <t>Base Salary</t>
        </is>
      </c>
      <c r="D7" s="106" t="inlineStr">
        <is>
          <t>OT</t>
        </is>
      </c>
      <c r="E7" s="106" t="inlineStr">
        <is>
          <t>Salary Adjusment</t>
        </is>
      </c>
      <c r="F7" s="106" t="inlineStr">
        <is>
          <t>Bonus</t>
        </is>
      </c>
      <c r="G7" s="106" t="inlineStr">
        <is>
          <t xml:space="preserve">Other </t>
        </is>
      </c>
      <c r="H7" s="106" t="inlineStr">
        <is>
          <t>Expense Reimbursment</t>
        </is>
      </c>
      <c r="I7" s="106" t="inlineStr">
        <is>
          <t>Gross Salary</t>
        </is>
      </c>
      <c r="J7" s="122" t="inlineStr">
        <is>
          <t>Personal Income Tax</t>
        </is>
      </c>
      <c r="K7" s="122" t="inlineStr">
        <is>
          <t>Pension fund</t>
        </is>
      </c>
      <c r="L7" s="122" t="inlineStr">
        <is>
          <t>Accumulative pension fund</t>
        </is>
      </c>
      <c r="M7" s="123" t="inlineStr">
        <is>
          <t>Net Salary</t>
        </is>
      </c>
      <c r="N7" s="124" t="inlineStr">
        <is>
          <t>Medical insurance fund</t>
        </is>
      </c>
      <c r="O7" s="124" t="inlineStr">
        <is>
          <t>Workers' Health Fund</t>
        </is>
      </c>
      <c r="P7" s="124" t="inlineStr">
        <is>
          <t>Workmen Compensation Insurance</t>
        </is>
      </c>
      <c r="Q7" s="124" t="inlineStr">
        <is>
          <t>Other</t>
        </is>
      </c>
      <c r="R7" s="107" t="inlineStr">
        <is>
          <t>Total Cost</t>
        </is>
      </c>
    </row>
    <row r="8">
      <c r="A8" s="109" t="n"/>
      <c r="B8" s="109" t="n"/>
      <c r="C8" s="121" t="n"/>
      <c r="D8" s="117" t="n"/>
      <c r="E8" s="226" t="n"/>
      <c r="F8" s="110" t="n"/>
      <c r="G8" s="110" t="n"/>
      <c r="H8" s="118" t="n"/>
      <c r="I8" s="110">
        <f>SUM(C8:G8)</f>
        <v/>
      </c>
      <c r="J8" s="110">
        <f>ROUND((C8-L8-K8-650)*10%,0)</f>
        <v/>
      </c>
      <c r="K8" s="110">
        <f>ROUND(C8*8%,0)</f>
        <v/>
      </c>
      <c r="L8" s="110">
        <f>ROUND(C8*2%,0)</f>
        <v/>
      </c>
      <c r="M8" s="110">
        <f>I8-K8-L8-J8</f>
        <v/>
      </c>
      <c r="N8" s="110">
        <f>ROUND(C8*2%,0)</f>
        <v/>
      </c>
      <c r="O8" s="110">
        <f>ROUND(C8*0.25%,0)</f>
        <v/>
      </c>
      <c r="P8" s="110">
        <f>ROUND(C8*0.03%,0)</f>
        <v/>
      </c>
      <c r="Q8" s="226" t="n"/>
      <c r="R8" s="227">
        <f>I8+N8+O8+P8+Q8</f>
        <v/>
      </c>
      <c r="T8" s="112" t="n"/>
    </row>
    <row r="9">
      <c r="A9" s="108" t="n"/>
      <c r="B9" s="109" t="n"/>
      <c r="C9" s="110" t="n"/>
      <c r="D9" s="110" t="n"/>
      <c r="E9" s="110" t="n"/>
      <c r="F9" s="110" t="n"/>
      <c r="G9" s="110" t="n"/>
      <c r="H9" s="110" t="n"/>
      <c r="I9" s="110" t="n"/>
      <c r="J9" s="110" t="n"/>
      <c r="K9" s="110" t="n"/>
      <c r="L9" s="110" t="n"/>
      <c r="M9" s="110" t="n"/>
      <c r="N9" s="110" t="n"/>
      <c r="O9" s="110" t="n"/>
      <c r="P9" s="110" t="n"/>
      <c r="Q9" s="110" t="n"/>
      <c r="R9" s="110" t="n"/>
    </row>
    <row r="10">
      <c r="A10" s="108" t="n"/>
      <c r="B10" s="109" t="n"/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  <c r="P10" s="110" t="n"/>
      <c r="Q10" s="110" t="n"/>
      <c r="R10" s="110" t="n"/>
    </row>
    <row r="11">
      <c r="A11" s="108" t="n"/>
      <c r="B11" s="109" t="n"/>
      <c r="C11" s="110" t="n"/>
      <c r="D11" s="110" t="n"/>
      <c r="E11" s="110" t="n"/>
      <c r="F11" s="110" t="n"/>
      <c r="G11" s="110" t="n"/>
      <c r="H11" s="110" t="n"/>
      <c r="I11" s="110" t="n"/>
      <c r="J11" s="110" t="n"/>
      <c r="K11" s="110" t="n"/>
      <c r="L11" s="110" t="n"/>
      <c r="M11" s="110" t="n"/>
      <c r="N11" s="110" t="n"/>
      <c r="O11" s="110" t="n"/>
      <c r="P11" s="110" t="n"/>
      <c r="Q11" s="110" t="n"/>
      <c r="R11" s="110" t="n"/>
    </row>
    <row r="12">
      <c r="A12" s="108" t="n"/>
      <c r="B12" s="113" t="n"/>
      <c r="C12" s="110" t="n"/>
      <c r="D12" s="110" t="n"/>
      <c r="E12" s="110" t="n"/>
      <c r="F12" s="110" t="n"/>
      <c r="G12" s="110" t="n"/>
      <c r="H12" s="110" t="n"/>
      <c r="I12" s="110" t="n"/>
      <c r="J12" s="110" t="n"/>
      <c r="K12" s="110" t="n"/>
      <c r="L12" s="110" t="n"/>
      <c r="M12" s="110" t="n"/>
      <c r="N12" s="110" t="n"/>
      <c r="O12" s="110" t="n"/>
      <c r="P12" s="110" t="n"/>
      <c r="Q12" s="110" t="n"/>
      <c r="R12" s="110" t="n"/>
    </row>
    <row r="13">
      <c r="A13" s="108" t="n"/>
      <c r="B13" s="113" t="n"/>
      <c r="C13" s="110" t="n"/>
      <c r="D13" s="110" t="n"/>
      <c r="E13" s="110" t="n"/>
      <c r="F13" s="110" t="n"/>
      <c r="G13" s="110" t="n"/>
      <c r="H13" s="110" t="n"/>
      <c r="I13" s="110" t="n"/>
      <c r="J13" s="110" t="n"/>
      <c r="K13" s="110" t="n"/>
      <c r="L13" s="110" t="n"/>
      <c r="M13" s="110" t="n"/>
      <c r="N13" s="110" t="n"/>
      <c r="O13" s="110" t="n"/>
      <c r="P13" s="110" t="n"/>
      <c r="Q13" s="110" t="n"/>
      <c r="R13" s="110" t="n"/>
    </row>
  </sheetData>
  <mergeCells count="3">
    <mergeCell ref="A3:B3"/>
    <mergeCell ref="A2:B2"/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Miguel</dc:creator>
  <dcterms:created xsi:type="dcterms:W3CDTF">2019-04-02T09:07:35Z</dcterms:created>
  <dcterms:modified xsi:type="dcterms:W3CDTF">2026-09-18T11:30:47Z</dcterms:modified>
  <cp:lastModifiedBy>LIU, SiYu</cp:lastModifiedBy>
  <cp:lastPrinted>2025-03-05T21:09:11Z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0x010100AAA55CC3C3BD834BA343262FD5D71E76</vt:lpwstr>
  </property>
  <property name="WorkbookGuid" fmtid="{D5CDD505-2E9C-101B-9397-08002B2CF9AE}" pid="3">
    <vt:lpwstr>a8ef3fbe-4e27-48f7-a0b1-3e7729cc8ae0</vt:lpwstr>
  </property>
  <property name="MediaServiceImageTags" fmtid="{D5CDD505-2E9C-101B-9397-08002B2CF9AE}" pid="4">
    <vt:lpwstr/>
  </property>
</Properties>
</file>