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Up-工资哥All项目\转换\templates\uk\"/>
    </mc:Choice>
  </mc:AlternateContent>
  <bookViews>
    <workbookView windowWidth="27945" windowHeight="12255" activeTab="3"/>
  </bookViews>
  <sheets>
    <sheet name="PN" sheetId="1" r:id="rId1"/>
    <sheet name="UK" sheetId="2" r:id="rId2"/>
    <sheet name="UK EE" sheetId="3" r:id="rId3"/>
    <sheet name="UK-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<sst xmlns="http://schemas.openxmlformats.org/spreadsheetml/2006/main" count="118" uniqueCount="91">
  <si>
    <t>NNRoad – Employer of Record, Payroll Worldwide</t>
  </si>
  <si>
    <t>333 W San Carlos St., Suite 600, San Jose, CA 95113, USA</t>
  </si>
  <si>
    <t>USA: +1 (669) 377-5080 | www.NNRoad.com</t>
  </si>
  <si>
    <t>INVOICE</t>
  </si>
  <si>
    <t>Bill to:</t>
  </si>
  <si>
    <t>Company name:</t>
  </si>
  <si>
    <t>ERI</t>
  </si>
  <si>
    <t>Currency</t>
  </si>
  <si>
    <t>USD</t>
  </si>
  <si>
    <t>Client ID:</t>
  </si>
  <si>
    <t>CUS1510</t>
  </si>
  <si>
    <t>Invoice number</t>
  </si>
  <si>
    <t>PN-CUS1510-060520262</t>
  </si>
  <si>
    <t>Address:</t>
  </si>
  <si>
    <t>1579 Desert Island Drive, Fresno, CA 93720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</si>
  <si>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</si>
  <si>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</si>
  <si>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</si>
  <si>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</si>
  <si>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</si>
  <si>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</si>
  <si>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</si>
  <si>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</si>
  <si>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</si>
  <si>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</si>
  <si>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</si>
  <si>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</si>
  <si>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</si>
  <si>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</si>
  <si>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</si>
  <si>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</si>
  <si>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</si>
  <si>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</si>
  <si>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</si>
  <si>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</si>
  <si>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</si>
  <si>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</si>
  <si>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UK</t>
  </si>
  <si>
    <t>Pay Period</t>
  </si>
  <si>
    <t>ER</t>
  </si>
  <si>
    <t>Sum</t>
  </si>
  <si>
    <t>Business
Tax</t>
  </si>
  <si>
    <t>Management Fee
Fee</t>
  </si>
  <si>
    <t>Gross Salary</t>
  </si>
  <si>
    <t>Mandatory Contribution</t>
  </si>
  <si>
    <t>Other Pay For EE</t>
  </si>
  <si>
    <t>Expense Claim</t>
  </si>
  <si>
    <t>Subtotal</t>
  </si>
  <si>
    <t>Recurring
Fee</t>
  </si>
  <si>
    <t>Expense
Fee</t>
  </si>
  <si>
    <t>Basic
Salary</t>
  </si>
  <si>
    <t>Holiday Pay</t>
  </si>
  <si>
    <t>Car Allowance</t>
  </si>
  <si>
    <t>ER' NIC</t>
  </si>
  <si>
    <t>ER' Pension (Auto Enrolment)</t>
  </si>
  <si>
    <t>App Levy</t>
  </si>
  <si>
    <t>Expense
Claim</t>
  </si>
  <si>
    <t>(GBP)</t>
  </si>
  <si>
    <t>{Employee Name}</t>
  </si>
  <si>
    <t>Other Fee</t>
  </si>
  <si>
    <t>Interests of delay</t>
  </si>
  <si>
    <t>Bank Charges</t>
  </si>
  <si>
    <t xml:space="preserve">Invoice adjustment </t>
  </si>
  <si>
    <t>UK EE</t>
  </si>
  <si>
    <t>EE</t>
  </si>
  <si>
    <t>Client Code</t>
  </si>
  <si>
    <t>Client Name</t>
  </si>
  <si>
    <t>EE Code</t>
  </si>
  <si>
    <t>EE Name</t>
  </si>
  <si>
    <t>Net
Income</t>
  </si>
  <si>
    <t>From</t>
  </si>
  <si>
    <t>To</t>
  </si>
  <si>
    <t>PAYE (Estimated)</t>
  </si>
  <si>
    <t>EE'NIC</t>
  </si>
  <si>
    <t>EE' Pension 
(Auto Enrolment)</t>
  </si>
  <si>
    <t>EOR/PEO(GBP)</t>
  </si>
  <si>
    <t>{Employee Name}- Salary Calculation for FY {FY}</t>
  </si>
  <si>
    <t>Details</t>
  </si>
  <si>
    <t>Amount in GBP</t>
  </si>
  <si>
    <t>Days Paid</t>
  </si>
  <si>
    <t xml:space="preserve"> Full Month</t>
  </si>
  <si>
    <t>Gross Salary + Er NIC</t>
  </si>
  <si>
    <t>EE' Pension (Auto Enrolment)</t>
  </si>
  <si>
    <t>Net Salary</t>
  </si>
  <si>
    <t>Total Cost</t>
  </si>
  <si>
    <t>Amount in USD</t>
  </si>
  <si>
    <t>Exchange Rate</t>
  </si>
  <si>
    <t>Depsoit Invoice Amount</t>
  </si>
  <si>
    <t>Setup Fees</t>
  </si>
  <si>
    <t>Payment Fees</t>
  </si>
  <si>
    <t>Regular Monthly Invoice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</si>
</sst>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[$-409]mmm\-yy;@"/>
    <numFmt numFmtId="178" formatCode="#,##0.0000"/>
    <numFmt numFmtId="179" formatCode="#,##0.00_ "/>
    <numFmt numFmtId="180" formatCode="m/d/yyyy;@"/>
    <numFmt numFmtId="181" formatCode="#,##0.000000"/>
    <numFmt numFmtId="182" formatCode="#,##0.00000000000"/>
    <numFmt numFmtId="183" formatCode="_(&quot;$&quot;* #,##0.00_);_(&quot;$&quot;* \(#,##0.00\);_(&quot;$&quot;* &quot;-&quot;??_);_(@_)"/>
    <numFmt numFmtId="184" formatCode="0.0000"/>
  </numFmts>
  <fonts count="51">
    <font>
      <sz val="11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8"/>
      <color theme="0" tint="-0.499984740745262"/>
      <name val="等线"/>
      <charset val="134"/>
      <scheme val="minor"/>
    </font>
    <font>
      <i/>
      <sz val="8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i/>
      <sz val="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2"/>
      <color rgb="FF0066B3"/>
      <name val="等线"/>
      <charset val="134"/>
      <scheme val="minor"/>
    </font>
    <font>
      <sz val="10.5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9"/>
      <color theme="0" tint="-0.499984740745262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i/>
      <sz val="10"/>
      <color theme="1"/>
      <name val="等线"/>
      <charset val="134"/>
      <scheme val="minor"/>
    </font>
    <font>
      <b/>
      <i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Comic Sans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9" borderId="5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2" applyNumberFormat="0" applyFill="0" applyAlignment="0" applyProtection="0">
      <alignment vertical="center"/>
    </xf>
    <xf numFmtId="0" fontId="38" fillId="0" borderId="5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0" borderId="54" applyNumberFormat="0" applyAlignment="0" applyProtection="0">
      <alignment vertical="center"/>
    </xf>
    <xf numFmtId="0" fontId="40" fillId="11" borderId="55" applyNumberFormat="0" applyAlignment="0" applyProtection="0">
      <alignment vertical="center"/>
    </xf>
    <xf numFmtId="0" fontId="41" fillId="11" borderId="54" applyNumberFormat="0" applyAlignment="0" applyProtection="0">
      <alignment vertical="center"/>
    </xf>
    <xf numFmtId="0" fontId="42" fillId="12" borderId="56" applyNumberFormat="0" applyAlignment="0" applyProtection="0">
      <alignment vertical="center"/>
    </xf>
    <xf numFmtId="0" fontId="43" fillId="0" borderId="57" applyNumberFormat="0" applyFill="0" applyAlignment="0" applyProtection="0">
      <alignment vertical="center"/>
    </xf>
    <xf numFmtId="0" fontId="44" fillId="0" borderId="58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43" fontId="50" fillId="0" borderId="0"/>
    <xf numFmtId="0" fontId="50" fillId="0" borderId="0"/>
    <xf numFmtId="0" fontId="0" fillId="0" borderId="0"/>
    <xf numFmtId="43" fontId="0" fillId="0" borderId="0"/>
    <xf numFmtId="176" fontId="0" fillId="0" borderId="0"/>
  </cellStyleXfs>
  <cellXfs count="177">
    <xf numFmtId="0" fontId="0" fillId="0" borderId="0" xfId="0" applyAlignment="1">
      <alignment vertical="center"/>
    </xf>
    <xf numFmtId="0" fontId="0" fillId="0" borderId="0" xfId="51"/>
    <xf numFmtId="0" fontId="0" fillId="0" borderId="0" xfId="51" applyAlignment="1">
      <alignment horizontal="center"/>
    </xf>
    <xf numFmtId="0" fontId="1" fillId="0" borderId="0" xfId="51" applyFont="1" applyAlignment="1">
      <alignment horizontal="left"/>
    </xf>
    <xf numFmtId="0" fontId="2" fillId="0" borderId="0" xfId="0" applyFont="1" applyAlignment="1"/>
    <xf numFmtId="177" fontId="2" fillId="0" borderId="0" xfId="0" applyNumberFormat="1" applyFont="1" applyAlignment="1">
      <alignment horizontal="center"/>
    </xf>
    <xf numFmtId="0" fontId="3" fillId="0" borderId="0" xfId="51" applyFont="1"/>
    <xf numFmtId="0" fontId="3" fillId="0" borderId="0" xfId="51" applyFont="1" applyAlignment="1">
      <alignment horizontal="center"/>
    </xf>
    <xf numFmtId="0" fontId="2" fillId="0" borderId="1" xfId="51" applyFont="1" applyBorder="1" applyAlignment="1">
      <alignment horizontal="center"/>
    </xf>
    <xf numFmtId="49" fontId="2" fillId="0" borderId="1" xfId="51" applyNumberFormat="1" applyFont="1" applyBorder="1" applyAlignment="1">
      <alignment horizontal="center"/>
    </xf>
    <xf numFmtId="0" fontId="2" fillId="0" borderId="1" xfId="51" applyFont="1" applyBorder="1"/>
    <xf numFmtId="0" fontId="3" fillId="0" borderId="1" xfId="51" applyFont="1" applyBorder="1" applyAlignment="1">
      <alignment horizontal="center"/>
    </xf>
    <xf numFmtId="0" fontId="2" fillId="0" borderId="1" xfId="0" applyFont="1" applyBorder="1" applyAlignment="1"/>
    <xf numFmtId="43" fontId="3" fillId="0" borderId="1" xfId="52" applyFont="1" applyBorder="1" applyAlignment="1">
      <alignment horizontal="center"/>
    </xf>
    <xf numFmtId="0" fontId="2" fillId="2" borderId="1" xfId="0" applyFont="1" applyFill="1" applyBorder="1" applyAlignment="1"/>
    <xf numFmtId="43" fontId="2" fillId="2" borderId="1" xfId="52" applyFont="1" applyFill="1" applyBorder="1" applyAlignment="1">
      <alignment horizontal="center"/>
    </xf>
    <xf numFmtId="0" fontId="4" fillId="0" borderId="0" xfId="51" applyFont="1"/>
    <xf numFmtId="0" fontId="4" fillId="0" borderId="1" xfId="51" applyFont="1" applyBorder="1"/>
    <xf numFmtId="0" fontId="2" fillId="3" borderId="1" xfId="51" applyFont="1" applyFill="1" applyBorder="1"/>
    <xf numFmtId="43" fontId="2" fillId="3" borderId="1" xfId="52" applyFont="1" applyFill="1" applyBorder="1" applyAlignment="1">
      <alignment horizontal="center"/>
    </xf>
    <xf numFmtId="178" fontId="4" fillId="3" borderId="1" xfId="53" applyNumberFormat="1" applyFont="1" applyFill="1" applyBorder="1"/>
    <xf numFmtId="0" fontId="0" fillId="0" borderId="1" xfId="51" applyBorder="1"/>
    <xf numFmtId="176" fontId="0" fillId="0" borderId="1" xfId="53" applyBorder="1" applyAlignment="1">
      <alignment horizontal="center"/>
    </xf>
    <xf numFmtId="176" fontId="0" fillId="0" borderId="1" xfId="51" applyNumberFormat="1" applyBorder="1"/>
    <xf numFmtId="0" fontId="4" fillId="3" borderId="1" xfId="51" applyFont="1" applyFill="1" applyBorder="1"/>
    <xf numFmtId="43" fontId="4" fillId="3" borderId="1" xfId="51" applyNumberFormat="1" applyFont="1" applyFill="1" applyBorder="1" applyAlignment="1">
      <alignment horizontal="center"/>
    </xf>
    <xf numFmtId="176" fontId="0" fillId="0" borderId="0" xfId="51" applyNumberForma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5" xfId="0" applyBorder="1" applyAlignment="1"/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/>
    <xf numFmtId="0" fontId="5" fillId="0" borderId="8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79" fontId="5" fillId="4" borderId="17" xfId="0" applyNumberFormat="1" applyFont="1" applyFill="1" applyBorder="1" applyAlignment="1">
      <alignment vertical="center"/>
    </xf>
    <xf numFmtId="179" fontId="5" fillId="4" borderId="18" xfId="0" applyNumberFormat="1" applyFont="1" applyFill="1" applyBorder="1" applyAlignment="1">
      <alignment vertical="center"/>
    </xf>
    <xf numFmtId="179" fontId="5" fillId="4" borderId="19" xfId="0" applyNumberFormat="1" applyFont="1" applyFill="1" applyBorder="1" applyAlignment="1">
      <alignment vertical="center"/>
    </xf>
    <xf numFmtId="49" fontId="0" fillId="4" borderId="0" xfId="0" applyNumberFormat="1" applyFill="1" applyAlignment="1">
      <alignment vertical="center"/>
    </xf>
    <xf numFmtId="179" fontId="0" fillId="4" borderId="17" xfId="0" applyNumberFormat="1" applyFill="1" applyBorder="1" applyAlignment="1">
      <alignment vertical="center"/>
    </xf>
    <xf numFmtId="179" fontId="0" fillId="4" borderId="18" xfId="0" applyNumberFormat="1" applyFill="1" applyBorder="1" applyAlignment="1">
      <alignment vertical="center"/>
    </xf>
    <xf numFmtId="179" fontId="0" fillId="4" borderId="19" xfId="0" applyNumberFormat="1" applyFill="1" applyBorder="1" applyAlignment="1">
      <alignment vertical="center"/>
    </xf>
    <xf numFmtId="0" fontId="5" fillId="4" borderId="0" xfId="0" applyFont="1" applyFill="1" applyAlignment="1">
      <alignment horizontal="left" vertical="center"/>
    </xf>
    <xf numFmtId="14" fontId="0" fillId="4" borderId="0" xfId="0" applyNumberFormat="1" applyFill="1" applyAlignment="1">
      <alignment vertical="center"/>
    </xf>
    <xf numFmtId="2" fontId="0" fillId="4" borderId="17" xfId="0" applyNumberFormat="1" applyFill="1" applyBorder="1" applyAlignment="1">
      <alignment vertical="center"/>
    </xf>
    <xf numFmtId="2" fontId="0" fillId="4" borderId="18" xfId="0" applyNumberFormat="1" applyFill="1" applyBorder="1" applyAlignment="1">
      <alignment vertical="center"/>
    </xf>
    <xf numFmtId="2" fontId="0" fillId="4" borderId="19" xfId="0" applyNumberFormat="1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4" borderId="20" xfId="0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180" fontId="7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0" fillId="0" borderId="23" xfId="0" applyBorder="1" applyAlignment="1"/>
    <xf numFmtId="0" fontId="5" fillId="0" borderId="12" xfId="0" applyFont="1" applyBorder="1" applyAlignment="1">
      <alignment vertical="center"/>
    </xf>
    <xf numFmtId="0" fontId="7" fillId="0" borderId="12" xfId="0" applyFont="1" applyBorder="1" applyAlignment="1">
      <alignment horizontal="center" vertical="center" wrapText="1"/>
    </xf>
    <xf numFmtId="179" fontId="0" fillId="4" borderId="20" xfId="0" applyNumberFormat="1" applyFill="1" applyBorder="1" applyAlignment="1">
      <alignment vertical="center"/>
    </xf>
    <xf numFmtId="179" fontId="0" fillId="4" borderId="21" xfId="0" applyNumberFormat="1" applyFill="1" applyBorder="1" applyAlignment="1">
      <alignment vertical="center"/>
    </xf>
    <xf numFmtId="179" fontId="5" fillId="4" borderId="2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40" fontId="9" fillId="0" borderId="24" xfId="0" applyNumberFormat="1" applyFont="1" applyBorder="1" applyAlignment="1">
      <alignment vertical="center"/>
    </xf>
    <xf numFmtId="40" fontId="9" fillId="0" borderId="25" xfId="0" applyNumberFormat="1" applyFont="1" applyBorder="1" applyAlignment="1">
      <alignment vertical="center"/>
    </xf>
    <xf numFmtId="4" fontId="0" fillId="0" borderId="0" xfId="0" applyNumberFormat="1" applyAlignment="1">
      <alignment vertical="center"/>
    </xf>
    <xf numFmtId="40" fontId="9" fillId="0" borderId="26" xfId="0" applyNumberFormat="1" applyFont="1" applyBorder="1" applyAlignment="1">
      <alignment vertical="center"/>
    </xf>
    <xf numFmtId="40" fontId="9" fillId="0" borderId="27" xfId="0" applyNumberFormat="1" applyFont="1" applyBorder="1" applyAlignment="1">
      <alignment vertical="center"/>
    </xf>
    <xf numFmtId="181" fontId="0" fillId="0" borderId="0" xfId="0" applyNumberFormat="1" applyAlignment="1">
      <alignment vertical="center"/>
    </xf>
    <xf numFmtId="182" fontId="0" fillId="0" borderId="0" xfId="0" applyNumberFormat="1" applyAlignment="1">
      <alignment vertical="center"/>
    </xf>
    <xf numFmtId="40" fontId="9" fillId="0" borderId="28" xfId="0" applyNumberFormat="1" applyFont="1" applyBorder="1" applyAlignment="1">
      <alignment vertical="center"/>
    </xf>
    <xf numFmtId="40" fontId="9" fillId="0" borderId="29" xfId="0" applyNumberFormat="1" applyFont="1" applyBorder="1" applyAlignment="1">
      <alignment vertical="center"/>
    </xf>
    <xf numFmtId="0" fontId="10" fillId="0" borderId="0" xfId="51" applyFont="1" applyAlignment="1">
      <alignment vertical="center"/>
    </xf>
    <xf numFmtId="0" fontId="11" fillId="0" borderId="0" xfId="51" applyFont="1" applyAlignment="1">
      <alignment vertical="center"/>
    </xf>
    <xf numFmtId="0" fontId="2" fillId="0" borderId="0" xfId="51" applyFont="1" applyAlignment="1">
      <alignment vertical="center"/>
    </xf>
    <xf numFmtId="0" fontId="12" fillId="0" borderId="0" xfId="51" applyFont="1" applyAlignment="1">
      <alignment vertical="center"/>
    </xf>
    <xf numFmtId="0" fontId="13" fillId="0" borderId="0" xfId="51" applyFont="1" applyAlignment="1">
      <alignment vertical="center"/>
    </xf>
    <xf numFmtId="0" fontId="14" fillId="0" borderId="0" xfId="51" applyFont="1" applyAlignment="1">
      <alignment vertical="center"/>
    </xf>
    <xf numFmtId="0" fontId="15" fillId="0" borderId="0" xfId="51" applyFont="1" applyAlignment="1">
      <alignment vertical="center"/>
    </xf>
    <xf numFmtId="0" fontId="15" fillId="0" borderId="0" xfId="51" applyFont="1" applyAlignment="1">
      <alignment horizontal="right" vertical="center"/>
    </xf>
    <xf numFmtId="0" fontId="16" fillId="0" borderId="0" xfId="51" applyFont="1" applyAlignment="1">
      <alignment horizontal="right" vertical="center"/>
    </xf>
    <xf numFmtId="0" fontId="10" fillId="0" borderId="0" xfId="51" applyFont="1" applyAlignment="1">
      <alignment horizontal="right" vertical="center"/>
    </xf>
    <xf numFmtId="0" fontId="17" fillId="0" borderId="0" xfId="51" applyFont="1" applyAlignment="1">
      <alignment horizontal="right" vertical="center"/>
    </xf>
    <xf numFmtId="0" fontId="18" fillId="0" borderId="0" xfId="51" applyFont="1" applyAlignment="1">
      <alignment horizontal="center" vertical="center"/>
    </xf>
    <xf numFmtId="0" fontId="19" fillId="0" borderId="0" xfId="51" applyFont="1" applyAlignment="1">
      <alignment horizontal="center" vertical="center"/>
    </xf>
    <xf numFmtId="0" fontId="20" fillId="0" borderId="0" xfId="51" applyFont="1" applyAlignment="1">
      <alignment vertical="center"/>
    </xf>
    <xf numFmtId="0" fontId="21" fillId="0" borderId="0" xfId="51" applyFont="1" applyAlignment="1">
      <alignment vertical="center"/>
    </xf>
    <xf numFmtId="0" fontId="22" fillId="0" borderId="0" xfId="51" applyFont="1" applyAlignment="1">
      <alignment horizontal="right" vertical="center"/>
    </xf>
    <xf numFmtId="0" fontId="22" fillId="0" borderId="0" xfId="51" applyFont="1" applyAlignment="1">
      <alignment vertical="center"/>
    </xf>
    <xf numFmtId="0" fontId="11" fillId="0" borderId="0" xfId="51" applyFont="1" applyAlignment="1">
      <alignment horizontal="right" vertical="center"/>
    </xf>
    <xf numFmtId="0" fontId="22" fillId="0" borderId="0" xfId="51" applyFont="1" applyAlignment="1">
      <alignment vertical="top" wrapText="1"/>
    </xf>
    <xf numFmtId="0" fontId="22" fillId="0" borderId="0" xfId="51" applyFont="1" applyAlignment="1">
      <alignment horizontal="right" vertical="top" wrapText="1"/>
    </xf>
    <xf numFmtId="14" fontId="22" fillId="0" borderId="0" xfId="51" applyNumberFormat="1" applyFont="1" applyAlignment="1">
      <alignment vertical="center"/>
    </xf>
    <xf numFmtId="0" fontId="23" fillId="0" borderId="0" xfId="51" applyFont="1" applyAlignment="1">
      <alignment horizontal="right" vertical="center"/>
    </xf>
    <xf numFmtId="0" fontId="24" fillId="0" borderId="0" xfId="51" applyFont="1" applyAlignment="1">
      <alignment vertical="center"/>
    </xf>
    <xf numFmtId="14" fontId="24" fillId="0" borderId="0" xfId="51" applyNumberFormat="1" applyFont="1" applyAlignment="1">
      <alignment horizontal="left" vertical="center"/>
    </xf>
    <xf numFmtId="0" fontId="1" fillId="6" borderId="30" xfId="51" applyFont="1" applyFill="1" applyBorder="1" applyAlignment="1">
      <alignment horizontal="center" vertical="center"/>
    </xf>
    <xf numFmtId="0" fontId="0" fillId="0" borderId="31" xfId="0" applyBorder="1" applyAlignment="1"/>
    <xf numFmtId="0" fontId="1" fillId="6" borderId="31" xfId="51" applyFont="1" applyFill="1" applyBorder="1" applyAlignment="1">
      <alignment horizontal="center" vertical="center"/>
    </xf>
    <xf numFmtId="0" fontId="1" fillId="6" borderId="32" xfId="51" applyFont="1" applyFill="1" applyBorder="1" applyAlignment="1">
      <alignment horizontal="center" vertical="center"/>
    </xf>
    <xf numFmtId="0" fontId="2" fillId="0" borderId="0" xfId="51" applyFont="1" applyAlignment="1">
      <alignment horizontal="right" vertical="center"/>
    </xf>
    <xf numFmtId="0" fontId="25" fillId="0" borderId="33" xfId="51" applyFont="1" applyBorder="1" applyAlignment="1">
      <alignment horizontal="left" vertical="center" indent="1"/>
    </xf>
    <xf numFmtId="0" fontId="25" fillId="0" borderId="0" xfId="51" applyFont="1" applyAlignment="1">
      <alignment horizontal="left" vertical="center" indent="1"/>
    </xf>
    <xf numFmtId="43" fontId="25" fillId="0" borderId="0" xfId="51" applyNumberFormat="1" applyFont="1" applyAlignment="1">
      <alignment horizontal="left" vertical="center"/>
    </xf>
    <xf numFmtId="183" fontId="26" fillId="0" borderId="34" xfId="51" applyNumberFormat="1" applyFont="1" applyBorder="1" applyAlignment="1">
      <alignment horizontal="left" vertical="center"/>
    </xf>
    <xf numFmtId="179" fontId="12" fillId="0" borderId="0" xfId="51" applyNumberFormat="1" applyFont="1" applyAlignment="1">
      <alignment horizontal="right" vertical="center"/>
    </xf>
    <xf numFmtId="0" fontId="10" fillId="0" borderId="33" xfId="51" applyFont="1" applyBorder="1" applyAlignment="1">
      <alignment horizontal="left" vertical="center" indent="3"/>
    </xf>
    <xf numFmtId="0" fontId="10" fillId="0" borderId="0" xfId="51" applyFont="1" applyAlignment="1">
      <alignment horizontal="left" vertical="center" indent="3"/>
    </xf>
    <xf numFmtId="43" fontId="10" fillId="0" borderId="0" xfId="51" applyNumberFormat="1" applyFont="1" applyAlignment="1">
      <alignment horizontal="left" vertical="center" indent="1"/>
    </xf>
    <xf numFmtId="183" fontId="10" fillId="0" borderId="34" xfId="51" applyNumberFormat="1" applyFont="1" applyBorder="1" applyAlignment="1">
      <alignment horizontal="left" vertical="center"/>
    </xf>
    <xf numFmtId="179" fontId="13" fillId="0" borderId="0" xfId="51" applyNumberFormat="1" applyFont="1" applyAlignment="1">
      <alignment horizontal="right" vertical="center"/>
    </xf>
    <xf numFmtId="0" fontId="10" fillId="0" borderId="0" xfId="51" applyFont="1" applyAlignment="1">
      <alignment horizontal="left" vertical="center" indent="1"/>
    </xf>
    <xf numFmtId="179" fontId="15" fillId="0" borderId="0" xfId="51" applyNumberFormat="1" applyFont="1" applyAlignment="1">
      <alignment horizontal="right" vertical="center"/>
    </xf>
    <xf numFmtId="0" fontId="10" fillId="0" borderId="33" xfId="51" applyFont="1" applyBorder="1" applyAlignment="1">
      <alignment horizontal="center" vertical="center"/>
    </xf>
    <xf numFmtId="0" fontId="10" fillId="0" borderId="0" xfId="51" applyFont="1" applyAlignment="1">
      <alignment horizontal="center" vertical="center"/>
    </xf>
    <xf numFmtId="43" fontId="10" fillId="0" borderId="0" xfId="51" applyNumberFormat="1" applyFont="1" applyAlignment="1">
      <alignment horizontal="left" vertical="center"/>
    </xf>
    <xf numFmtId="183" fontId="25" fillId="0" borderId="34" xfId="51" applyNumberFormat="1" applyFont="1" applyBorder="1" applyAlignment="1">
      <alignment horizontal="left" vertical="center"/>
    </xf>
    <xf numFmtId="179" fontId="14" fillId="0" borderId="0" xfId="51" applyNumberFormat="1" applyFont="1" applyAlignment="1">
      <alignment horizontal="right" vertical="center"/>
    </xf>
    <xf numFmtId="0" fontId="10" fillId="0" borderId="33" xfId="51" applyFont="1" applyBorder="1" applyAlignment="1">
      <alignment horizontal="left" vertical="center" indent="2"/>
    </xf>
    <xf numFmtId="0" fontId="10" fillId="0" borderId="0" xfId="51" applyFont="1" applyAlignment="1">
      <alignment horizontal="left" vertical="center" indent="2"/>
    </xf>
    <xf numFmtId="0" fontId="4" fillId="0" borderId="33" xfId="51" applyFont="1" applyBorder="1" applyAlignment="1">
      <alignment horizontal="left" vertical="center" indent="1"/>
    </xf>
    <xf numFmtId="0" fontId="4" fillId="0" borderId="0" xfId="51" applyFont="1" applyAlignment="1">
      <alignment horizontal="left" vertical="center" indent="1"/>
    </xf>
    <xf numFmtId="43" fontId="15" fillId="0" borderId="0" xfId="51" applyNumberFormat="1" applyFont="1" applyAlignment="1">
      <alignment horizontal="left" vertical="center"/>
    </xf>
    <xf numFmtId="183" fontId="15" fillId="0" borderId="34" xfId="51" applyNumberFormat="1" applyFont="1" applyBorder="1" applyAlignment="1">
      <alignment horizontal="left" vertical="center"/>
    </xf>
    <xf numFmtId="0" fontId="27" fillId="0" borderId="35" xfId="51" applyFont="1" applyBorder="1" applyAlignment="1">
      <alignment horizontal="left" vertical="center" indent="1"/>
    </xf>
    <xf numFmtId="0" fontId="0" fillId="0" borderId="36" xfId="0" applyBorder="1" applyAlignment="1"/>
    <xf numFmtId="43" fontId="27" fillId="0" borderId="36" xfId="51" applyNumberFormat="1" applyFont="1" applyBorder="1" applyAlignment="1">
      <alignment horizontal="left" vertical="center"/>
    </xf>
    <xf numFmtId="183" fontId="27" fillId="0" borderId="37" xfId="51" applyNumberFormat="1" applyFont="1" applyBorder="1" applyAlignment="1">
      <alignment horizontal="left" vertical="center"/>
    </xf>
    <xf numFmtId="0" fontId="27" fillId="0" borderId="0" xfId="51" applyFont="1" applyAlignment="1">
      <alignment vertical="center"/>
    </xf>
    <xf numFmtId="0" fontId="27" fillId="0" borderId="0" xfId="51" applyFont="1" applyAlignment="1">
      <alignment horizontal="center" vertical="center"/>
    </xf>
    <xf numFmtId="43" fontId="27" fillId="0" borderId="0" xfId="51" applyNumberFormat="1" applyFont="1" applyAlignment="1">
      <alignment vertical="center"/>
    </xf>
    <xf numFmtId="183" fontId="27" fillId="0" borderId="0" xfId="51" applyNumberFormat="1" applyFont="1" applyAlignment="1">
      <alignment horizontal="right" vertical="center"/>
    </xf>
    <xf numFmtId="0" fontId="27" fillId="0" borderId="0" xfId="51" applyFont="1" applyAlignment="1">
      <alignment horizontal="right" vertical="center"/>
    </xf>
    <xf numFmtId="0" fontId="28" fillId="0" borderId="0" xfId="51" applyFont="1" applyAlignment="1">
      <alignment vertical="center" wrapText="1"/>
    </xf>
    <xf numFmtId="184" fontId="28" fillId="0" borderId="0" xfId="51" applyNumberFormat="1" applyFont="1" applyAlignment="1">
      <alignment horizontal="left" vertical="center" indent="1"/>
    </xf>
    <xf numFmtId="43" fontId="29" fillId="0" borderId="38" xfId="51" applyNumberFormat="1" applyFont="1" applyBorder="1" applyAlignment="1">
      <alignment horizontal="right" vertical="center"/>
    </xf>
    <xf numFmtId="0" fontId="0" fillId="0" borderId="39" xfId="0" applyBorder="1" applyAlignment="1"/>
    <xf numFmtId="183" fontId="29" fillId="0" borderId="40" xfId="51" applyNumberFormat="1" applyFont="1" applyBorder="1" applyAlignment="1">
      <alignment horizontal="right" vertical="center"/>
    </xf>
    <xf numFmtId="0" fontId="28" fillId="0" borderId="0" xfId="51" applyFont="1" applyAlignment="1">
      <alignment vertical="center"/>
    </xf>
    <xf numFmtId="43" fontId="29" fillId="0" borderId="41" xfId="51" applyNumberFormat="1" applyFont="1" applyBorder="1" applyAlignment="1">
      <alignment horizontal="right" vertical="center"/>
    </xf>
    <xf numFmtId="183" fontId="29" fillId="0" borderId="42" xfId="51" applyNumberFormat="1" applyFont="1" applyBorder="1" applyAlignment="1">
      <alignment horizontal="right" vertical="center"/>
    </xf>
    <xf numFmtId="40" fontId="27" fillId="0" borderId="0" xfId="51" applyNumberFormat="1" applyFont="1" applyAlignment="1">
      <alignment vertical="center"/>
    </xf>
    <xf numFmtId="40" fontId="29" fillId="0" borderId="43" xfId="51" applyNumberFormat="1" applyFont="1" applyBorder="1" applyAlignment="1">
      <alignment horizontal="right" vertical="center"/>
    </xf>
    <xf numFmtId="0" fontId="0" fillId="0" borderId="44" xfId="0" applyBorder="1" applyAlignment="1"/>
    <xf numFmtId="183" fontId="29" fillId="0" borderId="45" xfId="51" applyNumberFormat="1" applyFont="1" applyBorder="1" applyAlignment="1">
      <alignment horizontal="right" vertical="center"/>
    </xf>
    <xf numFmtId="43" fontId="4" fillId="0" borderId="41" xfId="51" applyNumberFormat="1" applyFont="1" applyBorder="1" applyAlignment="1">
      <alignment horizontal="right" vertical="center"/>
    </xf>
    <xf numFmtId="183" fontId="4" fillId="0" borderId="42" xfId="51" applyNumberFormat="1" applyFont="1" applyBorder="1" applyAlignment="1">
      <alignment horizontal="right" vertical="center"/>
    </xf>
    <xf numFmtId="43" fontId="4" fillId="0" borderId="41" xfId="51" applyNumberFormat="1" applyFont="1" applyBorder="1" applyAlignment="1">
      <alignment horizontal="right" vertical="center" indent="1"/>
    </xf>
    <xf numFmtId="0" fontId="4" fillId="0" borderId="0" xfId="51" applyFont="1" applyAlignment="1">
      <alignment vertical="center"/>
    </xf>
    <xf numFmtId="43" fontId="4" fillId="0" borderId="46" xfId="51" applyNumberFormat="1" applyFont="1" applyBorder="1" applyAlignment="1">
      <alignment horizontal="right" vertical="center"/>
    </xf>
    <xf numFmtId="0" fontId="0" fillId="0" borderId="47" xfId="0" applyBorder="1" applyAlignment="1"/>
    <xf numFmtId="183" fontId="4" fillId="0" borderId="48" xfId="51" applyNumberFormat="1" applyFont="1" applyBorder="1" applyAlignment="1">
      <alignment horizontal="right" vertical="center"/>
    </xf>
    <xf numFmtId="183" fontId="15" fillId="0" borderId="0" xfId="51" applyNumberFormat="1" applyFont="1" applyAlignment="1">
      <alignment vertical="center"/>
    </xf>
    <xf numFmtId="0" fontId="4" fillId="7" borderId="0" xfId="51" applyFont="1" applyFill="1" applyAlignment="1">
      <alignment horizontal="center"/>
    </xf>
    <xf numFmtId="179" fontId="15" fillId="8" borderId="49" xfId="51" applyNumberFormat="1" applyFont="1" applyFill="1" applyBorder="1" applyAlignment="1">
      <alignment horizontal="left" vertical="center" wrapText="1" indent="2"/>
    </xf>
    <xf numFmtId="0" fontId="0" fillId="0" borderId="49" xfId="0" applyBorder="1" applyAlignment="1"/>
    <xf numFmtId="179" fontId="15" fillId="8" borderId="50" xfId="51" applyNumberFormat="1" applyFont="1" applyFill="1" applyBorder="1" applyAlignment="1">
      <alignment horizontal="left" vertical="center" wrapText="1" indent="2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分位 2" xfId="49"/>
    <cellStyle name="一般_Sheet1 2" xfId="50"/>
    <cellStyle name="Normal 2" xfId="51"/>
    <cellStyle name="Comma 2" xfId="52"/>
    <cellStyle name="Comma 3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1129695</xdr:colOff>
      <xdr:row>2</xdr:row>
      <xdr:rowOff>109286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65680" cy="53149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zoomScale="150" zoomScaleNormal="150" topLeftCell="A10" workbookViewId="0">
      <selection activeCell="B29" sqref="B29"/>
    </sheetView>
  </sheetViews>
  <sheetFormatPr defaultColWidth="9.09166666666667" defaultRowHeight="11.25" outlineLevelCol="7"/>
  <cols>
    <col min="1" max="1" width="14.9083333333333" style="98" customWidth="1"/>
    <col min="2" max="2" width="23.45" style="98" customWidth="1"/>
    <col min="3" max="3" width="5.45" style="98" customWidth="1"/>
    <col min="4" max="4" width="15.0916666666667" style="98" customWidth="1"/>
    <col min="5" max="5" width="11.9083333333333" style="98" customWidth="1"/>
    <col min="6" max="6" width="14.3666666666667" style="99" customWidth="1"/>
    <col min="7" max="7" width="9.09166666666667" style="99" customWidth="1"/>
    <col min="8" max="16384" width="9.09166666666667" style="98" customWidth="1"/>
  </cols>
  <sheetData>
    <row r="1" ht="19" customHeight="1" spans="1:8">
      <c r="B1" s="100" t="s">
        <v>0</v>
      </c>
      <c r="G1" s="101"/>
      <c r="H1" s="99"/>
    </row>
    <row r="2" ht="14.25" customHeight="1" spans="1:8">
      <c r="B2" s="102" t="s">
        <v>1</v>
      </c>
      <c r="G2" s="101"/>
      <c r="H2" s="99"/>
    </row>
    <row r="3" s="92" customFormat="1" ht="18" customHeight="1" spans="1:8">
      <c r="B3" s="102" t="s">
        <v>2</v>
      </c>
      <c r="G3" s="101"/>
      <c r="H3" s="101"/>
    </row>
    <row r="4" s="92" customFormat="1" ht="14.15" customHeight="1" spans="1:8">
      <c r="G4" s="101"/>
      <c r="H4" s="101"/>
    </row>
    <row r="5" s="92" customFormat="1" ht="32.15" customHeight="1" spans="1:8">
      <c r="A5" s="103" t="s">
        <v>3</v>
      </c>
      <c r="G5" s="101"/>
      <c r="H5" s="101"/>
    </row>
    <row r="6" s="92" customFormat="1" ht="12" customHeight="1" spans="1:8">
      <c r="A6" s="104"/>
      <c r="B6" s="104"/>
      <c r="C6" s="104"/>
      <c r="D6" s="104"/>
      <c r="E6" s="104"/>
      <c r="F6" s="104"/>
      <c r="G6" s="101"/>
      <c r="H6" s="101"/>
    </row>
    <row r="7" s="92" customFormat="1" ht="13" customHeight="1" spans="1:8">
      <c r="A7" s="105" t="s">
        <v>4</v>
      </c>
      <c r="B7" s="105"/>
      <c r="C7" s="105"/>
      <c r="D7" s="105"/>
      <c r="E7" s="105"/>
      <c r="G7" s="101"/>
      <c r="H7" s="101"/>
    </row>
    <row r="8" s="93" customFormat="1" ht="13" customHeight="1" spans="1:8">
      <c r="A8" s="106" t="s">
        <v>5</v>
      </c>
      <c r="B8" s="107" t="s">
        <v>6</v>
      </c>
      <c r="C8" s="108"/>
      <c r="D8" s="106" t="s">
        <v>7</v>
      </c>
      <c r="E8" s="106"/>
      <c r="F8" s="107" t="s">
        <v>8</v>
      </c>
      <c r="G8" s="109"/>
    </row>
    <row r="9" s="93" customFormat="1" ht="13" customHeight="1" spans="1:8">
      <c r="A9" s="106" t="s">
        <v>9</v>
      </c>
      <c r="B9" s="107" t="s">
        <v>10</v>
      </c>
      <c r="C9" s="110"/>
      <c r="D9" s="106" t="s">
        <v>11</v>
      </c>
      <c r="E9" s="106"/>
      <c r="F9" s="107" t="s">
        <v>12</v>
      </c>
      <c r="G9" s="109"/>
    </row>
    <row r="10" s="92" customFormat="1" ht="13" customHeight="1" spans="1:8">
      <c r="A10" s="106" t="s">
        <v>13</v>
      </c>
      <c r="B10" s="111" t="s">
        <v>14</v>
      </c>
      <c r="C10" s="110"/>
      <c r="D10" s="106" t="s">
        <v>15</v>
      </c>
      <c r="E10" s="106"/>
      <c r="F10" s="112">
        <f ca="1">TODAY()</f>
        <v>46233</v>
      </c>
      <c r="G10" s="101"/>
    </row>
    <row r="11" s="93" customFormat="1" ht="12" customHeight="1" spans="1:8">
      <c r="A11" s="113"/>
      <c r="D11" s="106" t="s">
        <v>16</v>
      </c>
      <c r="E11" s="106"/>
      <c r="F11" s="112">
        <v>46190</v>
      </c>
      <c r="G11" s="109"/>
    </row>
    <row r="12" s="92" customFormat="1" ht="12" customHeight="1" spans="1:8">
      <c r="A12" s="114"/>
      <c r="B12" s="114"/>
      <c r="C12" s="114"/>
      <c r="D12" s="114"/>
      <c r="E12" s="115"/>
      <c r="G12" s="101"/>
    </row>
    <row r="13" ht="11" customHeight="1"/>
    <row r="14" s="94" customFormat="1" ht="28" customHeight="1" spans="1:8">
      <c r="A14" s="116" t="s">
        <v>17</v>
      </c>
      <c r="B14" s="117"/>
      <c r="C14" s="117"/>
      <c r="D14" s="118"/>
      <c r="E14" s="118" t="str">
        <f>"Amount "&amp;UK!C6</f>
        <v>Amount (GBP)</v>
      </c>
      <c r="F14" s="119" t="s">
        <v>18</v>
      </c>
      <c r="G14" s="120"/>
    </row>
    <row r="15" s="95" customFormat="1" ht="16" customHeight="1" spans="1:8">
      <c r="A15" s="121" t="s">
        <v>19</v>
      </c>
      <c r="D15" s="122"/>
      <c r="E15" s="123">
        <f>SUM(E16:E19)</f>
        <v>0</v>
      </c>
      <c r="F15" s="124" t="e">
        <f>SUM(F16:F19)</f>
        <v>#DIV/0!</v>
      </c>
      <c r="G15" s="125"/>
    </row>
    <row r="16" s="96" customFormat="1" ht="13" customHeight="1" spans="1:8">
      <c r="A16" s="126" t="str">
        <f ca="1">"- Labor cost for "&amp;UK!B9&amp;"  -  "&amp;MONTH(UK!B2)&amp;"-"&amp;YEAR(UK!B2)</f>
        <v>- Labor cost for {Employee Name}  -  7-2026</v>
      </c>
      <c r="D16" s="127"/>
      <c r="E16" s="128">
        <f>UK!J9+UK!N9+UK!Q9</f>
        <v>0</v>
      </c>
      <c r="F16" s="129" t="e">
        <f>E16/$B$29</f>
        <v>#DIV/0!</v>
      </c>
      <c r="G16" s="130"/>
    </row>
    <row r="17" ht="13" customHeight="1" spans="1:7">
      <c r="A17" s="126"/>
      <c r="D17" s="131"/>
      <c r="E17" s="128"/>
      <c r="F17" s="129"/>
      <c r="G17" s="132"/>
    </row>
    <row r="18" ht="13" customHeight="1" spans="1:7">
      <c r="A18" s="126"/>
      <c r="D18" s="127"/>
      <c r="E18" s="128"/>
      <c r="F18" s="129"/>
      <c r="G18" s="132"/>
    </row>
    <row r="19" ht="13" customHeight="1" spans="1:7">
      <c r="A19" s="126"/>
      <c r="D19" s="131"/>
      <c r="E19" s="128"/>
      <c r="F19" s="129"/>
      <c r="G19" s="132"/>
    </row>
    <row r="20" ht="13" customHeight="1" spans="1:7">
      <c r="A20" s="133"/>
      <c r="D20" s="134"/>
      <c r="E20" s="135"/>
      <c r="F20" s="129"/>
      <c r="G20" s="132"/>
    </row>
    <row r="21" s="97" customFormat="1" ht="16" customHeight="1" spans="1:7">
      <c r="A21" s="121" t="s">
        <v>20</v>
      </c>
      <c r="D21" s="122"/>
      <c r="E21" s="123">
        <f>SUM(E22:E23)</f>
        <v>450</v>
      </c>
      <c r="F21" s="136" t="e">
        <f>SUM(F22:F23)</f>
        <v>#DIV/0!</v>
      </c>
      <c r="G21" s="137"/>
    </row>
    <row r="22" ht="13" customHeight="1" spans="1:7">
      <c r="A22" s="138" t="str">
        <f ca="1">"- "&amp;+"Management Fee - "&amp;MONTH(UK!B2)&amp;"-"&amp;YEAR(UK!B2)</f>
        <v>- Management Fee - 7-2026</v>
      </c>
      <c r="D22" s="139"/>
      <c r="E22" s="135">
        <f>UK!G6</f>
        <v>450</v>
      </c>
      <c r="F22" s="129" t="e">
        <f>E22/$B$29</f>
        <v>#DIV/0!</v>
      </c>
      <c r="G22" s="132"/>
    </row>
    <row r="23" ht="13" customHeight="1" spans="1:7">
      <c r="A23" s="138"/>
      <c r="D23" s="139"/>
      <c r="E23" s="135"/>
      <c r="F23" s="129"/>
      <c r="G23" s="132"/>
    </row>
    <row r="24" ht="13" customHeight="1" spans="1:7">
      <c r="A24" s="138"/>
      <c r="D24" s="139"/>
      <c r="E24" s="135"/>
      <c r="F24" s="129"/>
      <c r="G24" s="132"/>
    </row>
    <row r="25" ht="14.5" customHeight="1" spans="1:7">
      <c r="A25" s="140"/>
      <c r="D25" s="141"/>
      <c r="E25" s="142"/>
      <c r="F25" s="143"/>
      <c r="G25" s="132"/>
    </row>
    <row r="26" s="95" customFormat="1" ht="15" customHeight="1" spans="1:7">
      <c r="A26" s="144" t="s">
        <v>21</v>
      </c>
      <c r="B26" s="145"/>
      <c r="C26" s="145"/>
      <c r="D26" s="145"/>
      <c r="E26" s="146">
        <f>E15+E21</f>
        <v>450</v>
      </c>
      <c r="F26" s="147" t="e">
        <f>F15+F21</f>
        <v>#DIV/0!</v>
      </c>
      <c r="G26" s="125"/>
    </row>
    <row r="27" s="95" customFormat="1" ht="14.5" customHeight="1" spans="1:7">
      <c r="A27" s="148"/>
      <c r="B27" s="148"/>
      <c r="C27" s="149"/>
      <c r="D27" s="149"/>
      <c r="E27" s="150"/>
      <c r="F27" s="151"/>
      <c r="G27" s="125"/>
    </row>
    <row r="28" s="95" customFormat="1" ht="15" customHeight="1" spans="1:7">
      <c r="A28" s="152"/>
      <c r="B28" s="152"/>
      <c r="C28" s="152"/>
      <c r="D28" s="152"/>
      <c r="E28" s="150"/>
      <c r="F28" s="151"/>
      <c r="G28" s="125"/>
    </row>
    <row r="29" ht="26" customHeight="1" spans="1:7">
      <c r="A29" s="153" t="str">
        <f>"*FX rate  USD:  "&amp;UK!C6</f>
        <v>*FX rate  USD:  (GBP)</v>
      </c>
      <c r="B29" s="154" t="e">
        <f>1/'UK-L'!D24</f>
        <v>#DIV/0!</v>
      </c>
      <c r="C29" s="150"/>
      <c r="D29" s="155" t="s">
        <v>22</v>
      </c>
      <c r="E29" s="156"/>
      <c r="F29" s="157" t="e">
        <f>F26</f>
        <v>#DIV/0!</v>
      </c>
      <c r="G29" s="132"/>
    </row>
    <row r="30" s="96" customFormat="1" ht="16" customHeight="1" spans="1:7">
      <c r="A30" s="158"/>
      <c r="B30" s="158"/>
      <c r="C30" s="150"/>
      <c r="D30" s="159" t="s">
        <v>23</v>
      </c>
      <c r="F30" s="160">
        <f>UK!E22</f>
        <v>0</v>
      </c>
      <c r="G30" s="130"/>
    </row>
    <row r="31" s="96" customFormat="1" ht="14.5" customHeight="1" spans="1:7">
      <c r="A31" s="158"/>
      <c r="B31" s="158"/>
      <c r="C31" s="150"/>
      <c r="D31" s="159" t="s">
        <v>24</v>
      </c>
      <c r="F31" s="160">
        <f>UK!E23</f>
        <v>0</v>
      </c>
      <c r="G31" s="130"/>
    </row>
    <row r="32" ht="14.5" customHeight="1" spans="1:7">
      <c r="A32" s="158"/>
      <c r="B32" s="158"/>
      <c r="C32" s="150"/>
      <c r="D32" s="159" t="s">
        <v>25</v>
      </c>
      <c r="F32" s="160">
        <f>UK!E24</f>
        <v>0</v>
      </c>
      <c r="G32" s="132"/>
    </row>
    <row r="33" ht="15" customHeight="1" spans="1:8">
      <c r="A33" s="158"/>
      <c r="B33" s="158"/>
      <c r="C33" s="161"/>
      <c r="D33" s="162" t="s">
        <v>26</v>
      </c>
      <c r="E33" s="163"/>
      <c r="F33" s="164">
        <f>UK!E25</f>
        <v>10</v>
      </c>
      <c r="G33" s="132"/>
    </row>
    <row r="34" ht="14.5" customHeight="1" spans="1:8">
      <c r="A34" s="158"/>
      <c r="B34" s="158"/>
      <c r="C34" s="150"/>
      <c r="D34" s="165" t="s">
        <v>27</v>
      </c>
      <c r="F34" s="166" t="e">
        <f>SUM(F29:F33)</f>
        <v>#DIV/0!</v>
      </c>
      <c r="G34" s="132"/>
    </row>
    <row r="35" ht="14.5" customHeight="1" spans="1:8">
      <c r="A35" s="158"/>
      <c r="B35" s="158"/>
      <c r="C35" s="150"/>
      <c r="D35" s="167" t="s">
        <v>28</v>
      </c>
      <c r="F35" s="166" t="e">
        <f>UK!F6/B29</f>
        <v>#DIV/0!</v>
      </c>
      <c r="G35" s="132"/>
    </row>
    <row r="36" ht="15" customHeight="1" spans="1:8">
      <c r="A36" s="168"/>
      <c r="B36" s="168"/>
      <c r="C36" s="150"/>
      <c r="D36" s="169" t="s">
        <v>29</v>
      </c>
      <c r="E36" s="170"/>
      <c r="F36" s="171" t="e">
        <f>SUM(F34:F35)</f>
        <v>#DIV/0!</v>
      </c>
      <c r="G36" s="132"/>
      <c r="H36" s="172"/>
    </row>
    <row r="37" ht="14.5" customHeight="1" spans="1:8">
      <c r="A37" s="141"/>
      <c r="B37" s="141"/>
      <c r="C37" s="141"/>
      <c r="D37" s="141"/>
      <c r="E37" s="161"/>
      <c r="F37" s="161"/>
      <c r="G37" s="132"/>
    </row>
    <row r="38" ht="14.5" customHeight="1" spans="1:8">
      <c r="A38" s="141"/>
      <c r="B38" s="141"/>
      <c r="C38" s="141"/>
      <c r="D38" s="141"/>
      <c r="E38" s="161"/>
      <c r="F38" s="161"/>
      <c r="G38" s="132"/>
    </row>
    <row r="39" spans="1:8">
      <c r="G39" s="132"/>
    </row>
    <row r="40" ht="19" customHeight="1" spans="1:8">
      <c r="A40" s="173" t="s">
        <v>30</v>
      </c>
    </row>
    <row r="41" ht="61" customHeight="1" spans="1:8">
      <c r="A41" s="174" t="s">
        <v>31</v>
      </c>
      <c r="C41" s="175"/>
      <c r="D41" s="176" t="s">
        <v>32</v>
      </c>
    </row>
    <row r="42" spans="1:8">
      <c r="A42" s="98" t="s">
        <v>33</v>
      </c>
    </row>
    <row r="43" ht="11.15" customHeight="1" spans="1:8">
      <c r="A43" s="95" t="s">
        <v>34</v>
      </c>
      <c r="B43" s="95"/>
      <c r="C43" s="95"/>
      <c r="D43" s="95"/>
      <c r="E43" s="95"/>
      <c r="F43" s="95"/>
    </row>
    <row r="44" spans="1:8">
      <c r="A44" s="95" t="s">
        <v>35</v>
      </c>
    </row>
    <row r="45" spans="1:8">
      <c r="A45" s="95" t="s">
        <v>36</v>
      </c>
    </row>
  </sheetData>
  <mergeCells count="29">
    <mergeCell ref="B1:F1"/>
    <mergeCell ref="B2:F2"/>
    <mergeCell ref="B3:F3"/>
    <mergeCell ref="A5:F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D26"/>
    <mergeCell ref="D29:E29"/>
    <mergeCell ref="D30:E30"/>
    <mergeCell ref="D31:E31"/>
    <mergeCell ref="D32:E32"/>
    <mergeCell ref="D33:E33"/>
    <mergeCell ref="D34:E34"/>
    <mergeCell ref="D35:E35"/>
    <mergeCell ref="D36:E36"/>
    <mergeCell ref="A40:F40"/>
    <mergeCell ref="A41:C41"/>
    <mergeCell ref="D41:F41"/>
    <mergeCell ref="B10:B1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zoomScale="107" zoomScaleNormal="107" workbookViewId="0">
      <pane xSplit="3" ySplit="4" topLeftCell="D5" activePane="bottomRight" state="frozen"/>
      <selection/>
      <selection pane="topRight"/>
      <selection pane="bottomLeft"/>
      <selection pane="bottomRight" activeCell="A2" sqref="A2"/>
    </sheetView>
  </sheetViews>
  <sheetFormatPr defaultColWidth="8.90833333333333" defaultRowHeight="14.25"/>
  <cols>
    <col min="1" max="1" width="27.0916666666667" style="31" customWidth="1"/>
    <col min="2" max="2" width="25.45" style="32" customWidth="1"/>
    <col min="3" max="3" width="10.3666666666667" style="32" customWidth="1"/>
    <col min="4" max="4" width="1.90833333333333" style="32" customWidth="1"/>
    <col min="5" max="5" width="10.0916666666667" style="32" customWidth="1"/>
    <col min="6" max="6" width="9" style="32" customWidth="1"/>
    <col min="7" max="7" width="12.45" style="32" customWidth="1"/>
    <col min="8" max="8" width="9.09166666666667" style="32" customWidth="1"/>
    <col min="9" max="9" width="7.45" style="32" customWidth="1"/>
    <col min="10" max="11" width="10.0916666666667" style="32" customWidth="1"/>
    <col min="12" max="12" width="10.9083333333333" style="32" customWidth="1"/>
    <col min="13" max="13" width="9.09166666666667" style="32" customWidth="1"/>
    <col min="14" max="14" width="10.0916666666667" style="32" customWidth="1"/>
    <col min="15" max="15" width="9.09166666666667" style="32" customWidth="1"/>
    <col min="16" max="16" width="10.0916666666667" style="32" customWidth="1"/>
    <col min="17" max="17" width="8.63333333333333" style="32" customWidth="1"/>
    <col min="18" max="18" width="8.36666666666667" style="32" customWidth="1"/>
    <col min="19" max="19" width="8.63333333333333" style="32" customWidth="1"/>
    <col min="20" max="20" width="6.36666666666667" style="32" customWidth="1"/>
  </cols>
  <sheetData>
    <row r="1" ht="15" customHeight="1" spans="1:20">
      <c r="A1" s="31" t="s">
        <v>37</v>
      </c>
    </row>
    <row r="2" ht="15" customHeight="1" spans="1:20">
      <c r="A2" s="72" t="s">
        <v>38</v>
      </c>
      <c r="B2" s="73">
        <f ca="1">EOMONTH('UK-L'!B3,-1)+1</f>
        <v>46204</v>
      </c>
      <c r="C2" s="73">
        <f ca="1">EOMONTH('UK-L'!B3,0)</f>
        <v>46234</v>
      </c>
      <c r="E2" s="36" t="s">
        <v>39</v>
      </c>
    </row>
    <row r="3" s="27" customFormat="1" customHeight="1" spans="1:20">
      <c r="E3" s="74" t="s">
        <v>40</v>
      </c>
      <c r="F3" s="75" t="s">
        <v>41</v>
      </c>
      <c r="G3" s="75" t="s">
        <v>42</v>
      </c>
      <c r="H3" s="41"/>
      <c r="I3" s="43"/>
      <c r="J3" s="42" t="s">
        <v>43</v>
      </c>
      <c r="K3" s="41"/>
      <c r="L3" s="41"/>
      <c r="M3" s="43"/>
      <c r="N3" s="40" t="s">
        <v>44</v>
      </c>
      <c r="O3" s="41"/>
      <c r="P3" s="41"/>
      <c r="Q3" s="42" t="s">
        <v>45</v>
      </c>
      <c r="R3" s="43"/>
      <c r="S3" s="42" t="s">
        <v>46</v>
      </c>
      <c r="T3" s="43"/>
    </row>
    <row r="4" s="27" customFormat="1" ht="44" customHeight="1" spans="1:20">
      <c r="E4" s="44"/>
      <c r="F4" s="76"/>
      <c r="G4" s="77" t="s">
        <v>47</v>
      </c>
      <c r="H4" s="47" t="s">
        <v>48</v>
      </c>
      <c r="I4" s="47" t="s">
        <v>49</v>
      </c>
      <c r="J4" s="46" t="s">
        <v>47</v>
      </c>
      <c r="K4" s="47" t="s">
        <v>50</v>
      </c>
      <c r="L4" s="78" t="s">
        <v>51</v>
      </c>
      <c r="M4" s="78" t="s">
        <v>52</v>
      </c>
      <c r="N4" s="46" t="s">
        <v>47</v>
      </c>
      <c r="O4" s="78" t="s">
        <v>53</v>
      </c>
      <c r="P4" s="78" t="s">
        <v>54</v>
      </c>
      <c r="Q4" s="46" t="s">
        <v>47</v>
      </c>
      <c r="R4" s="78" t="s">
        <v>55</v>
      </c>
      <c r="S4" s="46" t="s">
        <v>47</v>
      </c>
      <c r="T4" s="49" t="s">
        <v>56</v>
      </c>
    </row>
    <row r="5" s="28" customFormat="1" ht="15" customHeight="1" spans="1:20">
      <c r="A5" s="31"/>
      <c r="E5" s="50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2"/>
    </row>
    <row r="6" s="29" customFormat="1" spans="1:20">
      <c r="A6" s="53"/>
      <c r="B6" s="29" t="s">
        <v>40</v>
      </c>
      <c r="C6" s="29" t="s">
        <v>57</v>
      </c>
      <c r="E6" s="58">
        <f t="shared" ref="E6:T6" si="0">SUM(E9:E18)</f>
        <v>450</v>
      </c>
      <c r="F6" s="59">
        <f t="shared" si="0"/>
        <v>0</v>
      </c>
      <c r="G6" s="59">
        <f t="shared" si="0"/>
        <v>450</v>
      </c>
      <c r="H6" s="59">
        <f t="shared" si="0"/>
        <v>450</v>
      </c>
      <c r="I6" s="59">
        <f t="shared" si="0"/>
        <v>0</v>
      </c>
      <c r="J6" s="59">
        <f t="shared" si="0"/>
        <v>0</v>
      </c>
      <c r="K6" s="59">
        <f t="shared" si="0"/>
        <v>0</v>
      </c>
      <c r="L6" s="59">
        <f t="shared" si="0"/>
        <v>0</v>
      </c>
      <c r="M6" s="59">
        <f t="shared" si="0"/>
        <v>0</v>
      </c>
      <c r="N6" s="59">
        <f t="shared" si="0"/>
        <v>0</v>
      </c>
      <c r="O6" s="59">
        <f t="shared" si="0"/>
        <v>0</v>
      </c>
      <c r="P6" s="59">
        <f t="shared" si="0"/>
        <v>0</v>
      </c>
      <c r="Q6" s="59">
        <f t="shared" si="0"/>
        <v>0</v>
      </c>
      <c r="R6" s="59">
        <f t="shared" si="0"/>
        <v>0</v>
      </c>
      <c r="S6" s="59">
        <f t="shared" si="0"/>
        <v>0</v>
      </c>
      <c r="T6" s="60">
        <f t="shared" si="0"/>
        <v>0</v>
      </c>
    </row>
    <row r="7" s="30" customFormat="1" spans="1:20">
      <c r="A7" s="61"/>
      <c r="B7" s="57"/>
      <c r="C7" s="57"/>
      <c r="E7" s="58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60"/>
    </row>
    <row r="8" s="30" customFormat="1" spans="1:20">
      <c r="A8" s="61"/>
      <c r="E8" s="58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60"/>
    </row>
    <row r="9" s="30" customFormat="1" spans="1:20">
      <c r="A9" s="53"/>
      <c r="B9" s="30" t="s">
        <v>58</v>
      </c>
      <c r="C9" s="62"/>
      <c r="E9" s="63">
        <f>+S9+Q9+N9+J9+G9+F9</f>
        <v>450</v>
      </c>
      <c r="F9" s="64">
        <v>0</v>
      </c>
      <c r="G9" s="64">
        <f>SUM(H9:I9)</f>
        <v>450</v>
      </c>
      <c r="H9" s="64">
        <v>450</v>
      </c>
      <c r="I9" s="64">
        <f>IF(S9=0,0,15)</f>
        <v>0</v>
      </c>
      <c r="J9" s="64">
        <f>SUM(K9:M9)</f>
        <v>0</v>
      </c>
      <c r="K9" s="64">
        <f>'UK-L'!B7</f>
        <v>0</v>
      </c>
      <c r="L9" s="64">
        <f>'UK-L'!B8</f>
        <v>0</v>
      </c>
      <c r="M9" s="64">
        <f>'UK-L'!B9</f>
        <v>0</v>
      </c>
      <c r="N9" s="64">
        <f>SUM(O9:P9)</f>
        <v>0</v>
      </c>
      <c r="O9" s="64">
        <f>'UK-L'!B10</f>
        <v>0</v>
      </c>
      <c r="P9" s="64">
        <f>'UK-L'!B11</f>
        <v>0</v>
      </c>
      <c r="Q9" s="64">
        <f>SUM(R9:R9)</f>
        <v>0</v>
      </c>
      <c r="R9" s="64">
        <f>'UK-L'!B22</f>
        <v>0</v>
      </c>
      <c r="S9" s="64">
        <f>SUM(T9:T9)</f>
        <v>0</v>
      </c>
      <c r="T9" s="65">
        <v>0</v>
      </c>
    </row>
    <row r="10" s="30" customFormat="1" spans="1:20">
      <c r="A10" s="53"/>
      <c r="E10" s="63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5"/>
    </row>
    <row r="11" s="30" customFormat="1" spans="1:20">
      <c r="A11" s="53"/>
      <c r="E11" s="58"/>
      <c r="F11" s="59"/>
      <c r="G11" s="55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0"/>
    </row>
    <row r="12" s="30" customFormat="1" spans="1:20">
      <c r="A12" s="53"/>
      <c r="E12" s="58"/>
      <c r="F12" s="59"/>
      <c r="G12" s="55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60"/>
    </row>
    <row r="13" s="30" customFormat="1" spans="1:20">
      <c r="A13" s="53"/>
      <c r="E13" s="58"/>
      <c r="F13" s="59"/>
      <c r="G13" s="55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60"/>
    </row>
    <row r="14" s="30" customFormat="1" spans="1:20">
      <c r="A14" s="53"/>
      <c r="E14" s="58"/>
      <c r="F14" s="59"/>
      <c r="G14" s="55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60"/>
    </row>
    <row r="15" s="30" customFormat="1" spans="1:20">
      <c r="A15" s="53"/>
      <c r="E15" s="58"/>
      <c r="F15" s="59"/>
      <c r="G15" s="55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60"/>
    </row>
    <row r="16" s="30" customFormat="1" spans="1:20">
      <c r="A16" s="53"/>
      <c r="E16" s="58"/>
      <c r="F16" s="59"/>
      <c r="G16" s="55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60"/>
    </row>
    <row r="17" s="30" customFormat="1" spans="1:20">
      <c r="A17" s="53"/>
      <c r="E17" s="58"/>
      <c r="F17" s="59"/>
      <c r="G17" s="55"/>
      <c r="H17" s="59"/>
      <c r="I17" s="59"/>
      <c r="J17" s="59"/>
      <c r="K17" s="59"/>
      <c r="L17" s="67"/>
      <c r="M17" s="67"/>
      <c r="N17" s="67"/>
      <c r="O17" s="67"/>
      <c r="P17" s="67"/>
      <c r="Q17" s="67"/>
      <c r="R17" s="67"/>
      <c r="S17" s="67"/>
      <c r="T17" s="68"/>
    </row>
    <row r="18" s="30" customFormat="1" ht="15" customHeight="1" spans="1:20">
      <c r="A18" s="53"/>
      <c r="E18" s="79"/>
      <c r="F18" s="80"/>
      <c r="G18" s="81"/>
      <c r="H18" s="80"/>
      <c r="I18" s="80"/>
      <c r="J18" s="80"/>
      <c r="K18" s="80"/>
      <c r="L18" s="70"/>
      <c r="M18" s="70"/>
      <c r="N18" s="70"/>
      <c r="O18" s="70"/>
      <c r="P18" s="70"/>
      <c r="Q18" s="70"/>
      <c r="R18" s="70"/>
      <c r="S18" s="70"/>
      <c r="T18" s="71"/>
    </row>
    <row r="20" ht="15" customHeight="1"/>
    <row r="21" spans="1:20">
      <c r="A21" s="31" t="s">
        <v>59</v>
      </c>
      <c r="B21" s="82"/>
      <c r="C21" s="82"/>
      <c r="D21" s="82"/>
      <c r="E21" s="83">
        <f>SUM(E22:E26)</f>
        <v>10</v>
      </c>
      <c r="F21" s="84">
        <v>0</v>
      </c>
      <c r="G21" s="85"/>
    </row>
    <row r="22" spans="1:20">
      <c r="B22" s="82" t="s">
        <v>23</v>
      </c>
      <c r="C22" s="82"/>
      <c r="D22" s="82"/>
      <c r="E22" s="86"/>
      <c r="F22" s="87"/>
    </row>
    <row r="23" spans="1:20">
      <c r="B23" s="82" t="s">
        <v>24</v>
      </c>
      <c r="C23" s="82"/>
      <c r="D23" s="82"/>
      <c r="E23" s="86"/>
      <c r="F23" s="87">
        <v>0</v>
      </c>
      <c r="H23" s="88"/>
      <c r="J23" s="89"/>
    </row>
    <row r="24" spans="1:20">
      <c r="B24" s="82" t="s">
        <v>60</v>
      </c>
      <c r="C24" s="82"/>
      <c r="D24" s="82"/>
      <c r="E24" s="86"/>
      <c r="F24" s="87">
        <v>0</v>
      </c>
      <c r="J24" s="89"/>
    </row>
    <row r="25" spans="1:20">
      <c r="B25" s="82" t="s">
        <v>61</v>
      </c>
      <c r="C25" s="82"/>
      <c r="D25" s="82"/>
      <c r="E25" s="86">
        <f>10</f>
        <v>10</v>
      </c>
      <c r="F25" s="87"/>
    </row>
    <row r="26" ht="15" customHeight="1" spans="1:20">
      <c r="B26" s="82" t="s">
        <v>62</v>
      </c>
      <c r="C26" s="82"/>
      <c r="D26" s="82"/>
      <c r="E26" s="90">
        <v>0</v>
      </c>
      <c r="F26" s="91"/>
      <c r="J26" s="89"/>
    </row>
  </sheetData>
  <mergeCells count="7">
    <mergeCell ref="G3:I3"/>
    <mergeCell ref="J3:M3"/>
    <mergeCell ref="N3:P3"/>
    <mergeCell ref="Q3:R3"/>
    <mergeCell ref="S3:T3"/>
    <mergeCell ref="E3:E4"/>
    <mergeCell ref="F3:F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zoomScale="92" zoomScaleNormal="92" workbookViewId="0">
      <pane xSplit="7" ySplit="5" topLeftCell="H6" activePane="bottomRight" state="frozen"/>
      <selection/>
      <selection pane="topRight"/>
      <selection pane="bottomLeft"/>
      <selection pane="bottomRight" activeCell="A4" sqref="A4"/>
    </sheetView>
  </sheetViews>
  <sheetFormatPr defaultColWidth="8.90833333333333" defaultRowHeight="14.25"/>
  <cols>
    <col min="1" max="1" width="12.45" style="31" customWidth="1"/>
    <col min="2" max="2" width="9.90833333333333" style="32" customWidth="1"/>
    <col min="3" max="3" width="10.3666666666667" style="32" customWidth="1"/>
    <col min="4" max="4" width="7" style="32" customWidth="1"/>
    <col min="5" max="5" width="12" style="32" customWidth="1"/>
    <col min="6" max="6" width="9.45" style="32" customWidth="1"/>
    <col min="7" max="7" width="10.45" style="32" customWidth="1"/>
    <col min="8" max="10" width="7.63333333333333" style="32" customWidth="1"/>
    <col min="11" max="11" width="10" style="32" customWidth="1"/>
    <col min="12" max="12" width="9.90833333333333" style="32" customWidth="1"/>
    <col min="13" max="13" width="7.63333333333333" style="32" customWidth="1"/>
    <col min="14" max="14" width="8" style="32" customWidth="1"/>
    <col min="15" max="15" width="7.63333333333333" style="32" customWidth="1"/>
    <col min="16" max="16" width="10.6333333333333" style="32" customWidth="1"/>
    <col min="17" max="17" width="6.63333333333333" style="32" customWidth="1"/>
    <col min="18" max="18" width="10.0916666666667" style="32" customWidth="1"/>
  </cols>
  <sheetData>
    <row r="1" ht="15" customHeight="1" spans="1:18">
      <c r="A1" s="31" t="s">
        <v>63</v>
      </c>
      <c r="H1" s="33"/>
    </row>
    <row r="2" ht="15" customHeight="1" spans="1:18">
      <c r="A2" s="34"/>
      <c r="B2" s="35"/>
      <c r="C2" s="35"/>
      <c r="D2" s="35"/>
      <c r="E2" s="35"/>
      <c r="F2" s="35"/>
      <c r="H2" s="36" t="s">
        <v>64</v>
      </c>
    </row>
    <row r="3" s="27" customFormat="1" spans="1:18">
      <c r="B3" s="37" t="s">
        <v>65</v>
      </c>
      <c r="C3" s="37" t="s">
        <v>66</v>
      </c>
      <c r="D3" s="37" t="s">
        <v>67</v>
      </c>
      <c r="E3" s="37" t="s">
        <v>68</v>
      </c>
      <c r="F3" s="38" t="s">
        <v>38</v>
      </c>
      <c r="G3" s="39"/>
      <c r="H3" s="37" t="s">
        <v>69</v>
      </c>
      <c r="I3" s="40" t="s">
        <v>43</v>
      </c>
      <c r="J3" s="41"/>
      <c r="K3" s="41"/>
      <c r="L3" s="41"/>
      <c r="M3" s="42" t="s">
        <v>46</v>
      </c>
      <c r="N3" s="43"/>
      <c r="O3" s="42" t="s">
        <v>44</v>
      </c>
      <c r="P3" s="41"/>
      <c r="Q3" s="41"/>
      <c r="R3" s="43"/>
    </row>
    <row r="4" s="27" customFormat="1" ht="73" customHeight="1" spans="1:18">
      <c r="B4" s="44"/>
      <c r="C4" s="44"/>
      <c r="D4" s="44"/>
      <c r="E4" s="44"/>
      <c r="F4" s="45" t="s">
        <v>70</v>
      </c>
      <c r="G4" s="45" t="s">
        <v>71</v>
      </c>
      <c r="H4" s="44"/>
      <c r="I4" s="46" t="s">
        <v>47</v>
      </c>
      <c r="J4" s="47" t="s">
        <v>50</v>
      </c>
      <c r="K4" s="47" t="s">
        <v>51</v>
      </c>
      <c r="L4" s="47" t="s">
        <v>52</v>
      </c>
      <c r="M4" s="46" t="s">
        <v>47</v>
      </c>
      <c r="N4" s="48" t="s">
        <v>56</v>
      </c>
      <c r="O4" s="46" t="s">
        <v>47</v>
      </c>
      <c r="P4" s="47" t="s">
        <v>72</v>
      </c>
      <c r="Q4" s="47" t="s">
        <v>73</v>
      </c>
      <c r="R4" s="49" t="s">
        <v>74</v>
      </c>
    </row>
    <row r="5" s="28" customFormat="1" customHeight="1" spans="1:18">
      <c r="A5" s="31"/>
      <c r="H5" s="50"/>
      <c r="I5" s="51"/>
      <c r="J5" s="51"/>
      <c r="K5" s="51"/>
      <c r="L5" s="51"/>
      <c r="M5" s="51"/>
      <c r="N5" s="51"/>
      <c r="O5" s="51"/>
      <c r="P5" s="51"/>
      <c r="Q5" s="51"/>
      <c r="R5" s="52"/>
    </row>
    <row r="6" s="29" customFormat="1" spans="1:18">
      <c r="A6" s="53" t="s">
        <v>75</v>
      </c>
      <c r="H6" s="54"/>
      <c r="I6" s="55"/>
      <c r="J6" s="55"/>
      <c r="K6" s="55"/>
      <c r="L6" s="55"/>
      <c r="M6" s="55"/>
      <c r="N6" s="55"/>
      <c r="O6" s="55"/>
      <c r="P6" s="55"/>
      <c r="Q6" s="55"/>
      <c r="R6" s="56"/>
    </row>
    <row r="7" s="30" customFormat="1" spans="1:18">
      <c r="B7" s="57"/>
      <c r="C7" s="57"/>
      <c r="D7" s="57"/>
      <c r="E7" s="57"/>
      <c r="F7" s="57"/>
      <c r="G7" s="57"/>
      <c r="H7" s="58"/>
      <c r="I7" s="59"/>
      <c r="J7" s="59"/>
      <c r="K7" s="59"/>
      <c r="L7" s="59"/>
      <c r="M7" s="59"/>
      <c r="N7" s="59"/>
      <c r="O7" s="59"/>
      <c r="P7" s="59"/>
      <c r="Q7" s="59"/>
      <c r="R7" s="60"/>
    </row>
    <row r="8" s="30" customFormat="1" spans="1:18">
      <c r="A8" s="61"/>
      <c r="H8" s="58"/>
      <c r="I8" s="59"/>
      <c r="J8" s="59"/>
      <c r="K8" s="59"/>
      <c r="L8" s="59"/>
      <c r="M8" s="59"/>
      <c r="N8" s="59"/>
      <c r="O8" s="59"/>
      <c r="P8" s="59"/>
      <c r="Q8" s="59"/>
      <c r="R8" s="60"/>
    </row>
    <row r="9" s="30" customFormat="1" spans="1:18">
      <c r="A9" s="53"/>
      <c r="B9" s="30" t="s">
        <v>10</v>
      </c>
      <c r="C9" s="30" t="str">
        <f>PN!$B$8</f>
        <v>ERI</v>
      </c>
      <c r="E9" s="30" t="str">
        <f>UK!B9</f>
        <v>{Employee Name}</v>
      </c>
      <c r="F9" s="62">
        <f ca="1">UK!B2</f>
        <v>46204</v>
      </c>
      <c r="G9" s="62">
        <f ca="1">UK!C2</f>
        <v>46234</v>
      </c>
      <c r="H9" s="63">
        <f>I9+M9-O9</f>
        <v>0</v>
      </c>
      <c r="I9" s="64">
        <f>SUM(J9:L9)</f>
        <v>0</v>
      </c>
      <c r="J9" s="64">
        <f>'UK-L'!B7</f>
        <v>0</v>
      </c>
      <c r="K9" s="64">
        <f>'UK-L'!B8</f>
        <v>0</v>
      </c>
      <c r="L9" s="64">
        <f>'UK-L'!B9</f>
        <v>0</v>
      </c>
      <c r="M9" s="64">
        <f>SUM(N9:N9)</f>
        <v>0</v>
      </c>
      <c r="N9" s="64">
        <f>UK!T9</f>
        <v>0</v>
      </c>
      <c r="O9" s="64">
        <f>SUM(P9:R9)</f>
        <v>0</v>
      </c>
      <c r="P9" s="64">
        <f>'UK-L'!B14</f>
        <v>0</v>
      </c>
      <c r="Q9" s="64">
        <f>'UK-L'!B15</f>
        <v>0</v>
      </c>
      <c r="R9" s="65">
        <f>'UK-L'!B16</f>
        <v>0</v>
      </c>
    </row>
    <row r="10" s="30" customFormat="1" spans="1:18">
      <c r="A10" s="53"/>
      <c r="F10" s="57"/>
      <c r="G10" s="57"/>
      <c r="H10" s="63"/>
      <c r="I10" s="64"/>
      <c r="J10" s="64"/>
      <c r="K10" s="64"/>
      <c r="L10" s="64"/>
      <c r="M10" s="64"/>
      <c r="N10" s="64"/>
      <c r="O10" s="64"/>
      <c r="P10" s="64"/>
      <c r="Q10" s="64"/>
      <c r="R10" s="65"/>
    </row>
    <row r="11" s="30" customFormat="1" spans="1:18">
      <c r="A11" s="53"/>
      <c r="H11" s="58"/>
      <c r="I11" s="59"/>
      <c r="J11" s="59"/>
      <c r="K11" s="59"/>
      <c r="L11" s="59"/>
      <c r="M11" s="59"/>
      <c r="N11" s="59"/>
      <c r="O11" s="59"/>
      <c r="P11" s="59"/>
      <c r="Q11" s="59"/>
      <c r="R11" s="60"/>
    </row>
    <row r="12" s="30" customFormat="1" spans="1:18">
      <c r="A12" s="53"/>
      <c r="H12" s="58"/>
      <c r="I12" s="59"/>
      <c r="J12" s="59"/>
      <c r="K12" s="59"/>
      <c r="L12" s="59"/>
      <c r="M12" s="59"/>
      <c r="N12" s="59"/>
      <c r="O12" s="59"/>
      <c r="P12" s="59"/>
      <c r="Q12" s="59"/>
      <c r="R12" s="60"/>
    </row>
    <row r="13" s="30" customFormat="1" spans="1:18">
      <c r="A13" s="53"/>
      <c r="H13" s="58"/>
      <c r="I13" s="59"/>
      <c r="J13" s="59"/>
      <c r="K13" s="59"/>
      <c r="L13" s="59"/>
      <c r="M13" s="59"/>
      <c r="N13" s="59"/>
      <c r="O13" s="59"/>
      <c r="P13" s="59"/>
      <c r="Q13" s="59"/>
      <c r="R13" s="60"/>
    </row>
    <row r="14" s="30" customFormat="1" spans="1:18">
      <c r="A14" s="53"/>
      <c r="H14" s="58"/>
      <c r="I14" s="59"/>
      <c r="J14" s="59"/>
      <c r="K14" s="59"/>
      <c r="L14" s="59"/>
      <c r="M14" s="59"/>
      <c r="N14" s="59"/>
      <c r="O14" s="59"/>
      <c r="P14" s="59"/>
      <c r="Q14" s="59"/>
      <c r="R14" s="60"/>
    </row>
    <row r="15" s="30" customFormat="1" spans="1:18">
      <c r="A15" s="53"/>
      <c r="H15" s="58"/>
      <c r="I15" s="59"/>
      <c r="J15" s="59"/>
      <c r="K15" s="59"/>
      <c r="L15" s="59"/>
      <c r="M15" s="59"/>
      <c r="N15" s="59"/>
      <c r="O15" s="59"/>
      <c r="P15" s="59"/>
      <c r="Q15" s="59"/>
      <c r="R15" s="60"/>
    </row>
    <row r="16" s="30" customFormat="1" spans="1:18">
      <c r="A16" s="53"/>
      <c r="H16" s="58"/>
      <c r="I16" s="59"/>
      <c r="J16" s="59"/>
      <c r="K16" s="59"/>
      <c r="L16" s="59"/>
      <c r="M16" s="59"/>
      <c r="N16" s="59"/>
      <c r="O16" s="59"/>
      <c r="P16" s="59"/>
      <c r="Q16" s="59"/>
      <c r="R16" s="60"/>
    </row>
    <row r="17" s="30" customFormat="1" spans="1:18">
      <c r="A17" s="53"/>
      <c r="H17" s="66"/>
      <c r="I17" s="67"/>
      <c r="J17" s="67"/>
      <c r="K17" s="67"/>
      <c r="L17" s="67"/>
      <c r="M17" s="67"/>
      <c r="N17" s="67"/>
      <c r="O17" s="67"/>
      <c r="P17" s="67"/>
      <c r="Q17" s="67"/>
      <c r="R17" s="68"/>
    </row>
    <row r="18" s="30" customFormat="1" ht="15" customHeight="1" spans="1:18">
      <c r="A18" s="53"/>
      <c r="H18" s="69"/>
      <c r="I18" s="70"/>
      <c r="J18" s="70"/>
      <c r="K18" s="70"/>
      <c r="L18" s="70"/>
      <c r="M18" s="70"/>
      <c r="N18" s="70"/>
      <c r="O18" s="70"/>
      <c r="P18" s="70"/>
      <c r="Q18" s="70"/>
      <c r="R18" s="71"/>
    </row>
  </sheetData>
  <mergeCells count="9">
    <mergeCell ref="F3:G3"/>
    <mergeCell ref="I3:L3"/>
    <mergeCell ref="M3:N3"/>
    <mergeCell ref="O3:R3"/>
    <mergeCell ref="B3:B4"/>
    <mergeCell ref="C3:C4"/>
    <mergeCell ref="D3:D4"/>
    <mergeCell ref="E3:E4"/>
    <mergeCell ref="H3:H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B39" sqref="B39"/>
    </sheetView>
  </sheetViews>
  <sheetFormatPr defaultColWidth="8.90833333333333" defaultRowHeight="14.25" outlineLevelCol="3"/>
  <cols>
    <col min="1" max="1" width="35.0916666666667" style="1" customWidth="1"/>
    <col min="2" max="2" width="24.45" style="2" customWidth="1"/>
    <col min="3" max="3" width="12.9083333333333" style="1" customWidth="1"/>
    <col min="4" max="4" width="12.0916666666667" style="1" customWidth="1"/>
    <col min="5" max="233" width="8.90833333333333" style="1" customWidth="1"/>
    <col min="234" max="234" width="38.45" style="1" customWidth="1"/>
    <col min="235" max="235" width="12.0916666666667" style="1" customWidth="1"/>
    <col min="236" max="236" width="14" style="1" customWidth="1"/>
    <col min="237" max="489" width="8.90833333333333" style="1" customWidth="1"/>
    <col min="490" max="490" width="38.45" style="1" customWidth="1"/>
    <col min="491" max="491" width="12.0916666666667" style="1" customWidth="1"/>
    <col min="492" max="492" width="14" style="1" customWidth="1"/>
    <col min="493" max="745" width="8.90833333333333" style="1" customWidth="1"/>
    <col min="746" max="746" width="38.45" style="1" customWidth="1"/>
    <col min="747" max="747" width="12.0916666666667" style="1" customWidth="1"/>
    <col min="748" max="748" width="14" style="1" customWidth="1"/>
    <col min="749" max="1001" width="8.90833333333333" style="1" customWidth="1"/>
    <col min="1002" max="1002" width="38.45" style="1" customWidth="1"/>
    <col min="1003" max="1003" width="12.0916666666667" style="1" customWidth="1"/>
    <col min="1004" max="1004" width="14" style="1" customWidth="1"/>
    <col min="1005" max="1257" width="8.90833333333333" style="1" customWidth="1"/>
    <col min="1258" max="1258" width="38.45" style="1" customWidth="1"/>
    <col min="1259" max="1259" width="12.0916666666667" style="1" customWidth="1"/>
    <col min="1260" max="1260" width="14" style="1" customWidth="1"/>
    <col min="1261" max="1513" width="8.90833333333333" style="1" customWidth="1"/>
    <col min="1514" max="1514" width="38.45" style="1" customWidth="1"/>
    <col min="1515" max="1515" width="12.0916666666667" style="1" customWidth="1"/>
    <col min="1516" max="1516" width="14" style="1" customWidth="1"/>
    <col min="1517" max="1769" width="8.90833333333333" style="1" customWidth="1"/>
    <col min="1770" max="1770" width="38.45" style="1" customWidth="1"/>
    <col min="1771" max="1771" width="12.0916666666667" style="1" customWidth="1"/>
    <col min="1772" max="1772" width="14" style="1" customWidth="1"/>
    <col min="1773" max="2025" width="8.90833333333333" style="1" customWidth="1"/>
    <col min="2026" max="2026" width="38.45" style="1" customWidth="1"/>
    <col min="2027" max="2027" width="12.0916666666667" style="1" customWidth="1"/>
    <col min="2028" max="2028" width="14" style="1" customWidth="1"/>
    <col min="2029" max="2281" width="8.90833333333333" style="1" customWidth="1"/>
    <col min="2282" max="2282" width="38.45" style="1" customWidth="1"/>
    <col min="2283" max="2283" width="12.0916666666667" style="1" customWidth="1"/>
    <col min="2284" max="2284" width="14" style="1" customWidth="1"/>
    <col min="2285" max="2537" width="8.90833333333333" style="1" customWidth="1"/>
    <col min="2538" max="2538" width="38.45" style="1" customWidth="1"/>
    <col min="2539" max="2539" width="12.0916666666667" style="1" customWidth="1"/>
    <col min="2540" max="2540" width="14" style="1" customWidth="1"/>
    <col min="2541" max="2793" width="8.90833333333333" style="1" customWidth="1"/>
    <col min="2794" max="2794" width="38.45" style="1" customWidth="1"/>
    <col min="2795" max="2795" width="12.0916666666667" style="1" customWidth="1"/>
    <col min="2796" max="2796" width="14" style="1" customWidth="1"/>
    <col min="2797" max="3049" width="8.90833333333333" style="1" customWidth="1"/>
    <col min="3050" max="3050" width="38.45" style="1" customWidth="1"/>
    <col min="3051" max="3051" width="12.0916666666667" style="1" customWidth="1"/>
    <col min="3052" max="3052" width="14" style="1" customWidth="1"/>
    <col min="3053" max="3305" width="8.90833333333333" style="1" customWidth="1"/>
    <col min="3306" max="3306" width="38.45" style="1" customWidth="1"/>
    <col min="3307" max="3307" width="12.0916666666667" style="1" customWidth="1"/>
    <col min="3308" max="3308" width="14" style="1" customWidth="1"/>
    <col min="3309" max="3561" width="8.90833333333333" style="1" customWidth="1"/>
    <col min="3562" max="3562" width="38.45" style="1" customWidth="1"/>
    <col min="3563" max="3563" width="12.0916666666667" style="1" customWidth="1"/>
    <col min="3564" max="3564" width="14" style="1" customWidth="1"/>
    <col min="3565" max="3817" width="8.90833333333333" style="1" customWidth="1"/>
    <col min="3818" max="3818" width="38.45" style="1" customWidth="1"/>
    <col min="3819" max="3819" width="12.0916666666667" style="1" customWidth="1"/>
    <col min="3820" max="3820" width="14" style="1" customWidth="1"/>
    <col min="3821" max="4073" width="8.90833333333333" style="1" customWidth="1"/>
    <col min="4074" max="4074" width="38.45" style="1" customWidth="1"/>
    <col min="4075" max="4075" width="12.0916666666667" style="1" customWidth="1"/>
    <col min="4076" max="4076" width="14" style="1" customWidth="1"/>
    <col min="4077" max="4329" width="8.90833333333333" style="1" customWidth="1"/>
    <col min="4330" max="4330" width="38.45" style="1" customWidth="1"/>
    <col min="4331" max="4331" width="12.0916666666667" style="1" customWidth="1"/>
    <col min="4332" max="4332" width="14" style="1" customWidth="1"/>
    <col min="4333" max="4585" width="8.90833333333333" style="1" customWidth="1"/>
    <col min="4586" max="4586" width="38.45" style="1" customWidth="1"/>
    <col min="4587" max="4587" width="12.0916666666667" style="1" customWidth="1"/>
    <col min="4588" max="4588" width="14" style="1" customWidth="1"/>
    <col min="4589" max="4841" width="8.90833333333333" style="1" customWidth="1"/>
    <col min="4842" max="4842" width="38.45" style="1" customWidth="1"/>
    <col min="4843" max="4843" width="12.0916666666667" style="1" customWidth="1"/>
    <col min="4844" max="4844" width="14" style="1" customWidth="1"/>
    <col min="4845" max="5097" width="8.90833333333333" style="1" customWidth="1"/>
    <col min="5098" max="5098" width="38.45" style="1" customWidth="1"/>
    <col min="5099" max="5099" width="12.0916666666667" style="1" customWidth="1"/>
    <col min="5100" max="5100" width="14" style="1" customWidth="1"/>
    <col min="5101" max="5353" width="8.90833333333333" style="1" customWidth="1"/>
    <col min="5354" max="5354" width="38.45" style="1" customWidth="1"/>
    <col min="5355" max="5355" width="12.0916666666667" style="1" customWidth="1"/>
    <col min="5356" max="5356" width="14" style="1" customWidth="1"/>
    <col min="5357" max="5609" width="8.90833333333333" style="1" customWidth="1"/>
    <col min="5610" max="5610" width="38.45" style="1" customWidth="1"/>
    <col min="5611" max="5611" width="12.0916666666667" style="1" customWidth="1"/>
    <col min="5612" max="5612" width="14" style="1" customWidth="1"/>
    <col min="5613" max="5865" width="8.90833333333333" style="1" customWidth="1"/>
    <col min="5866" max="5866" width="38.45" style="1" customWidth="1"/>
    <col min="5867" max="5867" width="12.0916666666667" style="1" customWidth="1"/>
    <col min="5868" max="5868" width="14" style="1" customWidth="1"/>
    <col min="5869" max="6121" width="8.90833333333333" style="1" customWidth="1"/>
    <col min="6122" max="6122" width="38.45" style="1" customWidth="1"/>
    <col min="6123" max="6123" width="12.0916666666667" style="1" customWidth="1"/>
    <col min="6124" max="6124" width="14" style="1" customWidth="1"/>
    <col min="6125" max="6377" width="8.90833333333333" style="1" customWidth="1"/>
    <col min="6378" max="6378" width="38.45" style="1" customWidth="1"/>
    <col min="6379" max="6379" width="12.0916666666667" style="1" customWidth="1"/>
    <col min="6380" max="6380" width="14" style="1" customWidth="1"/>
    <col min="6381" max="6633" width="8.90833333333333" style="1" customWidth="1"/>
    <col min="6634" max="6634" width="38.45" style="1" customWidth="1"/>
    <col min="6635" max="6635" width="12.0916666666667" style="1" customWidth="1"/>
    <col min="6636" max="6636" width="14" style="1" customWidth="1"/>
    <col min="6637" max="6889" width="8.90833333333333" style="1" customWidth="1"/>
    <col min="6890" max="6890" width="38.45" style="1" customWidth="1"/>
    <col min="6891" max="6891" width="12.0916666666667" style="1" customWidth="1"/>
    <col min="6892" max="6892" width="14" style="1" customWidth="1"/>
    <col min="6893" max="7145" width="8.90833333333333" style="1" customWidth="1"/>
    <col min="7146" max="7146" width="38.45" style="1" customWidth="1"/>
    <col min="7147" max="7147" width="12.0916666666667" style="1" customWidth="1"/>
    <col min="7148" max="7148" width="14" style="1" customWidth="1"/>
    <col min="7149" max="7401" width="8.90833333333333" style="1" customWidth="1"/>
    <col min="7402" max="7402" width="38.45" style="1" customWidth="1"/>
    <col min="7403" max="7403" width="12.0916666666667" style="1" customWidth="1"/>
    <col min="7404" max="7404" width="14" style="1" customWidth="1"/>
    <col min="7405" max="7657" width="8.90833333333333" style="1" customWidth="1"/>
    <col min="7658" max="7658" width="38.45" style="1" customWidth="1"/>
    <col min="7659" max="7659" width="12.0916666666667" style="1" customWidth="1"/>
    <col min="7660" max="7660" width="14" style="1" customWidth="1"/>
    <col min="7661" max="7913" width="8.90833333333333" style="1" customWidth="1"/>
    <col min="7914" max="7914" width="38.45" style="1" customWidth="1"/>
    <col min="7915" max="7915" width="12.0916666666667" style="1" customWidth="1"/>
    <col min="7916" max="7916" width="14" style="1" customWidth="1"/>
    <col min="7917" max="8169" width="8.90833333333333" style="1" customWidth="1"/>
    <col min="8170" max="8170" width="38.45" style="1" customWidth="1"/>
    <col min="8171" max="8171" width="12.0916666666667" style="1" customWidth="1"/>
    <col min="8172" max="8172" width="14" style="1" customWidth="1"/>
    <col min="8173" max="8425" width="8.90833333333333" style="1" customWidth="1"/>
    <col min="8426" max="8426" width="38.45" style="1" customWidth="1"/>
    <col min="8427" max="8427" width="12.0916666666667" style="1" customWidth="1"/>
    <col min="8428" max="8428" width="14" style="1" customWidth="1"/>
    <col min="8429" max="8681" width="8.90833333333333" style="1" customWidth="1"/>
    <col min="8682" max="8682" width="38.45" style="1" customWidth="1"/>
    <col min="8683" max="8683" width="12.0916666666667" style="1" customWidth="1"/>
    <col min="8684" max="8684" width="14" style="1" customWidth="1"/>
    <col min="8685" max="8937" width="8.90833333333333" style="1" customWidth="1"/>
    <col min="8938" max="8938" width="38.45" style="1" customWidth="1"/>
    <col min="8939" max="8939" width="12.0916666666667" style="1" customWidth="1"/>
    <col min="8940" max="8940" width="14" style="1" customWidth="1"/>
    <col min="8941" max="9193" width="8.90833333333333" style="1" customWidth="1"/>
    <col min="9194" max="9194" width="38.45" style="1" customWidth="1"/>
    <col min="9195" max="9195" width="12.0916666666667" style="1" customWidth="1"/>
    <col min="9196" max="9196" width="14" style="1" customWidth="1"/>
    <col min="9197" max="9449" width="8.90833333333333" style="1" customWidth="1"/>
    <col min="9450" max="9450" width="38.45" style="1" customWidth="1"/>
    <col min="9451" max="9451" width="12.0916666666667" style="1" customWidth="1"/>
    <col min="9452" max="9452" width="14" style="1" customWidth="1"/>
    <col min="9453" max="9705" width="8.90833333333333" style="1" customWidth="1"/>
    <col min="9706" max="9706" width="38.45" style="1" customWidth="1"/>
    <col min="9707" max="9707" width="12.0916666666667" style="1" customWidth="1"/>
    <col min="9708" max="9708" width="14" style="1" customWidth="1"/>
    <col min="9709" max="9961" width="8.90833333333333" style="1" customWidth="1"/>
    <col min="9962" max="9962" width="38.45" style="1" customWidth="1"/>
    <col min="9963" max="9963" width="12.0916666666667" style="1" customWidth="1"/>
    <col min="9964" max="9964" width="14" style="1" customWidth="1"/>
    <col min="9965" max="10217" width="8.90833333333333" style="1" customWidth="1"/>
    <col min="10218" max="10218" width="38.45" style="1" customWidth="1"/>
    <col min="10219" max="10219" width="12.0916666666667" style="1" customWidth="1"/>
    <col min="10220" max="10220" width="14" style="1" customWidth="1"/>
    <col min="10221" max="10473" width="8.90833333333333" style="1" customWidth="1"/>
    <col min="10474" max="10474" width="38.45" style="1" customWidth="1"/>
    <col min="10475" max="10475" width="12.0916666666667" style="1" customWidth="1"/>
    <col min="10476" max="10476" width="14" style="1" customWidth="1"/>
    <col min="10477" max="10729" width="8.90833333333333" style="1" customWidth="1"/>
    <col min="10730" max="10730" width="38.45" style="1" customWidth="1"/>
    <col min="10731" max="10731" width="12.0916666666667" style="1" customWidth="1"/>
    <col min="10732" max="10732" width="14" style="1" customWidth="1"/>
    <col min="10733" max="10985" width="8.90833333333333" style="1" customWidth="1"/>
    <col min="10986" max="10986" width="38.45" style="1" customWidth="1"/>
    <col min="10987" max="10987" width="12.0916666666667" style="1" customWidth="1"/>
    <col min="10988" max="10988" width="14" style="1" customWidth="1"/>
    <col min="10989" max="11241" width="8.90833333333333" style="1" customWidth="1"/>
    <col min="11242" max="11242" width="38.45" style="1" customWidth="1"/>
    <col min="11243" max="11243" width="12.0916666666667" style="1" customWidth="1"/>
    <col min="11244" max="11244" width="14" style="1" customWidth="1"/>
    <col min="11245" max="11497" width="8.90833333333333" style="1" customWidth="1"/>
    <col min="11498" max="11498" width="38.45" style="1" customWidth="1"/>
    <col min="11499" max="11499" width="12.0916666666667" style="1" customWidth="1"/>
    <col min="11500" max="11500" width="14" style="1" customWidth="1"/>
    <col min="11501" max="11753" width="8.90833333333333" style="1" customWidth="1"/>
    <col min="11754" max="11754" width="38.45" style="1" customWidth="1"/>
    <col min="11755" max="11755" width="12.0916666666667" style="1" customWidth="1"/>
    <col min="11756" max="11756" width="14" style="1" customWidth="1"/>
    <col min="11757" max="12009" width="8.90833333333333" style="1" customWidth="1"/>
    <col min="12010" max="12010" width="38.45" style="1" customWidth="1"/>
    <col min="12011" max="12011" width="12.0916666666667" style="1" customWidth="1"/>
    <col min="12012" max="12012" width="14" style="1" customWidth="1"/>
    <col min="12013" max="12265" width="8.90833333333333" style="1" customWidth="1"/>
    <col min="12266" max="12266" width="38.45" style="1" customWidth="1"/>
    <col min="12267" max="12267" width="12.0916666666667" style="1" customWidth="1"/>
    <col min="12268" max="12268" width="14" style="1" customWidth="1"/>
    <col min="12269" max="12521" width="8.90833333333333" style="1" customWidth="1"/>
    <col min="12522" max="12522" width="38.45" style="1" customWidth="1"/>
    <col min="12523" max="12523" width="12.0916666666667" style="1" customWidth="1"/>
    <col min="12524" max="12524" width="14" style="1" customWidth="1"/>
    <col min="12525" max="12777" width="8.90833333333333" style="1" customWidth="1"/>
    <col min="12778" max="12778" width="38.45" style="1" customWidth="1"/>
    <col min="12779" max="12779" width="12.0916666666667" style="1" customWidth="1"/>
    <col min="12780" max="12780" width="14" style="1" customWidth="1"/>
    <col min="12781" max="13033" width="8.90833333333333" style="1" customWidth="1"/>
    <col min="13034" max="13034" width="38.45" style="1" customWidth="1"/>
    <col min="13035" max="13035" width="12.0916666666667" style="1" customWidth="1"/>
    <col min="13036" max="13036" width="14" style="1" customWidth="1"/>
    <col min="13037" max="13289" width="8.90833333333333" style="1" customWidth="1"/>
    <col min="13290" max="13290" width="38.45" style="1" customWidth="1"/>
    <col min="13291" max="13291" width="12.0916666666667" style="1" customWidth="1"/>
    <col min="13292" max="13292" width="14" style="1" customWidth="1"/>
    <col min="13293" max="13545" width="8.90833333333333" style="1" customWidth="1"/>
    <col min="13546" max="13546" width="38.45" style="1" customWidth="1"/>
    <col min="13547" max="13547" width="12.0916666666667" style="1" customWidth="1"/>
    <col min="13548" max="13548" width="14" style="1" customWidth="1"/>
    <col min="13549" max="13801" width="8.90833333333333" style="1" customWidth="1"/>
    <col min="13802" max="13802" width="38.45" style="1" customWidth="1"/>
    <col min="13803" max="13803" width="12.0916666666667" style="1" customWidth="1"/>
    <col min="13804" max="13804" width="14" style="1" customWidth="1"/>
    <col min="13805" max="14057" width="8.90833333333333" style="1" customWidth="1"/>
    <col min="14058" max="14058" width="38.45" style="1" customWidth="1"/>
    <col min="14059" max="14059" width="12.0916666666667" style="1" customWidth="1"/>
    <col min="14060" max="14060" width="14" style="1" customWidth="1"/>
    <col min="14061" max="14313" width="8.90833333333333" style="1" customWidth="1"/>
    <col min="14314" max="14314" width="38.45" style="1" customWidth="1"/>
    <col min="14315" max="14315" width="12.0916666666667" style="1" customWidth="1"/>
    <col min="14316" max="14316" width="14" style="1" customWidth="1"/>
    <col min="14317" max="14569" width="8.90833333333333" style="1" customWidth="1"/>
    <col min="14570" max="14570" width="38.45" style="1" customWidth="1"/>
    <col min="14571" max="14571" width="12.0916666666667" style="1" customWidth="1"/>
    <col min="14572" max="14572" width="14" style="1" customWidth="1"/>
    <col min="14573" max="14825" width="8.90833333333333" style="1" customWidth="1"/>
    <col min="14826" max="14826" width="38.45" style="1" customWidth="1"/>
    <col min="14827" max="14827" width="12.0916666666667" style="1" customWidth="1"/>
    <col min="14828" max="14828" width="14" style="1" customWidth="1"/>
    <col min="14829" max="15081" width="8.90833333333333" style="1" customWidth="1"/>
    <col min="15082" max="15082" width="38.45" style="1" customWidth="1"/>
    <col min="15083" max="15083" width="12.0916666666667" style="1" customWidth="1"/>
    <col min="15084" max="15084" width="14" style="1" customWidth="1"/>
    <col min="15085" max="15337" width="8.90833333333333" style="1" customWidth="1"/>
    <col min="15338" max="15338" width="38.45" style="1" customWidth="1"/>
    <col min="15339" max="15339" width="12.0916666666667" style="1" customWidth="1"/>
    <col min="15340" max="15340" width="14" style="1" customWidth="1"/>
    <col min="15341" max="15593" width="8.90833333333333" style="1" customWidth="1"/>
    <col min="15594" max="15594" width="38.45" style="1" customWidth="1"/>
    <col min="15595" max="15595" width="12.0916666666667" style="1" customWidth="1"/>
    <col min="15596" max="15596" width="14" style="1" customWidth="1"/>
    <col min="15597" max="15849" width="8.90833333333333" style="1" customWidth="1"/>
    <col min="15850" max="15850" width="38.45" style="1" customWidth="1"/>
    <col min="15851" max="15851" width="12.0916666666667" style="1" customWidth="1"/>
    <col min="15852" max="15852" width="14" style="1" customWidth="1"/>
    <col min="15853" max="16105" width="8.90833333333333" style="1" customWidth="1"/>
    <col min="16106" max="16106" width="38.45" style="1" customWidth="1"/>
    <col min="16107" max="16107" width="12.0916666666667" style="1" customWidth="1"/>
    <col min="16108" max="16108" width="14" style="1" customWidth="1"/>
    <col min="16109" max="16384" width="8.90833333333333" style="1" customWidth="1"/>
  </cols>
  <sheetData>
    <row r="1" ht="15.5" customHeight="1" spans="1:2">
      <c r="A1" s="3"/>
    </row>
    <row r="2" ht="15.5" customHeight="1" spans="1:2">
      <c r="A2" s="3"/>
      <c r="B2" s="3"/>
    </row>
    <row r="3" spans="1:2">
      <c r="A3" s="4" t="s">
        <v>76</v>
      </c>
      <c r="B3" s="5">
        <f ca="1">TODAY()</f>
        <v>46233</v>
      </c>
    </row>
    <row r="4" spans="1:2">
      <c r="A4" s="6"/>
      <c r="B4" s="7"/>
    </row>
    <row r="5" spans="1:2">
      <c r="A5" s="8" t="s">
        <v>77</v>
      </c>
      <c r="B5" s="9" t="s">
        <v>78</v>
      </c>
    </row>
    <row r="6" spans="1:2">
      <c r="A6" s="10" t="s">
        <v>79</v>
      </c>
      <c r="B6" s="11" t="s">
        <v>80</v>
      </c>
    </row>
    <row r="7" spans="1:2">
      <c r="A7" s="12" t="s">
        <v>43</v>
      </c>
      <c r="B7" s="13">
        <v>0</v>
      </c>
    </row>
    <row r="8" spans="1:2">
      <c r="A8" s="12" t="s">
        <v>51</v>
      </c>
      <c r="B8" s="13">
        <v>0</v>
      </c>
    </row>
    <row r="9" spans="1:2">
      <c r="A9" s="12" t="s">
        <v>52</v>
      </c>
      <c r="B9" s="13">
        <v>0</v>
      </c>
    </row>
    <row r="10" spans="1:2">
      <c r="A10" s="12" t="s">
        <v>53</v>
      </c>
      <c r="B10" s="13">
        <v>0</v>
      </c>
    </row>
    <row r="11" spans="1:2">
      <c r="A11" s="12" t="s">
        <v>54</v>
      </c>
      <c r="B11" s="13">
        <v>0</v>
      </c>
    </row>
    <row r="12" spans="1:2">
      <c r="A12" s="14" t="s">
        <v>81</v>
      </c>
      <c r="B12" s="15">
        <f>+B7+B9+B10+B11+B8</f>
        <v>0</v>
      </c>
    </row>
    <row r="13" ht="15" customHeight="1" spans="1:2">
      <c r="A13" s="12"/>
      <c r="B13" s="13"/>
    </row>
    <row r="14" spans="1:2">
      <c r="A14" s="12" t="s">
        <v>72</v>
      </c>
      <c r="B14" s="13">
        <v>0</v>
      </c>
    </row>
    <row r="15" spans="1:2">
      <c r="A15" s="12" t="s">
        <v>73</v>
      </c>
      <c r="B15" s="13">
        <v>0</v>
      </c>
    </row>
    <row r="16" spans="1:2">
      <c r="A16" s="12" t="s">
        <v>82</v>
      </c>
      <c r="B16" s="13">
        <v>0</v>
      </c>
    </row>
    <row r="17" ht="16" customHeight="1" spans="1:4">
      <c r="A17" s="12"/>
      <c r="B17" s="13"/>
    </row>
    <row r="18" spans="1:4">
      <c r="A18" s="14" t="s">
        <v>83</v>
      </c>
      <c r="B18" s="15">
        <f>(B7+B9+B8)-(B14+B15+B16)</f>
        <v>0</v>
      </c>
    </row>
    <row r="19" spans="1:4">
      <c r="A19" s="12"/>
      <c r="B19" s="13"/>
    </row>
    <row r="20" spans="1:4">
      <c r="A20" s="14" t="s">
        <v>84</v>
      </c>
      <c r="B20" s="15">
        <f>B12</f>
        <v>0</v>
      </c>
    </row>
    <row r="21" spans="1:4">
      <c r="A21" s="10"/>
      <c r="B21" s="13"/>
      <c r="C21" s="16"/>
    </row>
    <row r="22" spans="1:4">
      <c r="A22" s="12" t="s">
        <v>55</v>
      </c>
      <c r="B22" s="13">
        <v>0</v>
      </c>
    </row>
    <row r="23" spans="1:4">
      <c r="A23" s="10"/>
      <c r="B23" s="13"/>
      <c r="C23" s="17" t="s">
        <v>85</v>
      </c>
      <c r="D23" s="17" t="s">
        <v>86</v>
      </c>
    </row>
    <row r="24" spans="1:4">
      <c r="A24" s="18" t="s">
        <v>87</v>
      </c>
      <c r="B24" s="19">
        <f>+B20+B22</f>
        <v>0</v>
      </c>
      <c r="C24" s="19">
        <f>B24*D24</f>
        <v>0</v>
      </c>
      <c r="D24" s="20"/>
    </row>
    <row r="25" spans="1:4">
      <c r="A25" s="21" t="s">
        <v>88</v>
      </c>
      <c r="B25" s="22"/>
      <c r="C25" s="23">
        <f>B25*D24</f>
        <v>0</v>
      </c>
    </row>
    <row r="26" spans="1:4">
      <c r="A26" s="21" t="s">
        <v>89</v>
      </c>
      <c r="B26" s="22">
        <v>0</v>
      </c>
      <c r="C26" s="23">
        <f>B26*D24</f>
        <v>0</v>
      </c>
    </row>
    <row r="27" spans="1:4">
      <c r="A27" s="24" t="s">
        <v>90</v>
      </c>
      <c r="B27" s="25">
        <f>SUM(B24:B26)</f>
        <v>0</v>
      </c>
      <c r="C27" s="19">
        <f>SUM(C24:C26)</f>
        <v>0</v>
      </c>
    </row>
    <row r="28" spans="1:4">
      <c r="C28" s="26"/>
    </row>
  </sheetData>
  <mergeCells count="1">
    <mergeCell ref="A1:B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PN</vt:lpstr>
      <vt:lpstr>UK</vt:lpstr>
      <vt:lpstr>UK EE</vt:lpstr>
      <vt:lpstr>UK-L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ChunJie</dc:creator>
  <cp:lastModifiedBy>给我，高高的飞起来啊！！</cp:lastModifiedBy>
  <dcterms:created xsi:type="dcterms:W3CDTF">2018-12-11T19:06:00Z</dcterms:created>
  <dcterms:modified xsi:type="dcterms:W3CDTF">2026-07-30T05:39:59Z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5990f738-fcdd-405e-99be-11cb97209fa1</vt:lpwstr>
  </property>
  <property fmtid="{D5CDD505-2E9C-101B-9397-08002B2CF9AE}" pid="4" name="MediaServiceImageTags">
    <vt:lpwstr/>
  </property>
  <property fmtid="{D5CDD505-2E9C-101B-9397-08002B2CF9AE}" pid="5" name="ICV">
    <vt:lpwstr>D034D0CB43F24E888739D5FCCA31161D_12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