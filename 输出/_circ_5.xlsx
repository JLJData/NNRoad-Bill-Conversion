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PN" sheetId="6" r:id="rId1"/>
    <sheet name="TW" sheetId="2" r:id="rId2"/>
    <sheet name="TW EE" sheetId="5" r:id="rId3"/>
    <sheet name="TW-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Bella Chung</author>
  </authors>
  <commentList>
    <comment ref="AY7" authorId="0">
      <text>
        <r>
          <rPr>
            <b/>
            <sz val="9"/>
            <color rgb="FF000000"/>
            <rFont val="Tahoma"/>
            <charset val="134"/>
          </rPr>
          <t>Bella Chung:</t>
        </r>
        <r>
          <rPr>
            <sz val="9"/>
            <color rgb="FF000000"/>
            <rFont val="Tahoma"/>
            <charset val="134"/>
          </rPr>
          <t xml:space="preserve">
No HI, charged if gross&gt;24000</t>
        </r>
      </text>
    </comment>
  </commentList>
</comments>
</file>

<file path=xl/sharedStrings.xml><?xml version="1.0" encoding="utf-8"?>
<sst xmlns="http://schemas.openxmlformats.org/spreadsheetml/2006/main" count="194" uniqueCount="154">
  <si>
    <r>
      <rPr>
        <b/>
        <sz val="12"/>
        <color rgb="FF0066B3"/>
        <rFont val="等线"/>
        <charset val="134"/>
        <scheme val="minor"/>
      </rPr>
      <t>N</t>
    </r>
    <r>
      <rPr>
        <b/>
        <sz val="12"/>
        <color rgb="FF8DC63F"/>
        <rFont val="等线"/>
        <charset val="134"/>
        <scheme val="minor"/>
      </rPr>
      <t>N</t>
    </r>
    <r>
      <rPr>
        <b/>
        <sz val="12"/>
        <color rgb="FF0066B3"/>
        <rFont val="等线"/>
        <charset val="134"/>
        <scheme val="minor"/>
      </rPr>
      <t>Road</t>
    </r>
    <r>
      <rPr>
        <b/>
        <sz val="12"/>
        <color rgb="FF8DC63F"/>
        <rFont val="等线"/>
        <charset val="134"/>
        <scheme val="minor"/>
      </rPr>
      <t> – Employer of Record, Payroll Worldwide</t>
    </r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</si>
  <si>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</si>
  <si>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</si>
  <si>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</si>
  <si>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</si>
  <si>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</si>
  <si>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Coral Sea</t>
  </si>
  <si>
    <t>Currency</t>
  </si>
  <si>
    <t>USD</t>
  </si>
  <si>
    <t>Client ID:</t>
  </si>
  <si>
    <t>CUS1516</t>
  </si>
  <si>
    <t>Invoice number</t>
  </si>
  <si>
    <t>PN-CUS1516-031120261</t>
  </si>
  <si>
    <t>Address:</t>
  </si>
  <si>
    <t>4205/41 Williams Esplanade, PALM COVE, QLD, Australia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</si>
  <si>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</si>
  <si>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</si>
  <si>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</si>
  <si>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</si>
  <si>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</si>
  <si>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</si>
  <si>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</si>
  <si>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</si>
  <si>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</si>
  <si>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</si>
  <si>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</si>
  <si>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</si>
  <si>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</si>
  <si>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</si>
  <si>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</si>
  <si>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</si>
  <si>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</si>
  <si>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</si>
  <si>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</si>
  <si>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</si>
  <si>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</si>
  <si>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</si>
  <si>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</si>
  <si>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</si>
  <si>
    <t>Sum</t>
  </si>
  <si>
    <t>Business
Tax</t>
  </si>
  <si>
    <t>Management Fee
Fee</t>
  </si>
  <si>
    <t>Gross Salary</t>
  </si>
  <si>
    <t>Mandatory Contribution</t>
  </si>
  <si>
    <t>Expense Claim</t>
  </si>
  <si>
    <t>Subtotal</t>
  </si>
  <si>
    <t>Recurring
Fee</t>
  </si>
  <si>
    <t>Expense
Fee</t>
  </si>
  <si>
    <t>Basic
Salary</t>
  </si>
  <si>
    <t>Salary
Adjustment</t>
  </si>
  <si>
    <t>OT</t>
  </si>
  <si>
    <t>Allw- Phone/ Communication</t>
  </si>
  <si>
    <t>Allw 
Transportation</t>
  </si>
  <si>
    <t>Back Pay</t>
  </si>
  <si>
    <t>伙食津貼Allw Meal</t>
  </si>
  <si>
    <t>Remote Stipend</t>
  </si>
  <si>
    <t>病假扣薪
Sick Leave
(half pay)</t>
  </si>
  <si>
    <t>NPL Hours</t>
  </si>
  <si>
    <t>No Pay Leave</t>
  </si>
  <si>
    <t>Bonus VB</t>
  </si>
  <si>
    <t>Incentives</t>
  </si>
  <si>
    <t>特休結算
Untaken AL</t>
  </si>
  <si>
    <t>資遣費
Severance</t>
  </si>
  <si>
    <t>ER insurance</t>
  </si>
  <si>
    <t>Expense
Claim</t>
  </si>
  <si>
    <t>(NTD)</t>
  </si>
  <si>
    <t>Other Fee</t>
  </si>
  <si>
    <t>Interests of delay</t>
  </si>
  <si>
    <t>Bank Charges</t>
  </si>
  <si>
    <t xml:space="preserve">Invoice adjustment </t>
  </si>
  <si>
    <t>EE</t>
  </si>
  <si>
    <t>Client Code</t>
  </si>
  <si>
    <t>Client Name</t>
  </si>
  <si>
    <t>EE Code</t>
  </si>
  <si>
    <t>EE Name</t>
  </si>
  <si>
    <t>Net
Income</t>
  </si>
  <si>
    <t>Deduction</t>
  </si>
  <si>
    <t>IIT</t>
  </si>
  <si>
    <t>From</t>
  </si>
  <si>
    <t>To</t>
  </si>
  <si>
    <t>伙食津貼  Allw Meal</t>
  </si>
  <si>
    <t>LI</t>
  </si>
  <si>
    <t>Pension</t>
  </si>
  <si>
    <t>HI</t>
  </si>
  <si>
    <t>2G HI</t>
  </si>
  <si>
    <t>EOR/PEO(NTD)</t>
  </si>
  <si>
    <t>CUS1516-0001</t>
  </si>
  <si>
    <t>CUS1516-0002</t>
  </si>
  <si>
    <t>CUS1516-0003</t>
  </si>
  <si>
    <t>NNRoad</t>
  </si>
  <si>
    <t>Payroll for the month of</t>
  </si>
  <si>
    <t>Overtime Payment</t>
  </si>
  <si>
    <t>Start Date&gt;</t>
  </si>
  <si>
    <t>End Date&gt;</t>
  </si>
  <si>
    <t>Pay Items</t>
  </si>
  <si>
    <t xml:space="preserve">Overtime Details </t>
  </si>
  <si>
    <t>Social Insurance Grading</t>
  </si>
  <si>
    <t>EE Dedution</t>
  </si>
  <si>
    <t>ER Insurance contribution</t>
  </si>
  <si>
    <t>BU</t>
  </si>
  <si>
    <t>CN Name</t>
  </si>
  <si>
    <t>EN Name</t>
  </si>
  <si>
    <t xml:space="preserve">Position </t>
  </si>
  <si>
    <t>Start Date</t>
  </si>
  <si>
    <t>End Date</t>
  </si>
  <si>
    <t>FT/PT</t>
  </si>
  <si>
    <t>Full Pay/Hourly Rate</t>
  </si>
  <si>
    <t>Monthly
Basic Salary</t>
  </si>
  <si>
    <t>Allw Meal</t>
  </si>
  <si>
    <t>Employment day/Hours Worked</t>
  </si>
  <si>
    <r>
      <rPr>
        <sz val="10"/>
        <color theme="1"/>
        <rFont val="細明體"/>
        <charset val="136"/>
      </rPr>
      <t xml:space="preserve">薪資
</t>
    </r>
    <r>
      <rPr>
        <sz val="10"/>
        <color theme="1"/>
        <rFont val="Calibri"/>
        <charset val="134"/>
      </rPr>
      <t>Basic Salary</t>
    </r>
  </si>
  <si>
    <r>
      <rPr>
        <sz val="10"/>
        <color theme="1"/>
        <rFont val="細明體"/>
        <charset val="136"/>
      </rPr>
      <t>伙食津貼</t>
    </r>
    <r>
      <rPr>
        <sz val="10"/>
        <color theme="1"/>
        <rFont val="Calibri"/>
        <charset val="134"/>
      </rPr>
      <t>Allw Meal</t>
    </r>
  </si>
  <si>
    <r>
      <rPr>
        <sz val="10"/>
        <color theme="1"/>
        <rFont val="細明體"/>
        <charset val="136"/>
      </rPr>
      <t>病假時數</t>
    </r>
    <r>
      <rPr>
        <sz val="10"/>
        <color theme="1"/>
        <rFont val="Calibri"/>
        <charset val="134"/>
      </rPr>
      <t xml:space="preserve"> Sick Leave Hours</t>
    </r>
  </si>
  <si>
    <r>
      <rPr>
        <sz val="10"/>
        <color theme="1"/>
        <rFont val="細明體"/>
        <charset val="136"/>
      </rPr>
      <t xml:space="preserve">病假扣薪
</t>
    </r>
    <r>
      <rPr>
        <sz val="10"/>
        <color theme="1"/>
        <rFont val="Calibri"/>
        <charset val="134"/>
      </rPr>
      <t>Sick Leave
(half pay)</t>
    </r>
  </si>
  <si>
    <r>
      <rPr>
        <sz val="10"/>
        <color theme="1"/>
        <rFont val="新細明體"/>
        <charset val="136"/>
      </rPr>
      <t xml:space="preserve">報帳
</t>
    </r>
    <r>
      <rPr>
        <sz val="10"/>
        <color theme="1"/>
        <rFont val="Calibri"/>
        <charset val="134"/>
      </rPr>
      <t>Reimb Claim</t>
    </r>
  </si>
  <si>
    <r>
      <rPr>
        <sz val="10"/>
        <color theme="1"/>
        <rFont val="新細明體"/>
        <charset val="136"/>
      </rPr>
      <t xml:space="preserve">特休結算
</t>
    </r>
    <r>
      <rPr>
        <sz val="10"/>
        <color theme="1"/>
        <rFont val="Calibri"/>
        <charset val="134"/>
      </rPr>
      <t>Untaken AL</t>
    </r>
  </si>
  <si>
    <r>
      <rPr>
        <sz val="10"/>
        <color theme="1"/>
        <rFont val="新細明體"/>
        <charset val="136"/>
      </rPr>
      <t xml:space="preserve">加班費
</t>
    </r>
    <r>
      <rPr>
        <sz val="10"/>
        <color theme="1"/>
        <rFont val="Calibri"/>
        <charset val="134"/>
      </rPr>
      <t>Overtime Payment</t>
    </r>
  </si>
  <si>
    <t>Hr (1.34x)</t>
  </si>
  <si>
    <t>OT Payment (1.34x)</t>
  </si>
  <si>
    <t>Hr (1.67x)</t>
  </si>
  <si>
    <t>OT Payment (1.67x)</t>
  </si>
  <si>
    <t>Hr (1x)</t>
  </si>
  <si>
    <t>OT Payment (1x)</t>
  </si>
  <si>
    <t>Hr (2.67x)</t>
  </si>
  <si>
    <t>OT Payment (2.67x)</t>
  </si>
  <si>
    <r>
      <rPr>
        <sz val="10"/>
        <color theme="1"/>
        <rFont val="細明體"/>
        <charset val="136"/>
      </rPr>
      <t xml:space="preserve">勞保級距
</t>
    </r>
    <r>
      <rPr>
        <sz val="10"/>
        <color theme="1"/>
        <rFont val="Calibri"/>
        <charset val="134"/>
      </rPr>
      <t>Insured Salary Grading - LI</t>
    </r>
  </si>
  <si>
    <r>
      <rPr>
        <sz val="10"/>
        <color theme="1"/>
        <rFont val="細明體"/>
        <charset val="136"/>
      </rPr>
      <t>勞退級距</t>
    </r>
    <r>
      <rPr>
        <sz val="10"/>
        <color theme="1"/>
        <rFont val="Calibri"/>
        <charset val="134"/>
      </rPr>
      <t xml:space="preserve"> Pension Salary Grading</t>
    </r>
  </si>
  <si>
    <t>健保投保級距Insured Salary Grading - HI</t>
  </si>
  <si>
    <r>
      <rPr>
        <sz val="10"/>
        <color theme="1"/>
        <rFont val="細明體"/>
        <charset val="136"/>
      </rPr>
      <t xml:space="preserve">健保眷屬
</t>
    </r>
    <r>
      <rPr>
        <sz val="10"/>
        <color theme="1"/>
        <rFont val="Calibri"/>
        <charset val="134"/>
      </rPr>
      <t>HI Dependent (person)</t>
    </r>
  </si>
  <si>
    <r>
      <rPr>
        <sz val="10"/>
        <color theme="1"/>
        <rFont val="細明體"/>
        <charset val="136"/>
      </rPr>
      <t xml:space="preserve">勞保投保天數
</t>
    </r>
    <r>
      <rPr>
        <sz val="10"/>
        <color theme="1"/>
        <rFont val="Calibri"/>
        <charset val="134"/>
      </rPr>
      <t>LI Days</t>
    </r>
  </si>
  <si>
    <r>
      <rPr>
        <sz val="10"/>
        <color theme="1"/>
        <rFont val="新細明體"/>
        <charset val="136"/>
      </rPr>
      <t xml:space="preserve">所得稅代扣
</t>
    </r>
    <r>
      <rPr>
        <sz val="10"/>
        <color theme="1"/>
        <rFont val="Calibri"/>
        <charset val="134"/>
      </rPr>
      <t>Withholding Tax</t>
    </r>
  </si>
  <si>
    <r>
      <rPr>
        <sz val="10"/>
        <color theme="1"/>
        <rFont val="新細明體"/>
        <charset val="136"/>
      </rPr>
      <t xml:space="preserve">勞保自付
</t>
    </r>
    <r>
      <rPr>
        <sz val="10"/>
        <color theme="1"/>
        <rFont val="Calibri"/>
        <charset val="134"/>
      </rPr>
      <t>LI EE</t>
    </r>
  </si>
  <si>
    <r>
      <rPr>
        <sz val="10"/>
        <color theme="1"/>
        <rFont val="細明體"/>
        <charset val="136"/>
      </rPr>
      <t>勞保自付</t>
    </r>
    <r>
      <rPr>
        <sz val="10"/>
        <color theme="1"/>
        <rFont val="Calibri"/>
        <charset val="134"/>
      </rPr>
      <t>(</t>
    </r>
    <r>
      <rPr>
        <sz val="10"/>
        <color theme="1"/>
        <rFont val="細明體"/>
        <charset val="136"/>
      </rPr>
      <t>調整</t>
    </r>
    <r>
      <rPr>
        <sz val="10"/>
        <color theme="1"/>
        <rFont val="Calibri"/>
        <charset val="134"/>
      </rPr>
      <t>)
LI EE 1T</t>
    </r>
  </si>
  <si>
    <r>
      <rPr>
        <sz val="10"/>
        <color theme="1"/>
        <rFont val="細明體"/>
        <charset val="136"/>
      </rPr>
      <t xml:space="preserve">勞退自提
</t>
    </r>
    <r>
      <rPr>
        <sz val="10"/>
        <color theme="1"/>
        <rFont val="Calibri"/>
        <charset val="134"/>
      </rPr>
      <t>Pension EE</t>
    </r>
  </si>
  <si>
    <r>
      <rPr>
        <sz val="10"/>
        <color theme="1"/>
        <rFont val="細明體"/>
        <charset val="136"/>
      </rPr>
      <t>勞退自提</t>
    </r>
    <r>
      <rPr>
        <sz val="10"/>
        <color theme="1"/>
        <rFont val="Calibri"/>
        <charset val="134"/>
      </rPr>
      <t xml:space="preserve"> (</t>
    </r>
    <r>
      <rPr>
        <sz val="10"/>
        <color theme="1"/>
        <rFont val="細明體"/>
        <charset val="136"/>
      </rPr>
      <t>調整</t>
    </r>
    <r>
      <rPr>
        <sz val="10"/>
        <color theme="1"/>
        <rFont val="Calibri"/>
        <charset val="134"/>
      </rPr>
      <t>)
Pension EE 1T</t>
    </r>
  </si>
  <si>
    <r>
      <rPr>
        <sz val="10"/>
        <color theme="1"/>
        <rFont val="新細明體"/>
        <charset val="136"/>
      </rPr>
      <t xml:space="preserve">健保自付
</t>
    </r>
    <r>
      <rPr>
        <sz val="10"/>
        <color theme="1"/>
        <rFont val="Calibri"/>
        <charset val="134"/>
      </rPr>
      <t>HI EE</t>
    </r>
  </si>
  <si>
    <r>
      <rPr>
        <sz val="10"/>
        <color theme="1"/>
        <rFont val="細明體"/>
        <charset val="136"/>
      </rPr>
      <t>健保自付</t>
    </r>
    <r>
      <rPr>
        <sz val="10"/>
        <color theme="1"/>
        <rFont val="Calibri"/>
        <charset val="134"/>
      </rPr>
      <t>(</t>
    </r>
    <r>
      <rPr>
        <sz val="10"/>
        <color theme="1"/>
        <rFont val="細明體"/>
        <charset val="136"/>
      </rPr>
      <t>調整</t>
    </r>
    <r>
      <rPr>
        <sz val="10"/>
        <color theme="1"/>
        <rFont val="Calibri"/>
        <charset val="134"/>
      </rPr>
      <t>)
HI EE 1T</t>
    </r>
  </si>
  <si>
    <t>健保眷屬
HI
Dep</t>
  </si>
  <si>
    <r>
      <rPr>
        <sz val="10"/>
        <color theme="1"/>
        <rFont val="新細明體"/>
        <charset val="136"/>
      </rPr>
      <t xml:space="preserve">二代健保
自付
</t>
    </r>
    <r>
      <rPr>
        <sz val="10"/>
        <color theme="1"/>
        <rFont val="Calibri"/>
        <charset val="134"/>
      </rPr>
      <t>2G HI EE</t>
    </r>
  </si>
  <si>
    <t>Gross Taxable Income</t>
  </si>
  <si>
    <t>Net Salary</t>
  </si>
  <si>
    <r>
      <rPr>
        <sz val="10"/>
        <color theme="1"/>
        <rFont val="細明體"/>
        <charset val="136"/>
      </rPr>
      <t>勞保雇主</t>
    </r>
    <r>
      <rPr>
        <sz val="10"/>
        <color theme="1"/>
        <rFont val="Calibri"/>
        <charset val="134"/>
      </rPr>
      <t xml:space="preserve"> 
LI ER</t>
    </r>
  </si>
  <si>
    <r>
      <rPr>
        <sz val="10"/>
        <color theme="1"/>
        <rFont val="細明體"/>
        <charset val="136"/>
      </rPr>
      <t xml:space="preserve">勞保雇主
</t>
    </r>
    <r>
      <rPr>
        <sz val="10"/>
        <color theme="1"/>
        <rFont val="Calibri"/>
        <charset val="134"/>
      </rPr>
      <t>LI ER
1T</t>
    </r>
  </si>
  <si>
    <r>
      <rPr>
        <sz val="10"/>
        <color theme="1"/>
        <rFont val="細明體"/>
        <charset val="136"/>
      </rPr>
      <t xml:space="preserve">勞退雇主
</t>
    </r>
    <r>
      <rPr>
        <sz val="10"/>
        <color theme="1"/>
        <rFont val="Calibri"/>
        <charset val="134"/>
      </rPr>
      <t>Pension ER 6%</t>
    </r>
  </si>
  <si>
    <r>
      <rPr>
        <sz val="10"/>
        <color theme="1"/>
        <rFont val="細明體"/>
        <charset val="136"/>
      </rPr>
      <t xml:space="preserve">勞退雇主
</t>
    </r>
    <r>
      <rPr>
        <sz val="10"/>
        <color theme="1"/>
        <rFont val="Calibri"/>
        <charset val="134"/>
      </rPr>
      <t>Pension 
ER 1T</t>
    </r>
  </si>
  <si>
    <r>
      <rPr>
        <sz val="10"/>
        <color theme="1"/>
        <rFont val="細明體"/>
        <charset val="136"/>
      </rPr>
      <t xml:space="preserve">健保雇主
</t>
    </r>
    <r>
      <rPr>
        <sz val="10"/>
        <color theme="1"/>
        <rFont val="Calibri"/>
        <charset val="134"/>
      </rPr>
      <t>HI ER</t>
    </r>
  </si>
  <si>
    <r>
      <rPr>
        <sz val="10"/>
        <color theme="1"/>
        <rFont val="細明體"/>
        <charset val="136"/>
      </rPr>
      <t xml:space="preserve">健保雇主
</t>
    </r>
    <r>
      <rPr>
        <sz val="10"/>
        <color theme="1"/>
        <rFont val="Calibri"/>
        <charset val="134"/>
      </rPr>
      <t>HI ER
1T</t>
    </r>
  </si>
  <si>
    <r>
      <rPr>
        <sz val="10"/>
        <color theme="1"/>
        <rFont val="細明體"/>
        <charset val="136"/>
      </rPr>
      <t xml:space="preserve">二代健保
雇主
</t>
    </r>
    <r>
      <rPr>
        <sz val="10"/>
        <color theme="1"/>
        <rFont val="Calibri"/>
        <charset val="134"/>
      </rPr>
      <t>2G HI ER</t>
    </r>
  </si>
  <si>
    <r>
      <rPr>
        <sz val="10"/>
        <color theme="1"/>
        <rFont val="細明體"/>
        <charset val="136"/>
      </rPr>
      <t xml:space="preserve">二代健保
雇主
</t>
    </r>
    <r>
      <rPr>
        <sz val="10"/>
        <color theme="1"/>
        <rFont val="Calibri"/>
        <charset val="134"/>
      </rPr>
      <t>2G HI ER 
1T</t>
    </r>
  </si>
  <si>
    <r>
      <rPr>
        <sz val="10"/>
        <color theme="1"/>
        <rFont val="細明體"/>
        <charset val="136"/>
      </rPr>
      <t xml:space="preserve">團保
</t>
    </r>
    <r>
      <rPr>
        <sz val="10"/>
        <color theme="1"/>
        <rFont val="Calibri"/>
        <charset val="134"/>
      </rPr>
      <t>GI</t>
    </r>
  </si>
  <si>
    <t>Gross Salary
(payable)</t>
  </si>
  <si>
    <t>ER Insurance</t>
  </si>
  <si>
    <t>Operation 
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</si>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</sst>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);[Red]\(0.0\)"/>
    <numFmt numFmtId="178" formatCode="[$-409]d\-mmm\-yy;@"/>
    <numFmt numFmtId="179" formatCode="#,##0.0_);[Red]\(#,##0.0\)"/>
    <numFmt numFmtId="180" formatCode="#,##0.00_ "/>
    <numFmt numFmtId="181" formatCode="_(&quot;$&quot;* #,##0.00_);_(&quot;$&quot;* \(#,##0.00\);_(&quot;$&quot;* &quot;-&quot;??_);_(@_)"/>
  </numFmts>
  <fonts count="61">
    <font>
      <sz val="11"/>
      <color theme="1"/>
      <name val="等线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indexed="9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0"/>
      <color theme="1"/>
      <name val="Calibri"/>
      <charset val="134"/>
    </font>
    <font>
      <sz val="10"/>
      <color rgb="FFFF0000"/>
      <name val="細明體"/>
      <charset val="136"/>
    </font>
    <font>
      <sz val="10"/>
      <color theme="1"/>
      <name val="細明體"/>
      <charset val="136"/>
    </font>
    <font>
      <sz val="10"/>
      <color rgb="FFC00000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b/>
      <sz val="11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6"/>
    </font>
    <font>
      <sz val="10"/>
      <name val="Comic Sans MS"/>
      <charset val="134"/>
    </font>
    <font>
      <sz val="10"/>
      <color theme="1"/>
      <name val="新細明體"/>
      <charset val="136"/>
    </font>
    <font>
      <b/>
      <sz val="12"/>
      <color rgb="FF8DC63F"/>
      <name val="等线"/>
      <charset val="134"/>
      <scheme val="minor"/>
    </font>
    <font>
      <sz val="9"/>
      <color rgb="FF000000"/>
      <name val="Tahoma"/>
      <charset val="134"/>
    </font>
    <font>
      <b/>
      <sz val="9"/>
      <color rgb="FF000000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0" borderId="69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70" applyNumberFormat="0" applyFill="0" applyAlignment="0" applyProtection="0">
      <alignment vertical="center"/>
    </xf>
    <xf numFmtId="0" fontId="42" fillId="0" borderId="70" applyNumberFormat="0" applyFill="0" applyAlignment="0" applyProtection="0">
      <alignment vertical="center"/>
    </xf>
    <xf numFmtId="0" fontId="43" fillId="0" borderId="7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72" applyNumberFormat="0" applyAlignment="0" applyProtection="0">
      <alignment vertical="center"/>
    </xf>
    <xf numFmtId="0" fontId="45" fillId="12" borderId="73" applyNumberFormat="0" applyAlignment="0" applyProtection="0">
      <alignment vertical="center"/>
    </xf>
    <xf numFmtId="0" fontId="46" fillId="12" borderId="72" applyNumberFormat="0" applyAlignment="0" applyProtection="0">
      <alignment vertical="center"/>
    </xf>
    <xf numFmtId="0" fontId="47" fillId="13" borderId="74" applyNumberFormat="0" applyAlignment="0" applyProtection="0">
      <alignment vertical="center"/>
    </xf>
    <xf numFmtId="0" fontId="48" fillId="0" borderId="75" applyNumberFormat="0" applyFill="0" applyAlignment="0" applyProtection="0">
      <alignment vertical="center"/>
    </xf>
    <xf numFmtId="0" fontId="49" fillId="0" borderId="76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0" fillId="0" borderId="0"/>
    <xf numFmtId="0" fontId="55" fillId="0" borderId="0">
      <alignment vertical="center"/>
    </xf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0" fontId="56" fillId="0" borderId="0"/>
    <xf numFmtId="0" fontId="56" fillId="0" borderId="0"/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left" vertical="top"/>
    </xf>
    <xf numFmtId="0" fontId="3" fillId="2" borderId="0" xfId="50" applyFont="1" applyFill="1" applyAlignment="1">
      <alignment horizontal="center" vertical="center" wrapText="1"/>
    </xf>
    <xf numFmtId="17" fontId="4" fillId="0" borderId="0" xfId="53" applyNumberFormat="1" applyFont="1" applyAlignment="1">
      <alignment horizontal="center" vertical="center"/>
    </xf>
    <xf numFmtId="17" fontId="5" fillId="0" borderId="0" xfId="53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53" applyFont="1" applyAlignment="1">
      <alignment horizontal="right" vertical="center"/>
    </xf>
    <xf numFmtId="49" fontId="2" fillId="0" borderId="0" xfId="53" applyNumberFormat="1" applyFont="1" applyAlignment="1">
      <alignment horizontal="center" vertical="center" wrapText="1"/>
    </xf>
    <xf numFmtId="178" fontId="4" fillId="0" borderId="0" xfId="53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/>
    </xf>
    <xf numFmtId="38" fontId="10" fillId="4" borderId="14" xfId="0" applyNumberFormat="1" applyFont="1" applyFill="1" applyBorder="1" applyAlignment="1">
      <alignment horizontal="center" vertical="center"/>
    </xf>
    <xf numFmtId="38" fontId="10" fillId="4" borderId="14" xfId="0" applyNumberFormat="1" applyFont="1" applyFill="1" applyBorder="1" applyAlignment="1">
      <alignment horizontal="center" vertical="center" wrapText="1"/>
    </xf>
    <xf numFmtId="38" fontId="10" fillId="4" borderId="15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38" fontId="2" fillId="0" borderId="17" xfId="51" applyNumberFormat="1" applyFont="1" applyFill="1" applyBorder="1" applyAlignment="1">
      <alignment horizontal="center" vertical="center" wrapText="1"/>
    </xf>
    <xf numFmtId="179" fontId="2" fillId="0" borderId="17" xfId="51" applyNumberFormat="1" applyFont="1" applyFill="1" applyBorder="1" applyAlignment="1">
      <alignment horizontal="center" vertical="center" wrapText="1"/>
    </xf>
    <xf numFmtId="179" fontId="2" fillId="0" borderId="17" xfId="52" applyNumberFormat="1" applyFont="1" applyFill="1" applyBorder="1" applyAlignment="1">
      <alignment horizontal="center" vertical="center" wrapText="1"/>
    </xf>
    <xf numFmtId="38" fontId="2" fillId="0" borderId="17" xfId="52" applyNumberFormat="1" applyFont="1" applyFill="1" applyBorder="1" applyAlignment="1">
      <alignment horizontal="center" vertical="center" wrapText="1"/>
    </xf>
    <xf numFmtId="38" fontId="2" fillId="0" borderId="17" xfId="0" applyNumberFormat="1" applyFont="1" applyBorder="1" applyAlignment="1">
      <alignment horizontal="center" vertical="center" wrapText="1"/>
    </xf>
    <xf numFmtId="38" fontId="2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ont="1" applyFill="1">
      <alignment vertical="center"/>
    </xf>
    <xf numFmtId="0" fontId="0" fillId="5" borderId="0" xfId="0" applyFill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0" fillId="0" borderId="0" xfId="0" applyFont="1" applyAlignment="1">
      <alignment horizontal="left" vertical="center"/>
    </xf>
    <xf numFmtId="2" fontId="0" fillId="0" borderId="0" xfId="0" applyNumberFormat="1">
      <alignment vertical="center"/>
    </xf>
    <xf numFmtId="0" fontId="11" fillId="0" borderId="19" xfId="0" applyFont="1" applyBorder="1">
      <alignment vertical="center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8" xfId="0" applyFont="1" applyBorder="1" applyAlignment="1">
      <alignment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180" fontId="0" fillId="5" borderId="34" xfId="0" applyNumberFormat="1" applyFont="1" applyFill="1" applyBorder="1">
      <alignment vertical="center"/>
    </xf>
    <xf numFmtId="180" fontId="0" fillId="5" borderId="35" xfId="0" applyNumberFormat="1" applyFont="1" applyFill="1" applyBorder="1">
      <alignment vertical="center"/>
    </xf>
    <xf numFmtId="180" fontId="0" fillId="5" borderId="36" xfId="0" applyNumberFormat="1" applyFont="1" applyFill="1" applyBorder="1">
      <alignment vertical="center"/>
    </xf>
    <xf numFmtId="180" fontId="0" fillId="5" borderId="37" xfId="0" applyNumberFormat="1" applyFont="1" applyFill="1" applyBorder="1">
      <alignment vertical="center"/>
    </xf>
    <xf numFmtId="180" fontId="0" fillId="5" borderId="38" xfId="0" applyNumberFormat="1" applyFont="1" applyFill="1" applyBorder="1">
      <alignment vertical="center"/>
    </xf>
    <xf numFmtId="180" fontId="0" fillId="5" borderId="39" xfId="0" applyNumberFormat="1" applyFont="1" applyFill="1" applyBorder="1">
      <alignment vertical="center"/>
    </xf>
    <xf numFmtId="0" fontId="0" fillId="5" borderId="0" xfId="0" applyFont="1" applyFill="1" applyAlignment="1">
      <alignment horizontal="left" vertical="center"/>
    </xf>
    <xf numFmtId="49" fontId="0" fillId="5" borderId="0" xfId="0" applyNumberFormat="1" applyFill="1">
      <alignment vertical="center"/>
    </xf>
    <xf numFmtId="180" fontId="0" fillId="5" borderId="37" xfId="0" applyNumberFormat="1" applyFill="1" applyBorder="1">
      <alignment vertical="center"/>
    </xf>
    <xf numFmtId="180" fontId="0" fillId="5" borderId="38" xfId="0" applyNumberFormat="1" applyFill="1" applyBorder="1">
      <alignment vertical="center"/>
    </xf>
    <xf numFmtId="180" fontId="0" fillId="5" borderId="39" xfId="0" applyNumberFormat="1" applyFill="1" applyBorder="1">
      <alignment vertical="center"/>
    </xf>
    <xf numFmtId="0" fontId="12" fillId="6" borderId="0" xfId="0" applyFont="1" applyFill="1">
      <alignment vertical="center"/>
    </xf>
    <xf numFmtId="0" fontId="0" fillId="5" borderId="37" xfId="0" applyFill="1" applyBorder="1">
      <alignment vertical="center"/>
    </xf>
    <xf numFmtId="0" fontId="0" fillId="5" borderId="38" xfId="0" applyFill="1" applyBorder="1">
      <alignment vertical="center"/>
    </xf>
    <xf numFmtId="0" fontId="0" fillId="5" borderId="39" xfId="0" applyFill="1" applyBorder="1">
      <alignment vertical="center"/>
    </xf>
    <xf numFmtId="0" fontId="0" fillId="5" borderId="40" xfId="0" applyFill="1" applyBorder="1">
      <alignment vertical="center"/>
    </xf>
    <xf numFmtId="0" fontId="0" fillId="5" borderId="41" xfId="0" applyFill="1" applyBorder="1">
      <alignment vertical="center"/>
    </xf>
    <xf numFmtId="0" fontId="0" fillId="5" borderId="42" xfId="0" applyFill="1" applyBorder="1">
      <alignment vertical="center"/>
    </xf>
    <xf numFmtId="49" fontId="0" fillId="0" borderId="0" xfId="0" applyNumberFormat="1">
      <alignment vertical="center"/>
    </xf>
    <xf numFmtId="0" fontId="0" fillId="0" borderId="20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9" xfId="0" applyFont="1" applyBorder="1">
      <alignment vertical="center"/>
    </xf>
    <xf numFmtId="0" fontId="0" fillId="3" borderId="38" xfId="0" applyFill="1" applyBorder="1">
      <alignment vertical="center"/>
    </xf>
    <xf numFmtId="180" fontId="0" fillId="5" borderId="40" xfId="0" applyNumberFormat="1" applyFill="1" applyBorder="1">
      <alignment vertical="center"/>
    </xf>
    <xf numFmtId="180" fontId="0" fillId="5" borderId="41" xfId="0" applyNumberFormat="1" applyFill="1" applyBorder="1">
      <alignment vertical="center"/>
    </xf>
    <xf numFmtId="180" fontId="0" fillId="5" borderId="41" xfId="0" applyNumberFormat="1" applyFont="1" applyFill="1" applyBorder="1">
      <alignment vertical="center"/>
    </xf>
    <xf numFmtId="0" fontId="12" fillId="0" borderId="0" xfId="0" applyFont="1">
      <alignment vertical="center"/>
    </xf>
    <xf numFmtId="40" fontId="13" fillId="0" borderId="43" xfId="0" applyNumberFormat="1" applyFont="1" applyBorder="1">
      <alignment vertical="center"/>
    </xf>
    <xf numFmtId="40" fontId="13" fillId="0" borderId="44" xfId="0" applyNumberFormat="1" applyFont="1" applyBorder="1">
      <alignment vertical="center"/>
    </xf>
    <xf numFmtId="4" fontId="0" fillId="0" borderId="0" xfId="0" applyNumberFormat="1">
      <alignment vertical="center"/>
    </xf>
    <xf numFmtId="40" fontId="13" fillId="0" borderId="45" xfId="0" applyNumberFormat="1" applyFont="1" applyBorder="1">
      <alignment vertical="center"/>
    </xf>
    <xf numFmtId="40" fontId="13" fillId="0" borderId="46" xfId="0" applyNumberFormat="1" applyFont="1" applyBorder="1">
      <alignment vertical="center"/>
    </xf>
    <xf numFmtId="40" fontId="13" fillId="0" borderId="8" xfId="0" applyNumberFormat="1" applyFont="1" applyBorder="1">
      <alignment vertical="center"/>
    </xf>
    <xf numFmtId="40" fontId="13" fillId="0" borderId="47" xfId="0" applyNumberFormat="1" applyFont="1" applyBorder="1">
      <alignment vertical="center"/>
    </xf>
    <xf numFmtId="0" fontId="14" fillId="0" borderId="0" xfId="49" applyFont="1" applyAlignment="1">
      <alignment vertical="center"/>
    </xf>
    <xf numFmtId="0" fontId="15" fillId="0" borderId="0" xfId="49" applyFont="1" applyAlignment="1">
      <alignment vertical="center"/>
    </xf>
    <xf numFmtId="0" fontId="16" fillId="0" borderId="0" xfId="49" applyFont="1" applyAlignment="1">
      <alignment vertical="center"/>
    </xf>
    <xf numFmtId="0" fontId="17" fillId="0" borderId="0" xfId="49" applyFont="1" applyAlignment="1">
      <alignment vertical="center"/>
    </xf>
    <xf numFmtId="0" fontId="18" fillId="0" borderId="0" xfId="49" applyFont="1" applyAlignment="1">
      <alignment vertical="center"/>
    </xf>
    <xf numFmtId="0" fontId="19" fillId="0" borderId="0" xfId="49" applyFont="1" applyAlignment="1">
      <alignment vertical="center"/>
    </xf>
    <xf numFmtId="0" fontId="20" fillId="0" borderId="0" xfId="49" applyFont="1" applyAlignment="1">
      <alignment vertical="center"/>
    </xf>
    <xf numFmtId="0" fontId="20" fillId="0" borderId="0" xfId="49" applyFont="1" applyAlignment="1">
      <alignment horizontal="right" vertical="center"/>
    </xf>
    <xf numFmtId="0" fontId="21" fillId="0" borderId="0" xfId="49" applyFont="1" applyAlignment="1">
      <alignment horizontal="right" vertical="center"/>
    </xf>
    <xf numFmtId="0" fontId="14" fillId="0" borderId="0" xfId="49" applyFont="1" applyAlignment="1">
      <alignment horizontal="right" vertical="center"/>
    </xf>
    <xf numFmtId="0" fontId="22" fillId="0" borderId="0" xfId="49" applyFont="1" applyAlignment="1">
      <alignment horizontal="right" vertical="center"/>
    </xf>
    <xf numFmtId="0" fontId="23" fillId="0" borderId="0" xfId="49" applyFont="1" applyAlignment="1">
      <alignment horizontal="center" vertical="center"/>
    </xf>
    <xf numFmtId="0" fontId="24" fillId="0" borderId="0" xfId="49" applyFont="1" applyAlignment="1">
      <alignment horizontal="center" vertical="center"/>
    </xf>
    <xf numFmtId="0" fontId="25" fillId="0" borderId="0" xfId="49" applyFont="1" applyAlignment="1">
      <alignment vertical="center"/>
    </xf>
    <xf numFmtId="0" fontId="26" fillId="0" borderId="0" xfId="49" applyFont="1" applyAlignment="1">
      <alignment vertical="center"/>
    </xf>
    <xf numFmtId="0" fontId="27" fillId="0" borderId="0" xfId="49" applyFont="1" applyAlignment="1">
      <alignment horizontal="right" vertical="center"/>
    </xf>
    <xf numFmtId="0" fontId="27" fillId="0" borderId="0" xfId="49" applyFont="1" applyAlignment="1">
      <alignment vertical="center"/>
    </xf>
    <xf numFmtId="0" fontId="15" fillId="0" borderId="0" xfId="49" applyFont="1" applyAlignment="1">
      <alignment horizontal="right" vertical="center"/>
    </xf>
    <xf numFmtId="0" fontId="27" fillId="0" borderId="0" xfId="49" applyFont="1" applyAlignment="1">
      <alignment vertical="top" wrapText="1"/>
    </xf>
    <xf numFmtId="0" fontId="27" fillId="0" borderId="0" xfId="49" applyFont="1" applyAlignment="1">
      <alignment horizontal="right" vertical="top" wrapText="1"/>
    </xf>
    <xf numFmtId="14" fontId="27" fillId="0" borderId="0" xfId="49" applyNumberFormat="1" applyFont="1" applyAlignment="1">
      <alignment vertical="center"/>
    </xf>
    <xf numFmtId="0" fontId="28" fillId="0" borderId="0" xfId="49" applyFont="1" applyAlignment="1">
      <alignment horizontal="right" vertical="center"/>
    </xf>
    <xf numFmtId="0" fontId="29" fillId="0" borderId="0" xfId="49" applyFont="1" applyAlignment="1">
      <alignment vertical="center"/>
    </xf>
    <xf numFmtId="14" fontId="29" fillId="0" borderId="0" xfId="49" applyNumberFormat="1" applyFont="1" applyAlignment="1">
      <alignment horizontal="left" vertical="center"/>
    </xf>
    <xf numFmtId="0" fontId="30" fillId="7" borderId="48" xfId="49" applyFont="1" applyFill="1" applyBorder="1" applyAlignment="1">
      <alignment horizontal="center" vertical="center"/>
    </xf>
    <xf numFmtId="0" fontId="30" fillId="7" borderId="49" xfId="49" applyFont="1" applyFill="1" applyBorder="1" applyAlignment="1">
      <alignment horizontal="center" vertical="center"/>
    </xf>
    <xf numFmtId="0" fontId="30" fillId="7" borderId="50" xfId="49" applyFont="1" applyFill="1" applyBorder="1" applyAlignment="1">
      <alignment horizontal="center" vertical="center"/>
    </xf>
    <xf numFmtId="0" fontId="16" fillId="0" borderId="0" xfId="49" applyFont="1" applyAlignment="1">
      <alignment horizontal="right" vertical="center"/>
    </xf>
    <xf numFmtId="0" fontId="31" fillId="0" borderId="51" xfId="49" applyFont="1" applyBorder="1" applyAlignment="1">
      <alignment horizontal="left" vertical="center" indent="1"/>
    </xf>
    <xf numFmtId="0" fontId="31" fillId="0" borderId="0" xfId="49" applyFont="1" applyAlignment="1">
      <alignment horizontal="left" vertical="center" indent="1"/>
    </xf>
    <xf numFmtId="176" fontId="31" fillId="0" borderId="0" xfId="49" applyNumberFormat="1" applyFont="1" applyAlignment="1">
      <alignment horizontal="left" vertical="center"/>
    </xf>
    <xf numFmtId="181" fontId="32" fillId="0" borderId="52" xfId="49" applyNumberFormat="1" applyFont="1" applyBorder="1" applyAlignment="1">
      <alignment horizontal="left" vertical="center"/>
    </xf>
    <xf numFmtId="180" fontId="17" fillId="0" borderId="0" xfId="49" applyNumberFormat="1" applyFont="1" applyAlignment="1">
      <alignment horizontal="right" vertical="center"/>
    </xf>
    <xf numFmtId="0" fontId="14" fillId="0" borderId="51" xfId="49" applyFont="1" applyBorder="1" applyAlignment="1">
      <alignment horizontal="left" vertical="center" indent="3"/>
    </xf>
    <xf numFmtId="0" fontId="14" fillId="0" borderId="0" xfId="49" applyFont="1" applyAlignment="1">
      <alignment horizontal="left" vertical="center" indent="3"/>
    </xf>
    <xf numFmtId="176" fontId="14" fillId="0" borderId="0" xfId="49" applyNumberFormat="1" applyFont="1" applyAlignment="1">
      <alignment horizontal="left" vertical="center" indent="1"/>
    </xf>
    <xf numFmtId="181" fontId="14" fillId="0" borderId="52" xfId="49" applyNumberFormat="1" applyFont="1" applyBorder="1" applyAlignment="1">
      <alignment horizontal="left" vertical="center"/>
    </xf>
    <xf numFmtId="180" fontId="18" fillId="0" borderId="0" xfId="49" applyNumberFormat="1" applyFont="1" applyAlignment="1">
      <alignment horizontal="right" vertical="center"/>
    </xf>
    <xf numFmtId="180" fontId="20" fillId="0" borderId="0" xfId="49" applyNumberFormat="1" applyFont="1" applyAlignment="1">
      <alignment horizontal="right" vertical="center"/>
    </xf>
    <xf numFmtId="0" fontId="14" fillId="0" borderId="0" xfId="49" applyFont="1" applyAlignment="1">
      <alignment horizontal="left" vertical="center" indent="1"/>
    </xf>
    <xf numFmtId="0" fontId="14" fillId="0" borderId="51" xfId="49" applyFont="1" applyBorder="1" applyAlignment="1">
      <alignment horizontal="center" vertical="center"/>
    </xf>
    <xf numFmtId="0" fontId="14" fillId="0" borderId="0" xfId="49" applyFont="1" applyAlignment="1">
      <alignment horizontal="center" vertical="center"/>
    </xf>
    <xf numFmtId="176" fontId="14" fillId="0" borderId="0" xfId="49" applyNumberFormat="1" applyFont="1" applyAlignment="1">
      <alignment horizontal="left" vertical="center"/>
    </xf>
    <xf numFmtId="181" fontId="31" fillId="0" borderId="52" xfId="49" applyNumberFormat="1" applyFont="1" applyBorder="1" applyAlignment="1">
      <alignment horizontal="left" vertical="center"/>
    </xf>
    <xf numFmtId="180" fontId="19" fillId="0" borderId="0" xfId="49" applyNumberFormat="1" applyFont="1" applyAlignment="1">
      <alignment horizontal="right" vertical="center"/>
    </xf>
    <xf numFmtId="0" fontId="14" fillId="0" borderId="51" xfId="49" applyFont="1" applyBorder="1" applyAlignment="1">
      <alignment horizontal="left" vertical="center" indent="2"/>
    </xf>
    <xf numFmtId="0" fontId="14" fillId="0" borderId="0" xfId="49" applyFont="1" applyAlignment="1">
      <alignment horizontal="left" vertical="center" indent="2"/>
    </xf>
    <xf numFmtId="0" fontId="11" fillId="0" borderId="51" xfId="49" applyFont="1" applyBorder="1" applyAlignment="1">
      <alignment horizontal="left" vertical="center" indent="1"/>
    </xf>
    <xf numFmtId="0" fontId="11" fillId="0" borderId="0" xfId="49" applyFont="1" applyAlignment="1">
      <alignment horizontal="left" vertical="center" indent="1"/>
    </xf>
    <xf numFmtId="176" fontId="20" fillId="0" borderId="0" xfId="49" applyNumberFormat="1" applyFont="1" applyAlignment="1">
      <alignment horizontal="left" vertical="center"/>
    </xf>
    <xf numFmtId="181" fontId="20" fillId="0" borderId="52" xfId="49" applyNumberFormat="1" applyFont="1" applyBorder="1" applyAlignment="1">
      <alignment horizontal="left" vertical="center"/>
    </xf>
    <xf numFmtId="0" fontId="33" fillId="0" borderId="53" xfId="49" applyFont="1" applyBorder="1" applyAlignment="1">
      <alignment horizontal="left" vertical="center" indent="1"/>
    </xf>
    <xf numFmtId="0" fontId="33" fillId="0" borderId="54" xfId="49" applyFont="1" applyBorder="1" applyAlignment="1">
      <alignment horizontal="left" vertical="center" indent="1"/>
    </xf>
    <xf numFmtId="176" fontId="33" fillId="0" borderId="54" xfId="49" applyNumberFormat="1" applyFont="1" applyBorder="1" applyAlignment="1">
      <alignment horizontal="left" vertical="center"/>
    </xf>
    <xf numFmtId="181" fontId="33" fillId="0" borderId="55" xfId="49" applyNumberFormat="1" applyFont="1" applyBorder="1" applyAlignment="1">
      <alignment horizontal="left" vertical="center"/>
    </xf>
    <xf numFmtId="0" fontId="33" fillId="0" borderId="0" xfId="49" applyFont="1" applyAlignment="1">
      <alignment vertical="center"/>
    </xf>
    <xf numFmtId="0" fontId="33" fillId="0" borderId="0" xfId="49" applyFont="1" applyAlignment="1">
      <alignment horizontal="center" vertical="center"/>
    </xf>
    <xf numFmtId="176" fontId="33" fillId="0" borderId="0" xfId="49" applyNumberFormat="1" applyFont="1" applyAlignment="1">
      <alignment vertical="center"/>
    </xf>
    <xf numFmtId="181" fontId="33" fillId="0" borderId="0" xfId="49" applyNumberFormat="1" applyFont="1" applyAlignment="1">
      <alignment horizontal="right" vertical="center"/>
    </xf>
    <xf numFmtId="0" fontId="33" fillId="0" borderId="0" xfId="49" applyFont="1" applyAlignment="1">
      <alignment horizontal="right" vertical="center"/>
    </xf>
    <xf numFmtId="0" fontId="34" fillId="0" borderId="0" xfId="49" applyFont="1" applyAlignment="1">
      <alignment vertical="center" wrapText="1"/>
    </xf>
    <xf numFmtId="0" fontId="34" fillId="0" borderId="0" xfId="49" applyFont="1" applyAlignment="1">
      <alignment horizontal="left" vertical="center" indent="1"/>
    </xf>
    <xf numFmtId="176" fontId="35" fillId="0" borderId="56" xfId="49" applyNumberFormat="1" applyFont="1" applyBorder="1" applyAlignment="1">
      <alignment horizontal="right" vertical="center"/>
    </xf>
    <xf numFmtId="176" fontId="35" fillId="0" borderId="57" xfId="49" applyNumberFormat="1" applyFont="1" applyBorder="1" applyAlignment="1">
      <alignment horizontal="right" vertical="center"/>
    </xf>
    <xf numFmtId="181" fontId="35" fillId="0" borderId="58" xfId="49" applyNumberFormat="1" applyFont="1" applyBorder="1" applyAlignment="1">
      <alignment horizontal="right" vertical="center"/>
    </xf>
    <xf numFmtId="0" fontId="34" fillId="0" borderId="0" xfId="49" applyFont="1" applyAlignment="1">
      <alignment vertical="center"/>
    </xf>
    <xf numFmtId="176" fontId="35" fillId="0" borderId="59" xfId="49" applyNumberFormat="1" applyFont="1" applyBorder="1" applyAlignment="1">
      <alignment horizontal="right" vertical="center"/>
    </xf>
    <xf numFmtId="176" fontId="35" fillId="0" borderId="0" xfId="49" applyNumberFormat="1" applyFont="1" applyAlignment="1">
      <alignment horizontal="right" vertical="center"/>
    </xf>
    <xf numFmtId="181" fontId="35" fillId="0" borderId="60" xfId="49" applyNumberFormat="1" applyFont="1" applyBorder="1" applyAlignment="1">
      <alignment horizontal="right" vertical="center"/>
    </xf>
    <xf numFmtId="40" fontId="33" fillId="0" borderId="0" xfId="49" applyNumberFormat="1" applyFont="1" applyAlignment="1">
      <alignment vertical="center"/>
    </xf>
    <xf numFmtId="40" fontId="35" fillId="0" borderId="61" xfId="49" applyNumberFormat="1" applyFont="1" applyBorder="1" applyAlignment="1">
      <alignment horizontal="right" vertical="center"/>
    </xf>
    <xf numFmtId="40" fontId="35" fillId="0" borderId="62" xfId="49" applyNumberFormat="1" applyFont="1" applyBorder="1" applyAlignment="1">
      <alignment horizontal="right" vertical="center"/>
    </xf>
    <xf numFmtId="181" fontId="35" fillId="0" borderId="63" xfId="49" applyNumberFormat="1" applyFont="1" applyBorder="1" applyAlignment="1">
      <alignment horizontal="right" vertical="center"/>
    </xf>
    <xf numFmtId="176" fontId="11" fillId="0" borderId="59" xfId="49" applyNumberFormat="1" applyFont="1" applyBorder="1" applyAlignment="1">
      <alignment horizontal="right" vertical="center"/>
    </xf>
    <xf numFmtId="176" fontId="11" fillId="0" borderId="0" xfId="49" applyNumberFormat="1" applyFont="1" applyAlignment="1">
      <alignment horizontal="right" vertical="center"/>
    </xf>
    <xf numFmtId="181" fontId="11" fillId="0" borderId="60" xfId="49" applyNumberFormat="1" applyFont="1" applyBorder="1" applyAlignment="1">
      <alignment horizontal="right" vertical="center"/>
    </xf>
    <xf numFmtId="176" fontId="11" fillId="0" borderId="59" xfId="49" applyNumberFormat="1" applyFont="1" applyBorder="1" applyAlignment="1">
      <alignment horizontal="right" vertical="center" indent="1"/>
    </xf>
    <xf numFmtId="176" fontId="11" fillId="0" borderId="0" xfId="49" applyNumberFormat="1" applyFont="1" applyAlignment="1">
      <alignment horizontal="right" vertical="center" indent="1"/>
    </xf>
    <xf numFmtId="0" fontId="11" fillId="0" borderId="0" xfId="49" applyFont="1" applyAlignment="1">
      <alignment vertical="center"/>
    </xf>
    <xf numFmtId="176" fontId="11" fillId="0" borderId="64" xfId="49" applyNumberFormat="1" applyFont="1" applyBorder="1" applyAlignment="1">
      <alignment horizontal="right" vertical="center"/>
    </xf>
    <xf numFmtId="176" fontId="11" fillId="0" borderId="65" xfId="49" applyNumberFormat="1" applyFont="1" applyBorder="1" applyAlignment="1">
      <alignment horizontal="right" vertical="center"/>
    </xf>
    <xf numFmtId="181" fontId="11" fillId="0" borderId="66" xfId="49" applyNumberFormat="1" applyFont="1" applyBorder="1" applyAlignment="1">
      <alignment horizontal="right" vertical="center"/>
    </xf>
    <xf numFmtId="181" fontId="20" fillId="0" borderId="0" xfId="49" applyNumberFormat="1" applyFont="1" applyAlignment="1">
      <alignment vertical="center"/>
    </xf>
    <xf numFmtId="0" fontId="11" fillId="8" borderId="0" xfId="49" applyFont="1" applyFill="1" applyAlignment="1">
      <alignment horizontal="center"/>
    </xf>
    <xf numFmtId="180" fontId="20" fillId="9" borderId="0" xfId="49" applyNumberFormat="1" applyFont="1" applyFill="1" applyAlignment="1">
      <alignment horizontal="left" vertical="center" wrapText="1" indent="2"/>
    </xf>
    <xf numFmtId="180" fontId="20" fillId="9" borderId="67" xfId="49" applyNumberFormat="1" applyFont="1" applyFill="1" applyBorder="1" applyAlignment="1">
      <alignment horizontal="left" vertical="center" wrapText="1" indent="2"/>
    </xf>
    <xf numFmtId="180" fontId="20" fillId="9" borderId="68" xfId="49" applyNumberFormat="1" applyFont="1" applyFill="1" applyBorder="1" applyAlignment="1">
      <alignment horizontal="left" vertical="center" wrapText="1" indent="2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1104295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1235" cy="531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zoomScale="150" zoomScaleNormal="150" topLeftCell="A13" workbookViewId="0">
      <selection activeCell="B31" sqref="B31"/>
    </sheetView>
  </sheetViews>
  <sheetFormatPr defaultColWidth="9.18333333333333" defaultRowHeight="11.25" outlineLevelCol="7"/>
  <cols>
    <col min="1" max="1" width="15.1833333333333" style="124" customWidth="1"/>
    <col min="2" max="2" width="23.45" style="124" customWidth="1"/>
    <col min="3" max="3" width="4.81666666666667" style="124" customWidth="1"/>
    <col min="4" max="4" width="15.1833333333333" style="124" customWidth="1"/>
    <col min="5" max="5" width="11.8166666666667" style="124" customWidth="1"/>
    <col min="6" max="6" width="15.8333333333333" style="125" customWidth="1"/>
    <col min="7" max="7" width="9.18333333333333" style="125"/>
    <col min="8" max="8" width="9.18333333333333" style="124"/>
    <col min="9" max="9" width="9.18333333333333" style="124" customWidth="1"/>
    <col min="10" max="16384" width="9.18333333333333" style="124"/>
  </cols>
  <sheetData>
    <row r="1" ht="19" customHeight="1" spans="1:8">
      <c r="B1" s="126" t="s">
        <v>0</v>
      </c>
      <c r="C1" s="126"/>
      <c r="D1" s="126"/>
      <c r="E1" s="126"/>
      <c r="F1" s="126"/>
      <c r="G1" s="127"/>
      <c r="H1" s="125"/>
    </row>
    <row r="2" ht="14.25" customHeight="1" spans="1:8">
      <c r="B2" s="128" t="s">
        <v>1</v>
      </c>
      <c r="C2" s="128"/>
      <c r="D2" s="128"/>
      <c r="E2" s="128"/>
      <c r="F2" s="128"/>
      <c r="G2" s="127"/>
      <c r="H2" s="125"/>
    </row>
    <row r="3" s="118" customFormat="1" ht="18" customHeight="1" spans="1:8">
      <c r="B3" s="128" t="s">
        <v>2</v>
      </c>
      <c r="C3" s="128"/>
      <c r="D3" s="128"/>
      <c r="E3" s="128"/>
      <c r="F3" s="128"/>
      <c r="G3" s="127"/>
      <c r="H3" s="127"/>
    </row>
    <row r="4" s="118" customFormat="1" ht="14" customHeight="1" spans="1:8">
      <c r="G4" s="127"/>
      <c r="H4" s="127"/>
    </row>
    <row r="5" s="118" customFormat="1" ht="32" customHeight="1" spans="1:8">
      <c r="A5" s="129" t="s">
        <v>3</v>
      </c>
      <c r="B5" s="129"/>
      <c r="C5" s="129"/>
      <c r="D5" s="129"/>
      <c r="E5" s="129"/>
      <c r="F5" s="129"/>
      <c r="G5" s="127"/>
      <c r="H5" s="127"/>
    </row>
    <row r="6" s="118" customFormat="1" ht="12" customHeight="1" spans="1:8">
      <c r="A6" s="130"/>
      <c r="B6" s="130"/>
      <c r="C6" s="130"/>
      <c r="D6" s="130"/>
      <c r="E6" s="130"/>
      <c r="F6" s="130"/>
      <c r="G6" s="127"/>
      <c r="H6" s="127"/>
    </row>
    <row r="7" s="118" customFormat="1" ht="13" customHeight="1" spans="1:8">
      <c r="A7" s="131" t="s">
        <v>4</v>
      </c>
      <c r="B7" s="131"/>
      <c r="C7" s="131"/>
      <c r="D7" s="131"/>
      <c r="E7" s="131"/>
      <c r="G7" s="127"/>
      <c r="H7" s="127"/>
    </row>
    <row r="8" s="119" customFormat="1" ht="13" customHeight="1" spans="1:8">
      <c r="A8" s="132" t="s">
        <v>5</v>
      </c>
      <c r="B8" s="133" t="s">
        <v>6</v>
      </c>
      <c r="C8" s="134"/>
      <c r="D8" s="132" t="s">
        <v>7</v>
      </c>
      <c r="E8" s="132"/>
      <c r="F8" s="133" t="s">
        <v>8</v>
      </c>
      <c r="G8" s="135"/>
    </row>
    <row r="9" s="119" customFormat="1" ht="13" customHeight="1" spans="1:8">
      <c r="A9" s="132" t="s">
        <v>9</v>
      </c>
      <c r="B9" s="133" t="s">
        <v>10</v>
      </c>
      <c r="C9" s="136"/>
      <c r="D9" s="132" t="s">
        <v>11</v>
      </c>
      <c r="E9" s="132"/>
      <c r="F9" s="133" t="s">
        <v>12</v>
      </c>
      <c r="G9" s="135"/>
    </row>
    <row r="10" s="118" customFormat="1" ht="13" customHeight="1" spans="1:8">
      <c r="A10" s="132" t="s">
        <v>13</v>
      </c>
      <c r="B10" s="137" t="s">
        <v>14</v>
      </c>
      <c r="C10" s="136"/>
      <c r="D10" s="132" t="s">
        <v>15</v>
      </c>
      <c r="E10" s="132"/>
      <c r="F10" s="138">
        <f ca="1">TODAY()</f>
        <v>46226</v>
      </c>
      <c r="G10" s="127"/>
    </row>
    <row r="11" s="119" customFormat="1" ht="12" customHeight="1" spans="1:8">
      <c r="A11" s="139"/>
      <c r="B11" s="137"/>
      <c r="D11" s="132" t="s">
        <v>16</v>
      </c>
      <c r="E11" s="132"/>
      <c r="F11" s="138">
        <v>46099</v>
      </c>
      <c r="G11" s="135"/>
    </row>
    <row r="12" s="118" customFormat="1" ht="12" customHeight="1" spans="1:8">
      <c r="A12" s="140"/>
      <c r="B12" s="140"/>
      <c r="C12" s="140"/>
      <c r="D12" s="140"/>
      <c r="E12" s="141"/>
      <c r="G12" s="127"/>
    </row>
    <row r="13" ht="12"/>
    <row r="14" s="120" customFormat="1" ht="28" customHeight="1" spans="1:8">
      <c r="A14" s="142" t="s">
        <v>17</v>
      </c>
      <c r="B14" s="143"/>
      <c r="C14" s="143"/>
      <c r="D14" s="143"/>
      <c r="E14" s="143" t="str">
        <f>"Amount "&amp;TW!C6</f>
        <v>Amount (NTD)</v>
      </c>
      <c r="F14" s="144" t="s">
        <v>18</v>
      </c>
      <c r="G14" s="145"/>
    </row>
    <row r="15" s="121" customFormat="1" ht="16" customHeight="1" spans="1:8">
      <c r="A15" s="146" t="s">
        <v>19</v>
      </c>
      <c r="B15" s="147"/>
      <c r="C15" s="147"/>
      <c r="D15" s="147"/>
      <c r="E15" s="148">
        <f>SUM(E16:E22)</f>
        <v>0</v>
      </c>
      <c r="F15" s="149">
        <f>SUM(F16:F22)</f>
        <v>0</v>
      </c>
      <c r="G15" s="150"/>
    </row>
    <row r="16" s="122" customFormat="1" ht="12.75" spans="1:8">
      <c r="A16" s="151" t="str">
        <f>"- Labor cost for "&amp;TW!B9&amp;"  -  "&amp;MONTH(TW!$B$2)&amp;"-"&amp;YEAR(TW!$B$2)</f>
        <v>- Labor cost for 0  -  1-1900</v>
      </c>
      <c r="B16" s="152"/>
      <c r="C16" s="152"/>
      <c r="D16" s="152"/>
      <c r="E16" s="153">
        <f>TW!J9+TW!Z9</f>
        <v>0</v>
      </c>
      <c r="F16" s="154">
        <f t="shared" ref="F16:F21" si="0">E16/$B$31</f>
        <v>0</v>
      </c>
      <c r="G16" s="155"/>
    </row>
    <row r="17" s="122" customFormat="1" ht="12.75" spans="1:7">
      <c r="A17" s="151" t="str">
        <f>"- Labor cost for "&amp;TW!B10&amp;"  -  "&amp;MONTH(TW!$B$2)&amp;"-"&amp;YEAR(TW!$B$2)</f>
        <v>- Labor cost for 0  -  1-1900</v>
      </c>
      <c r="B17" s="152"/>
      <c r="C17" s="152"/>
      <c r="D17" s="152"/>
      <c r="E17" s="153">
        <f>TW!J10+TW!Z10</f>
        <v>0</v>
      </c>
      <c r="F17" s="154">
        <f t="shared" si="0"/>
        <v>0</v>
      </c>
      <c r="G17" s="155"/>
    </row>
    <row r="18" s="122" customFormat="1" ht="12.75" spans="1:7">
      <c r="A18" s="151" t="str">
        <f>"- Labor cost for "&amp;TW!B11&amp;"  -  "&amp;MONTH(TW!$B$2)&amp;"-"&amp;YEAR(TW!$B$2)</f>
        <v>- Labor cost for 0  -  1-1900</v>
      </c>
      <c r="B18" s="152"/>
      <c r="C18" s="152"/>
      <c r="D18" s="152"/>
      <c r="E18" s="153">
        <f>TW!J11+TW!Z11</f>
        <v>0</v>
      </c>
      <c r="F18" s="154">
        <f t="shared" si="0"/>
        <v>0</v>
      </c>
      <c r="G18" s="155"/>
    </row>
    <row r="19" ht="12.75" spans="1:7">
      <c r="A19" s="151" t="str">
        <f>"- "&amp;+"Expense claim for "&amp;TW!B9</f>
        <v>- Expense claim for 0</v>
      </c>
      <c r="B19" s="152"/>
      <c r="C19" s="152"/>
      <c r="D19" s="152"/>
      <c r="E19" s="153">
        <f>TW!AB9</f>
        <v>0</v>
      </c>
      <c r="F19" s="154">
        <f t="shared" si="0"/>
        <v>0</v>
      </c>
      <c r="G19" s="156"/>
    </row>
    <row r="20" ht="12.75" spans="1:7">
      <c r="A20" s="151" t="str">
        <f>"- "&amp;+"Expense claim for "&amp;TW!B10</f>
        <v>- Expense claim for 0</v>
      </c>
      <c r="B20" s="152"/>
      <c r="C20" s="152"/>
      <c r="D20" s="157"/>
      <c r="E20" s="153">
        <f>TW!AB10</f>
        <v>0</v>
      </c>
      <c r="F20" s="154">
        <f t="shared" si="0"/>
        <v>0</v>
      </c>
      <c r="G20" s="156"/>
    </row>
    <row r="21" ht="12.75" spans="1:7">
      <c r="A21" s="151" t="str">
        <f>"- "&amp;+"Expense claim for "&amp;TW!B11</f>
        <v>- Expense claim for 0</v>
      </c>
      <c r="B21" s="152"/>
      <c r="C21" s="152"/>
      <c r="D21" s="157"/>
      <c r="E21" s="153">
        <f>TW!AB11</f>
        <v>0</v>
      </c>
      <c r="F21" s="154">
        <f t="shared" si="0"/>
        <v>0</v>
      </c>
      <c r="G21" s="156"/>
    </row>
    <row r="22" ht="12.75" spans="1:7">
      <c r="A22" s="158"/>
      <c r="B22" s="159"/>
      <c r="C22" s="159"/>
      <c r="D22" s="159"/>
      <c r="E22" s="160"/>
      <c r="F22" s="154"/>
      <c r="G22" s="156"/>
    </row>
    <row r="23" s="123" customFormat="1" ht="16" customHeight="1" spans="1:7">
      <c r="A23" s="146" t="s">
        <v>20</v>
      </c>
      <c r="B23" s="147"/>
      <c r="C23" s="147"/>
      <c r="D23" s="147"/>
      <c r="E23" s="148">
        <f>SUM(E24:E25)</f>
        <v>13500</v>
      </c>
      <c r="F23" s="161">
        <f>SUM(F24:F25)</f>
        <v>431.341600181483</v>
      </c>
      <c r="G23" s="162"/>
    </row>
    <row r="24" ht="12.75" spans="1:7">
      <c r="A24" s="163" t="str">
        <f>"- "&amp;+"Management Fee - "&amp;MONTH(TW!B2)&amp;"-"&amp;YEAR(TW!B2)</f>
        <v>- Management Fee - 1-1900</v>
      </c>
      <c r="B24" s="164"/>
      <c r="C24" s="164"/>
      <c r="D24" s="164"/>
      <c r="E24" s="160">
        <f>TW!G6</f>
        <v>13500</v>
      </c>
      <c r="F24" s="154">
        <f>E24/$B$31</f>
        <v>431.341600181483</v>
      </c>
      <c r="G24" s="156"/>
    </row>
    <row r="25" ht="12.75" spans="1:7">
      <c r="A25" s="163"/>
      <c r="B25" s="164"/>
      <c r="C25" s="164"/>
      <c r="D25" s="164"/>
      <c r="E25" s="160"/>
      <c r="F25" s="154"/>
      <c r="G25" s="156"/>
    </row>
    <row r="26" ht="12.75" spans="1:7">
      <c r="A26" s="163"/>
      <c r="B26" s="164"/>
      <c r="C26" s="164"/>
      <c r="D26" s="164"/>
      <c r="E26" s="160"/>
      <c r="F26" s="154"/>
      <c r="G26" s="156"/>
    </row>
    <row r="27" ht="14.25" spans="1:7">
      <c r="A27" s="165"/>
      <c r="B27" s="166"/>
      <c r="C27" s="166"/>
      <c r="D27" s="166"/>
      <c r="E27" s="167"/>
      <c r="F27" s="168"/>
      <c r="G27" s="156"/>
    </row>
    <row r="28" s="121" customFormat="1" ht="15" spans="1:7">
      <c r="A28" s="169" t="s">
        <v>21</v>
      </c>
      <c r="B28" s="170"/>
      <c r="C28" s="170"/>
      <c r="D28" s="170"/>
      <c r="E28" s="171">
        <f>E15+E23</f>
        <v>13500</v>
      </c>
      <c r="F28" s="172">
        <f>F15+F23</f>
        <v>431.341600181483</v>
      </c>
      <c r="G28" s="150"/>
    </row>
    <row r="29" s="121" customFormat="1" ht="14.25" spans="1:7">
      <c r="A29" s="173"/>
      <c r="B29" s="173"/>
      <c r="C29" s="174"/>
      <c r="D29" s="174"/>
      <c r="E29" s="175"/>
      <c r="F29" s="176"/>
      <c r="G29" s="150"/>
    </row>
    <row r="30" s="121" customFormat="1" ht="15" spans="1:7">
      <c r="A30" s="177"/>
      <c r="B30" s="177"/>
      <c r="C30" s="177"/>
      <c r="D30" s="177"/>
      <c r="E30" s="175"/>
      <c r="F30" s="176"/>
      <c r="G30" s="150"/>
    </row>
    <row r="31" ht="25.5" spans="1:7">
      <c r="A31" s="178" t="str">
        <f>"*FX rate  USD:  "&amp;TW!C6</f>
        <v>*FX rate  USD:  (NTD)</v>
      </c>
      <c r="B31" s="179">
        <v>31.2977</v>
      </c>
      <c r="C31" s="175"/>
      <c r="D31" s="180" t="s">
        <v>22</v>
      </c>
      <c r="E31" s="181"/>
      <c r="F31" s="182">
        <f>F28</f>
        <v>431.341600181483</v>
      </c>
      <c r="G31" s="156"/>
    </row>
    <row r="32" s="122" customFormat="1" ht="16" customHeight="1" spans="1:7">
      <c r="A32" s="183"/>
      <c r="B32" s="183"/>
      <c r="C32" s="175"/>
      <c r="D32" s="184" t="s">
        <v>23</v>
      </c>
      <c r="E32" s="185"/>
      <c r="F32" s="186">
        <f>TW!E22</f>
        <v>0</v>
      </c>
      <c r="G32" s="155"/>
    </row>
    <row r="33" s="122" customFormat="1" ht="14.25" spans="1:8">
      <c r="A33" s="183"/>
      <c r="B33" s="183"/>
      <c r="C33" s="175"/>
      <c r="D33" s="184" t="s">
        <v>24</v>
      </c>
      <c r="E33" s="185"/>
      <c r="F33" s="186">
        <f>TW!E23</f>
        <v>0</v>
      </c>
      <c r="G33" s="155"/>
    </row>
    <row r="34" ht="14.25" spans="1:8">
      <c r="A34" s="183"/>
      <c r="B34" s="183"/>
      <c r="C34" s="175"/>
      <c r="D34" s="184" t="s">
        <v>25</v>
      </c>
      <c r="E34" s="185"/>
      <c r="F34" s="186">
        <f>TW!E24</f>
        <v>0</v>
      </c>
      <c r="G34" s="156"/>
    </row>
    <row r="35" ht="15" spans="1:8">
      <c r="A35" s="183"/>
      <c r="B35" s="183"/>
      <c r="C35" s="187"/>
      <c r="D35" s="188" t="s">
        <v>26</v>
      </c>
      <c r="E35" s="189"/>
      <c r="F35" s="190">
        <f>TW!E25</f>
        <v>10</v>
      </c>
      <c r="G35" s="156"/>
    </row>
    <row r="36" ht="14.25" spans="1:8">
      <c r="A36" s="183"/>
      <c r="B36" s="183"/>
      <c r="C36" s="175"/>
      <c r="D36" s="191" t="s">
        <v>27</v>
      </c>
      <c r="E36" s="192"/>
      <c r="F36" s="193">
        <f>SUM(F31:F35)</f>
        <v>441.341600181483</v>
      </c>
      <c r="G36" s="156"/>
    </row>
    <row r="37" ht="14.25" spans="1:8">
      <c r="A37" s="183"/>
      <c r="B37" s="183"/>
      <c r="C37" s="175"/>
      <c r="D37" s="194" t="s">
        <v>28</v>
      </c>
      <c r="E37" s="195"/>
      <c r="F37" s="193">
        <f>ROUNDUP(TW!F6/PN!B31,2)+0.01</f>
        <v>0.01</v>
      </c>
      <c r="G37" s="156"/>
    </row>
    <row r="38" ht="15" spans="1:8">
      <c r="A38" s="196"/>
      <c r="B38" s="196"/>
      <c r="C38" s="175"/>
      <c r="D38" s="197" t="s">
        <v>29</v>
      </c>
      <c r="E38" s="198"/>
      <c r="F38" s="199">
        <f>SUM(F36:F37)</f>
        <v>441.351600181483</v>
      </c>
      <c r="G38" s="156"/>
      <c r="H38" s="200"/>
    </row>
    <row r="39" ht="14.25" spans="1:8">
      <c r="A39" s="166"/>
      <c r="B39" s="166"/>
      <c r="C39" s="166"/>
      <c r="D39" s="166"/>
      <c r="E39" s="187"/>
      <c r="F39" s="187"/>
      <c r="G39" s="156"/>
    </row>
    <row r="40" ht="14.25" spans="1:8">
      <c r="A40" s="166"/>
      <c r="B40" s="166"/>
      <c r="C40" s="166"/>
      <c r="D40" s="166"/>
      <c r="E40" s="187"/>
      <c r="F40" s="187"/>
      <c r="G40" s="156"/>
    </row>
    <row r="41" spans="1:8">
      <c r="G41" s="156"/>
    </row>
    <row r="42" ht="19" customHeight="1" spans="1:8">
      <c r="A42" s="201" t="s">
        <v>30</v>
      </c>
      <c r="B42" s="201"/>
      <c r="C42" s="201"/>
      <c r="D42" s="201"/>
      <c r="E42" s="201"/>
      <c r="F42" s="201"/>
    </row>
    <row r="43" ht="61" customHeight="1" spans="1:8">
      <c r="A43" s="202" t="s">
        <v>31</v>
      </c>
      <c r="B43" s="202"/>
      <c r="C43" s="203"/>
      <c r="D43" s="204" t="s">
        <v>32</v>
      </c>
      <c r="E43" s="202"/>
      <c r="F43" s="202"/>
    </row>
    <row r="44" spans="1:8">
      <c r="A44" s="124" t="s">
        <v>33</v>
      </c>
    </row>
    <row r="45" ht="11" customHeight="1" spans="1:8">
      <c r="A45" s="121" t="s">
        <v>34</v>
      </c>
      <c r="B45" s="121"/>
      <c r="C45" s="121"/>
      <c r="D45" s="121"/>
      <c r="E45" s="121"/>
      <c r="F45" s="121"/>
    </row>
    <row r="46" spans="1:8">
      <c r="A46" s="121" t="s">
        <v>35</v>
      </c>
    </row>
    <row r="47" spans="1:8">
      <c r="A47" s="121" t="s">
        <v>36</v>
      </c>
    </row>
  </sheetData>
  <mergeCells count="31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D28"/>
    <mergeCell ref="D31:E31"/>
    <mergeCell ref="D32:E32"/>
    <mergeCell ref="D33:E33"/>
    <mergeCell ref="D34:E34"/>
    <mergeCell ref="D35:E35"/>
    <mergeCell ref="D36:E36"/>
    <mergeCell ref="D37:E37"/>
    <mergeCell ref="D38:E38"/>
    <mergeCell ref="A42:F42"/>
    <mergeCell ref="A43:C43"/>
    <mergeCell ref="D43:F43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"/>
  <sheetViews>
    <sheetView zoomScale="87" zoomScaleNormal="87" workbookViewId="0">
      <pane xSplit="3" ySplit="4" topLeftCell="D5" activePane="bottomRight" state="frozen"/>
      <selection/>
      <selection pane="topRight"/>
      <selection pane="bottomLeft"/>
      <selection pane="bottomRight" activeCell="H9" sqref="H9"/>
    </sheetView>
  </sheetViews>
  <sheetFormatPr defaultColWidth="8.81666666666667" defaultRowHeight="14.25"/>
  <cols>
    <col min="1" max="1" width="9.725" style="57" customWidth="1"/>
    <col min="2" max="2" width="19.45" customWidth="1"/>
    <col min="3" max="3" width="13.1833333333333" customWidth="1"/>
    <col min="5" max="5" width="9.725" customWidth="1"/>
    <col min="6" max="6" width="8.63333333333333" customWidth="1"/>
    <col min="7" max="8" width="9.725" customWidth="1"/>
    <col min="9" max="9" width="7.54166666666667" customWidth="1"/>
    <col min="10" max="11" width="9.725" customWidth="1"/>
    <col min="12" max="12" width="9.81666666666667" customWidth="1"/>
    <col min="13" max="14" width="9.725" customWidth="1"/>
    <col min="15" max="15" width="12.1833333333333" customWidth="1"/>
    <col min="16" max="16" width="8" customWidth="1"/>
    <col min="17" max="17" width="12.3666666666667" customWidth="1"/>
    <col min="18" max="18" width="7.26666666666667" customWidth="1"/>
    <col min="19" max="19" width="9.26666666666667" customWidth="1"/>
    <col min="20" max="20" width="5.81666666666667" customWidth="1"/>
    <col min="21" max="21" width="6.54166666666667" customWidth="1"/>
    <col min="22" max="22" width="6" customWidth="1"/>
    <col min="23" max="23" width="9.18333333333333" customWidth="1"/>
    <col min="24" max="24" width="10.0916666666667" customWidth="1"/>
    <col min="25" max="25" width="9.26666666666667" customWidth="1"/>
    <col min="26" max="27" width="8.63333333333333" customWidth="1"/>
    <col min="28" max="28" width="7.725" customWidth="1"/>
    <col min="29" max="29" width="7.54166666666667" customWidth="1"/>
  </cols>
  <sheetData>
    <row r="1" ht="15" spans="1:29">
      <c r="A1" s="57" t="str">
        <f ca="1">MID(CELL("filename",A1),FIND("]",CELL("filename",A1))+1,256)</f>
        <v>TW</v>
      </c>
    </row>
    <row r="2" ht="15" spans="1:29">
      <c r="A2" s="57" t="s">
        <v>37</v>
      </c>
      <c r="B2" s="60">
        <f>'TW-L'!C4</f>
        <v>0</v>
      </c>
      <c r="C2" s="96">
        <f>'TW-L'!C5</f>
        <v>0</v>
      </c>
      <c r="E2" s="61" t="s">
        <v>38</v>
      </c>
    </row>
    <row r="3" s="53" customFormat="1" customHeight="1" spans="1:29">
      <c r="E3" s="97" t="s">
        <v>39</v>
      </c>
      <c r="F3" s="68" t="s">
        <v>40</v>
      </c>
      <c r="G3" s="68" t="s">
        <v>41</v>
      </c>
      <c r="H3" s="68"/>
      <c r="I3" s="68"/>
      <c r="J3" s="98" t="s">
        <v>42</v>
      </c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00"/>
      <c r="Z3" s="65" t="s">
        <v>43</v>
      </c>
      <c r="AA3" s="66"/>
      <c r="AB3" s="101" t="s">
        <v>44</v>
      </c>
      <c r="AC3" s="102"/>
    </row>
    <row r="4" s="53" customFormat="1" ht="57.75" spans="1:29">
      <c r="E4" s="103"/>
      <c r="F4" s="104"/>
      <c r="G4" s="105" t="s">
        <v>45</v>
      </c>
      <c r="H4" s="72" t="s">
        <v>46</v>
      </c>
      <c r="I4" s="72" t="s">
        <v>47</v>
      </c>
      <c r="J4" s="104" t="s">
        <v>45</v>
      </c>
      <c r="K4" s="72" t="s">
        <v>48</v>
      </c>
      <c r="L4" s="72" t="s">
        <v>49</v>
      </c>
      <c r="M4" s="72" t="s">
        <v>50</v>
      </c>
      <c r="N4" s="72" t="s">
        <v>51</v>
      </c>
      <c r="O4" s="72" t="s">
        <v>52</v>
      </c>
      <c r="P4" s="72" t="s">
        <v>53</v>
      </c>
      <c r="Q4" s="72" t="s">
        <v>54</v>
      </c>
      <c r="R4" s="72" t="s">
        <v>55</v>
      </c>
      <c r="S4" s="72" t="s">
        <v>56</v>
      </c>
      <c r="T4" s="72" t="s">
        <v>57</v>
      </c>
      <c r="U4" s="72" t="s">
        <v>58</v>
      </c>
      <c r="V4" s="72" t="s">
        <v>59</v>
      </c>
      <c r="W4" s="72" t="s">
        <v>60</v>
      </c>
      <c r="X4" s="72" t="s">
        <v>61</v>
      </c>
      <c r="Y4" s="72" t="s">
        <v>62</v>
      </c>
      <c r="Z4" s="72" t="s">
        <v>45</v>
      </c>
      <c r="AA4" s="72" t="s">
        <v>63</v>
      </c>
      <c r="AB4" s="104" t="s">
        <v>45</v>
      </c>
      <c r="AC4" s="73" t="s">
        <v>64</v>
      </c>
    </row>
    <row r="5" s="54" customFormat="1" ht="15" spans="1:29">
      <c r="A5" s="57"/>
      <c r="E5" s="74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6"/>
    </row>
    <row r="6" s="55" customFormat="1" spans="1:29">
      <c r="A6" s="77"/>
      <c r="B6" s="55" t="s">
        <v>39</v>
      </c>
      <c r="C6" s="55" t="s">
        <v>65</v>
      </c>
      <c r="E6" s="86">
        <f t="shared" ref="E6:AC6" si="0">SUM(E9:E17)</f>
        <v>13500</v>
      </c>
      <c r="F6" s="87">
        <f t="shared" si="0"/>
        <v>0</v>
      </c>
      <c r="G6" s="87">
        <f t="shared" si="0"/>
        <v>13500</v>
      </c>
      <c r="H6" s="87">
        <f t="shared" si="0"/>
        <v>13500</v>
      </c>
      <c r="I6" s="87">
        <f t="shared" si="0"/>
        <v>0</v>
      </c>
      <c r="J6" s="87">
        <f t="shared" si="0"/>
        <v>0</v>
      </c>
      <c r="K6" s="87">
        <f t="shared" si="0"/>
        <v>0</v>
      </c>
      <c r="L6" s="87">
        <f t="shared" si="0"/>
        <v>0</v>
      </c>
      <c r="M6" s="87">
        <f t="shared" si="0"/>
        <v>0</v>
      </c>
      <c r="N6" s="87">
        <f t="shared" si="0"/>
        <v>0</v>
      </c>
      <c r="O6" s="87">
        <f t="shared" si="0"/>
        <v>0</v>
      </c>
      <c r="P6" s="87">
        <f t="shared" si="0"/>
        <v>0</v>
      </c>
      <c r="Q6" s="87">
        <f t="shared" si="0"/>
        <v>0</v>
      </c>
      <c r="R6" s="87">
        <f t="shared" si="0"/>
        <v>0</v>
      </c>
      <c r="S6" s="87">
        <f t="shared" si="0"/>
        <v>0</v>
      </c>
      <c r="T6" s="87">
        <f t="shared" si="0"/>
        <v>0</v>
      </c>
      <c r="U6" s="87">
        <f t="shared" si="0"/>
        <v>0</v>
      </c>
      <c r="V6" s="87">
        <f t="shared" si="0"/>
        <v>0</v>
      </c>
      <c r="W6" s="87">
        <f t="shared" si="0"/>
        <v>0</v>
      </c>
      <c r="X6" s="87">
        <f t="shared" si="0"/>
        <v>0</v>
      </c>
      <c r="Y6" s="87">
        <f t="shared" si="0"/>
        <v>0</v>
      </c>
      <c r="Z6" s="87">
        <f t="shared" si="0"/>
        <v>0</v>
      </c>
      <c r="AA6" s="87">
        <f t="shared" si="0"/>
        <v>0</v>
      </c>
      <c r="AB6" s="87">
        <f t="shared" si="0"/>
        <v>0</v>
      </c>
      <c r="AC6" s="88">
        <f t="shared" si="0"/>
        <v>0</v>
      </c>
    </row>
    <row r="7" s="56" customFormat="1" spans="1:29">
      <c r="A7" s="84"/>
      <c r="B7" s="85"/>
      <c r="C7" s="85"/>
      <c r="E7" s="86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8"/>
    </row>
    <row r="8" s="56" customFormat="1" spans="1:29">
      <c r="A8" s="84"/>
      <c r="E8" s="86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8"/>
    </row>
    <row r="9" s="56" customFormat="1" spans="1:29">
      <c r="A9" s="77"/>
      <c r="B9" s="56">
        <f>'TW-L'!C9</f>
        <v>0</v>
      </c>
      <c r="C9" s="56" t="str">
        <f>'TW EE'!D10</f>
        <v>CUS1516-0001</v>
      </c>
      <c r="E9" s="86">
        <f>SUM(F9:G9)+J9+Z9+AB9</f>
        <v>4500</v>
      </c>
      <c r="F9" s="106"/>
      <c r="G9" s="82">
        <f>SUM(H9:I9)</f>
        <v>4500</v>
      </c>
      <c r="H9" s="87">
        <f>MAX(4500,(J9+Z9)*12%)</f>
        <v>4500</v>
      </c>
      <c r="I9" s="87">
        <f>IF(AB9&gt;0,1500,0)</f>
        <v>0</v>
      </c>
      <c r="J9" s="87">
        <f>SUM(K9:Y9)</f>
        <v>0</v>
      </c>
      <c r="K9" s="82">
        <f>'TW-L'!N9</f>
        <v>0</v>
      </c>
      <c r="L9" s="87">
        <v>0</v>
      </c>
      <c r="M9" s="87">
        <f>'TW-L'!AC9</f>
        <v>0</v>
      </c>
      <c r="N9" s="87">
        <f>'TW-L'!O9</f>
        <v>0</v>
      </c>
      <c r="O9" s="87">
        <f>'TW-L'!P9</f>
        <v>0</v>
      </c>
      <c r="P9" s="87">
        <f>'TW-L'!Q9</f>
        <v>0</v>
      </c>
      <c r="Q9" s="87">
        <f>'TW-L'!R9</f>
        <v>0</v>
      </c>
      <c r="R9" s="87">
        <f>'TW-L'!R9</f>
        <v>0</v>
      </c>
      <c r="S9" s="87">
        <f>'TW-L'!U9</f>
        <v>0</v>
      </c>
      <c r="T9" s="87">
        <f>'TW-L'!V9</f>
        <v>0</v>
      </c>
      <c r="U9" s="87">
        <f>'TW-L'!W9</f>
        <v>0</v>
      </c>
      <c r="V9" s="87">
        <f>'TW-L'!X9</f>
        <v>0</v>
      </c>
      <c r="W9" s="87">
        <f>'TW-L'!Y9</f>
        <v>0</v>
      </c>
      <c r="X9" s="87">
        <f>'TW-L'!AA9</f>
        <v>0</v>
      </c>
      <c r="Y9" s="87">
        <f>'TW-L'!AB9</f>
        <v>0</v>
      </c>
      <c r="Z9" s="87">
        <f>SUM(AA9:AA9)</f>
        <v>0</v>
      </c>
      <c r="AA9" s="87">
        <f>'TW-L'!BL9</f>
        <v>0</v>
      </c>
      <c r="AB9" s="87">
        <f>SUM(AC9:AC9)</f>
        <v>0</v>
      </c>
      <c r="AC9" s="88">
        <f>'TW-L'!Z9</f>
        <v>0</v>
      </c>
    </row>
    <row r="10" s="56" customFormat="1" spans="1:29">
      <c r="A10" s="77"/>
      <c r="B10" s="56">
        <f>'TW-L'!C10</f>
        <v>0</v>
      </c>
      <c r="C10" s="56" t="str">
        <f>'TW EE'!D11</f>
        <v>CUS1516-0002</v>
      </c>
      <c r="E10" s="86">
        <f>SUM(F10:G10)+J10+Z10+AB10</f>
        <v>4500</v>
      </c>
      <c r="F10" s="106"/>
      <c r="G10" s="82">
        <f>SUM(H10:I10)</f>
        <v>4500</v>
      </c>
      <c r="H10" s="87">
        <f>MAX(4500,(J10+Z10)*12%)</f>
        <v>4500</v>
      </c>
      <c r="I10" s="87">
        <f>IF(AB10&gt;0,1500,0)</f>
        <v>0</v>
      </c>
      <c r="J10" s="87">
        <f>SUM(K10:Y10)</f>
        <v>0</v>
      </c>
      <c r="K10" s="82">
        <f>'TW-L'!N10</f>
        <v>0</v>
      </c>
      <c r="L10" s="87">
        <v>0</v>
      </c>
      <c r="M10" s="87">
        <f>'TW-L'!AC10</f>
        <v>0</v>
      </c>
      <c r="N10" s="87">
        <f>'TW-L'!O10</f>
        <v>0</v>
      </c>
      <c r="O10" s="87">
        <f>'TW-L'!P10</f>
        <v>0</v>
      </c>
      <c r="P10" s="87">
        <f>'TW-L'!Q10</f>
        <v>0</v>
      </c>
      <c r="Q10" s="87">
        <f>'TW-L'!R10</f>
        <v>0</v>
      </c>
      <c r="R10" s="87">
        <f>'TW-L'!R10</f>
        <v>0</v>
      </c>
      <c r="S10" s="87">
        <f>'TW-L'!U10</f>
        <v>0</v>
      </c>
      <c r="T10" s="87">
        <f>'TW-L'!V10</f>
        <v>0</v>
      </c>
      <c r="U10" s="87">
        <f>'TW-L'!W10</f>
        <v>0</v>
      </c>
      <c r="V10" s="87">
        <f>'TW-L'!X10</f>
        <v>0</v>
      </c>
      <c r="W10" s="87">
        <f>'TW-L'!Y10</f>
        <v>0</v>
      </c>
      <c r="X10" s="87">
        <f>'TW-L'!AA10</f>
        <v>0</v>
      </c>
      <c r="Y10" s="87">
        <f>'TW-L'!AB10</f>
        <v>0</v>
      </c>
      <c r="Z10" s="87">
        <f>SUM(AA10:AA10)</f>
        <v>0</v>
      </c>
      <c r="AA10" s="87">
        <f>'TW-L'!BL10</f>
        <v>0</v>
      </c>
      <c r="AB10" s="87">
        <f>SUM(AC10:AC10)</f>
        <v>0</v>
      </c>
      <c r="AC10" s="88">
        <f>'TW-L'!Z10</f>
        <v>0</v>
      </c>
    </row>
    <row r="11" s="56" customFormat="1" spans="1:29">
      <c r="A11" s="77"/>
      <c r="B11" s="56">
        <f>'TW-L'!C11</f>
        <v>0</v>
      </c>
      <c r="C11" s="56" t="str">
        <f>'TW EE'!D12</f>
        <v>CUS1516-0003</v>
      </c>
      <c r="E11" s="86">
        <f>SUM(F11:G11)+J11+Z11+AB11</f>
        <v>4500</v>
      </c>
      <c r="F11" s="106"/>
      <c r="G11" s="82">
        <f>SUM(H11:I11)</f>
        <v>4500</v>
      </c>
      <c r="H11" s="87">
        <f>MAX(4500,(J11+Z11)*12%)</f>
        <v>4500</v>
      </c>
      <c r="I11" s="87">
        <f>IF(AB11&gt;0,1500,0)</f>
        <v>0</v>
      </c>
      <c r="J11" s="87">
        <f>SUM(K11:Y11)</f>
        <v>0</v>
      </c>
      <c r="K11" s="82">
        <f>'TW-L'!N11</f>
        <v>0</v>
      </c>
      <c r="L11" s="87">
        <v>0</v>
      </c>
      <c r="M11" s="87">
        <f>'TW-L'!AC11</f>
        <v>0</v>
      </c>
      <c r="N11" s="87">
        <f>'TW-L'!O11</f>
        <v>0</v>
      </c>
      <c r="O11" s="87">
        <f>'TW-L'!P11</f>
        <v>0</v>
      </c>
      <c r="P11" s="87">
        <f>'TW-L'!Q11</f>
        <v>0</v>
      </c>
      <c r="Q11" s="87">
        <f>'TW-L'!R11</f>
        <v>0</v>
      </c>
      <c r="R11" s="87">
        <f>'TW-L'!R11</f>
        <v>0</v>
      </c>
      <c r="S11" s="87">
        <f>'TW-L'!U11</f>
        <v>0</v>
      </c>
      <c r="T11" s="87">
        <f>'TW-L'!V11</f>
        <v>0</v>
      </c>
      <c r="U11" s="87">
        <f>'TW-L'!W11</f>
        <v>0</v>
      </c>
      <c r="V11" s="87">
        <f>'TW-L'!X11</f>
        <v>0</v>
      </c>
      <c r="W11" s="87">
        <f>'TW-L'!Y11</f>
        <v>0</v>
      </c>
      <c r="X11" s="87">
        <f>'TW-L'!AA11</f>
        <v>0</v>
      </c>
      <c r="Y11" s="87">
        <f>'TW-L'!AB11</f>
        <v>0</v>
      </c>
      <c r="Z11" s="87">
        <f>SUM(AA11:AA11)</f>
        <v>0</v>
      </c>
      <c r="AA11" s="87">
        <f>'TW-L'!BL11</f>
        <v>0</v>
      </c>
      <c r="AB11" s="87">
        <f>SUM(AC11:AC11)</f>
        <v>0</v>
      </c>
      <c r="AC11" s="88">
        <f>'TW-L'!Z11</f>
        <v>0</v>
      </c>
    </row>
    <row r="12" s="56" customFormat="1" spans="1:29">
      <c r="A12" s="77"/>
      <c r="E12" s="86"/>
      <c r="F12" s="87"/>
      <c r="G12" s="82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="56" customFormat="1" spans="1:29">
      <c r="A13" s="77"/>
      <c r="E13" s="86"/>
      <c r="F13" s="87"/>
      <c r="G13" s="82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="56" customFormat="1" spans="1:29">
      <c r="A14" s="77"/>
      <c r="E14" s="86"/>
      <c r="F14" s="87"/>
      <c r="G14" s="82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="56" customFormat="1" spans="1:29">
      <c r="A15" s="77"/>
      <c r="E15" s="86"/>
      <c r="F15" s="87"/>
      <c r="G15" s="82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="56" customFormat="1" spans="1:29">
      <c r="A16" s="77"/>
      <c r="E16" s="86"/>
      <c r="F16" s="87"/>
      <c r="G16" s="82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="56" customFormat="1" ht="15" spans="1:29">
      <c r="A17" s="77"/>
      <c r="E17" s="107"/>
      <c r="F17" s="108"/>
      <c r="G17" s="109"/>
      <c r="H17" s="108"/>
      <c r="I17" s="108"/>
      <c r="J17" s="108"/>
      <c r="K17" s="108"/>
      <c r="L17" s="108"/>
      <c r="M17" s="108"/>
      <c r="N17" s="108"/>
      <c r="O17" s="108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5"/>
    </row>
    <row r="20" ht="15"/>
    <row r="21" spans="1:29">
      <c r="A21" s="57" t="s">
        <v>66</v>
      </c>
      <c r="B21" s="110"/>
      <c r="C21" s="110"/>
      <c r="D21" s="110"/>
      <c r="E21" s="111">
        <f>SUM(E22:E26)</f>
        <v>10</v>
      </c>
      <c r="F21" s="112">
        <v>0</v>
      </c>
      <c r="G21" s="113"/>
    </row>
    <row r="22" spans="1:29">
      <c r="B22" s="110" t="s">
        <v>23</v>
      </c>
      <c r="C22" s="110"/>
      <c r="D22" s="110"/>
      <c r="E22" s="114"/>
      <c r="F22" s="115"/>
    </row>
    <row r="23" spans="1:29">
      <c r="B23" s="110" t="s">
        <v>24</v>
      </c>
      <c r="C23" s="110"/>
      <c r="D23" s="110"/>
      <c r="E23" s="114"/>
      <c r="F23" s="115">
        <v>0</v>
      </c>
    </row>
    <row r="24" spans="1:29">
      <c r="B24" s="110" t="s">
        <v>67</v>
      </c>
      <c r="C24" s="110"/>
      <c r="D24" s="110"/>
      <c r="E24" s="114"/>
      <c r="F24" s="115">
        <v>0</v>
      </c>
    </row>
    <row r="25" spans="1:29">
      <c r="B25" s="110" t="s">
        <v>68</v>
      </c>
      <c r="C25" s="110"/>
      <c r="D25" s="110"/>
      <c r="E25" s="114">
        <f>10</f>
        <v>10</v>
      </c>
      <c r="F25" s="115"/>
    </row>
    <row r="26" ht="15" spans="1:29">
      <c r="B26" s="110" t="s">
        <v>69</v>
      </c>
      <c r="C26" s="110"/>
      <c r="D26" s="110"/>
      <c r="E26" s="116">
        <v>0</v>
      </c>
      <c r="F26" s="117"/>
    </row>
  </sheetData>
  <mergeCells count="6">
    <mergeCell ref="G3:I3"/>
    <mergeCell ref="J3:Y3"/>
    <mergeCell ref="Z3:AA3"/>
    <mergeCell ref="AB3:AC3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zoomScale="87" zoomScaleNormal="87" workbookViewId="0">
      <pane xSplit="7" ySplit="6" topLeftCell="H7" activePane="bottomRight" state="frozen"/>
      <selection/>
      <selection pane="topRight"/>
      <selection pane="bottomLeft"/>
      <selection pane="bottomRight" activeCell="E28" sqref="E28"/>
    </sheetView>
  </sheetViews>
  <sheetFormatPr defaultColWidth="8.81666666666667" defaultRowHeight="14.25"/>
  <cols>
    <col min="1" max="1" width="13.3666666666667" style="57" customWidth="1"/>
    <col min="2" max="2" width="9.81666666666667" customWidth="1"/>
    <col min="3" max="3" width="10.45" customWidth="1"/>
    <col min="4" max="4" width="12.6333333333333" customWidth="1"/>
    <col min="5" max="5" width="8.18333333333333" customWidth="1"/>
    <col min="6" max="6" width="8.63333333333333" customWidth="1"/>
    <col min="7" max="7" width="9.45" customWidth="1"/>
    <col min="8" max="10" width="9.725" customWidth="1"/>
    <col min="11" max="11" width="10.1833333333333" customWidth="1"/>
    <col min="12" max="12" width="9.45" customWidth="1"/>
    <col min="13" max="13" width="10.3666666666667" customWidth="1"/>
    <col min="14" max="14" width="12.45" customWidth="1"/>
    <col min="15" max="15" width="8.18333333333333" customWidth="1"/>
    <col min="16" max="16" width="10.1833333333333" customWidth="1"/>
    <col min="17" max="17" width="13.3666666666667" customWidth="1"/>
    <col min="18" max="18" width="9.36666666666667" customWidth="1"/>
    <col min="19" max="19" width="9" customWidth="1"/>
    <col min="20" max="20" width="11.6333333333333" customWidth="1"/>
    <col min="21" max="21" width="8.36666666666667" customWidth="1"/>
    <col min="22" max="22" width="9.18333333333333" customWidth="1"/>
    <col min="23" max="23" width="10.1833333333333" customWidth="1"/>
    <col min="24" max="24" width="9.36666666666667" customWidth="1"/>
    <col min="25" max="26" width="7.63333333333333" customWidth="1"/>
    <col min="27" max="27" width="9.26666666666667" customWidth="1"/>
    <col min="28" max="28" width="9" customWidth="1"/>
    <col min="29" max="29" width="7.36666666666667" customWidth="1"/>
    <col min="30" max="31" width="7.725" customWidth="1"/>
    <col min="32" max="32" width="9.18333333333333" customWidth="1"/>
    <col min="33" max="33" width="7.725" customWidth="1"/>
  </cols>
  <sheetData>
    <row r="1" ht="15" spans="1:33">
      <c r="A1" s="57" t="str">
        <f ca="1">MID(CELL("filename",A1),FIND("]",CELL("filename",A1))+1,256)</f>
        <v>TW EE</v>
      </c>
      <c r="H1" s="58"/>
    </row>
    <row r="2" ht="15" spans="1:33">
      <c r="A2" s="59"/>
      <c r="B2" s="60"/>
      <c r="C2" s="60"/>
      <c r="D2" s="60"/>
      <c r="E2" s="60"/>
      <c r="F2" s="60"/>
      <c r="H2" s="61" t="s">
        <v>70</v>
      </c>
    </row>
    <row r="3" s="53" customFormat="1" spans="1:33">
      <c r="B3" s="62" t="s">
        <v>71</v>
      </c>
      <c r="C3" s="62" t="s">
        <v>72</v>
      </c>
      <c r="D3" s="62" t="s">
        <v>73</v>
      </c>
      <c r="E3" s="62" t="s">
        <v>74</v>
      </c>
      <c r="F3" s="63" t="s">
        <v>37</v>
      </c>
      <c r="G3" s="64"/>
      <c r="H3" s="62" t="s">
        <v>75</v>
      </c>
      <c r="I3" s="65" t="s">
        <v>42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68" t="s">
        <v>44</v>
      </c>
      <c r="Z3" s="68"/>
      <c r="AA3" s="65" t="s">
        <v>43</v>
      </c>
      <c r="AB3" s="66"/>
      <c r="AC3" s="66"/>
      <c r="AD3" s="66"/>
      <c r="AE3" s="67"/>
      <c r="AF3" s="68" t="s">
        <v>76</v>
      </c>
      <c r="AG3" s="69" t="s">
        <v>77</v>
      </c>
    </row>
    <row r="4" s="53" customFormat="1" ht="57.75" spans="1:33">
      <c r="B4" s="70"/>
      <c r="C4" s="70"/>
      <c r="D4" s="70"/>
      <c r="E4" s="70"/>
      <c r="F4" s="71" t="s">
        <v>78</v>
      </c>
      <c r="G4" s="71" t="s">
        <v>79</v>
      </c>
      <c r="H4" s="70"/>
      <c r="I4" s="72" t="s">
        <v>45</v>
      </c>
      <c r="J4" s="72" t="s">
        <v>48</v>
      </c>
      <c r="K4" s="72" t="s">
        <v>49</v>
      </c>
      <c r="L4" s="72" t="s">
        <v>50</v>
      </c>
      <c r="M4" s="72" t="s">
        <v>51</v>
      </c>
      <c r="N4" s="72" t="s">
        <v>52</v>
      </c>
      <c r="O4" s="72" t="s">
        <v>53</v>
      </c>
      <c r="P4" s="72" t="s">
        <v>80</v>
      </c>
      <c r="Q4" s="72" t="s">
        <v>55</v>
      </c>
      <c r="R4" s="72" t="s">
        <v>56</v>
      </c>
      <c r="S4" s="72" t="s">
        <v>57</v>
      </c>
      <c r="T4" s="72" t="s">
        <v>58</v>
      </c>
      <c r="U4" s="72" t="s">
        <v>59</v>
      </c>
      <c r="V4" s="72" t="s">
        <v>60</v>
      </c>
      <c r="W4" s="72" t="s">
        <v>61</v>
      </c>
      <c r="X4" s="72" t="s">
        <v>62</v>
      </c>
      <c r="Y4" s="72" t="s">
        <v>45</v>
      </c>
      <c r="Z4" s="72" t="s">
        <v>64</v>
      </c>
      <c r="AA4" s="72" t="s">
        <v>45</v>
      </c>
      <c r="AB4" s="72" t="s">
        <v>81</v>
      </c>
      <c r="AC4" s="72" t="s">
        <v>82</v>
      </c>
      <c r="AD4" s="72" t="s">
        <v>83</v>
      </c>
      <c r="AE4" s="72" t="s">
        <v>84</v>
      </c>
      <c r="AF4" s="72"/>
      <c r="AG4" s="73"/>
    </row>
    <row r="5" s="54" customFormat="1" customHeight="1" spans="1:33">
      <c r="A5" s="57"/>
      <c r="H5" s="74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6"/>
    </row>
    <row r="6" s="55" customFormat="1" spans="1:33">
      <c r="A6" s="77" t="s">
        <v>85</v>
      </c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</row>
    <row r="7" s="55" customFormat="1" spans="1:33">
      <c r="A7" s="77"/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3"/>
    </row>
    <row r="8" s="56" customFormat="1" spans="1:33">
      <c r="A8" s="84"/>
      <c r="B8" s="85"/>
      <c r="C8" s="85"/>
      <c r="D8" s="85"/>
      <c r="E8" s="85"/>
      <c r="F8" s="85"/>
      <c r="G8" s="85"/>
      <c r="H8" s="86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</row>
    <row r="9" s="56" customFormat="1" spans="1:33">
      <c r="A9" s="84"/>
      <c r="H9" s="86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</row>
    <row r="10" s="56" customFormat="1" spans="1:33">
      <c r="A10" s="77"/>
      <c r="B10" s="56" t="str">
        <f>PN!$B$9</f>
        <v>CUS1516</v>
      </c>
      <c r="C10" s="56" t="str">
        <f>PN!$B$8</f>
        <v>Coral Sea</v>
      </c>
      <c r="D10" s="56" t="s">
        <v>86</v>
      </c>
      <c r="E10" s="89">
        <f>'TW-L'!C9</f>
        <v>0</v>
      </c>
      <c r="F10" s="85">
        <f>'TW-L'!$C$4</f>
        <v>0</v>
      </c>
      <c r="G10" s="85">
        <f>'TW-L'!$C$5</f>
        <v>0</v>
      </c>
      <c r="H10" s="86">
        <f>I10+Y10+AA10+AF10+AG10</f>
        <v>0</v>
      </c>
      <c r="I10" s="87">
        <f>SUM(J10:X10)</f>
        <v>0</v>
      </c>
      <c r="J10" s="87">
        <f>'TW-L'!N9</f>
        <v>0</v>
      </c>
      <c r="K10" s="87">
        <v>0</v>
      </c>
      <c r="L10" s="87">
        <f>'TW-L'!AC9</f>
        <v>0</v>
      </c>
      <c r="M10" s="87">
        <f>'TW-L'!O9</f>
        <v>0</v>
      </c>
      <c r="N10" s="87">
        <f>'TW-L'!P9</f>
        <v>0</v>
      </c>
      <c r="O10" s="87">
        <f>'TW-L'!Q9</f>
        <v>0</v>
      </c>
      <c r="P10" s="87">
        <f>'TW-L'!R9</f>
        <v>0</v>
      </c>
      <c r="Q10" s="87">
        <f>'TW-L'!X9+'TW-L'!Y9</f>
        <v>0</v>
      </c>
      <c r="R10" s="87">
        <f>'TW-L'!U9</f>
        <v>0</v>
      </c>
      <c r="S10" s="87">
        <f>'TW-L'!V9</f>
        <v>0</v>
      </c>
      <c r="T10" s="87">
        <f>'TW-L'!W9</f>
        <v>0</v>
      </c>
      <c r="U10" s="87">
        <f>'TW-L'!X9</f>
        <v>0</v>
      </c>
      <c r="V10" s="87">
        <f>'TW-L'!Y9</f>
        <v>0</v>
      </c>
      <c r="W10" s="87">
        <f>'TW-L'!AA9</f>
        <v>0</v>
      </c>
      <c r="X10" s="87">
        <f>'TW-L'!AB9</f>
        <v>0</v>
      </c>
      <c r="Y10" s="87">
        <f>SUM(Z10:Z10)</f>
        <v>0</v>
      </c>
      <c r="Z10" s="87">
        <f>'TW-L'!Z9</f>
        <v>0</v>
      </c>
      <c r="AA10" s="87">
        <f>SUM(AB10:AE10)</f>
        <v>0</v>
      </c>
      <c r="AB10" s="87">
        <f>'TW-L'!AR9+'TW-L'!AS9</f>
        <v>0</v>
      </c>
      <c r="AC10" s="87">
        <f>'TW-L'!AT9+'TW-L'!AU9</f>
        <v>0</v>
      </c>
      <c r="AD10" s="87">
        <f>'TW-L'!AV9+'TW-L'!AW9</f>
        <v>0</v>
      </c>
      <c r="AE10" s="87">
        <f>'TW-L'!AY9</f>
        <v>0</v>
      </c>
      <c r="AF10" s="87">
        <v>0</v>
      </c>
      <c r="AG10" s="88">
        <f>'TW-L'!AQ9</f>
        <v>0</v>
      </c>
    </row>
    <row r="11" s="56" customFormat="1" spans="1:33">
      <c r="A11" s="77"/>
      <c r="B11" s="56" t="str">
        <f>PN!$B$9</f>
        <v>CUS1516</v>
      </c>
      <c r="C11" s="56" t="str">
        <f>PN!B8</f>
        <v>Coral Sea</v>
      </c>
      <c r="D11" s="56" t="s">
        <v>87</v>
      </c>
      <c r="E11" s="89">
        <f>'TW-L'!C10</f>
        <v>0</v>
      </c>
      <c r="F11" s="85">
        <f>'TW-L'!$C$4</f>
        <v>0</v>
      </c>
      <c r="G11" s="85">
        <f>'TW-L'!$C$5</f>
        <v>0</v>
      </c>
      <c r="H11" s="86">
        <f>I11+Y11+AA11+AF11+AG11</f>
        <v>0</v>
      </c>
      <c r="I11" s="87">
        <f>SUM(J11:X11)</f>
        <v>0</v>
      </c>
      <c r="J11" s="87">
        <f>'TW-L'!N10</f>
        <v>0</v>
      </c>
      <c r="K11" s="87">
        <v>0</v>
      </c>
      <c r="L11" s="87">
        <f>'TW-L'!AC10</f>
        <v>0</v>
      </c>
      <c r="M11" s="87">
        <f>'TW-L'!O10</f>
        <v>0</v>
      </c>
      <c r="N11" s="87">
        <f>'TW-L'!P10</f>
        <v>0</v>
      </c>
      <c r="O11" s="87">
        <f>'TW-L'!Q10</f>
        <v>0</v>
      </c>
      <c r="P11" s="87">
        <f>'TW-L'!R10</f>
        <v>0</v>
      </c>
      <c r="Q11" s="87">
        <f>'TW-L'!X10+'TW-L'!Y10</f>
        <v>0</v>
      </c>
      <c r="R11" s="87">
        <f>'TW-L'!U10</f>
        <v>0</v>
      </c>
      <c r="S11" s="87">
        <f>'TW-L'!V10</f>
        <v>0</v>
      </c>
      <c r="T11" s="87">
        <f>'TW-L'!W10</f>
        <v>0</v>
      </c>
      <c r="U11" s="87">
        <f>'TW-L'!X10</f>
        <v>0</v>
      </c>
      <c r="V11" s="87">
        <f>'TW-L'!Y10</f>
        <v>0</v>
      </c>
      <c r="W11" s="87">
        <f>'TW-L'!AA10</f>
        <v>0</v>
      </c>
      <c r="X11" s="87">
        <f>'TW-L'!AB10</f>
        <v>0</v>
      </c>
      <c r="Y11" s="87">
        <f>SUM(Z11:Z11)</f>
        <v>0</v>
      </c>
      <c r="Z11" s="87">
        <f>'TW-L'!Z10</f>
        <v>0</v>
      </c>
      <c r="AA11" s="87">
        <f>SUM(AB11:AE11)</f>
        <v>0</v>
      </c>
      <c r="AB11" s="87">
        <f>'TW-L'!AR10+'TW-L'!AS10</f>
        <v>0</v>
      </c>
      <c r="AC11" s="87">
        <f>'TW-L'!AT10+'TW-L'!AU10</f>
        <v>0</v>
      </c>
      <c r="AD11" s="87">
        <f>'TW-L'!AV10+'TW-L'!AW10</f>
        <v>0</v>
      </c>
      <c r="AE11" s="87">
        <f>'TW-L'!AY10</f>
        <v>0</v>
      </c>
      <c r="AF11" s="87">
        <v>0</v>
      </c>
      <c r="AG11" s="88">
        <f>'TW-L'!AQ10</f>
        <v>0</v>
      </c>
    </row>
    <row r="12" s="56" customFormat="1" spans="1:33">
      <c r="A12" s="77"/>
      <c r="B12" s="56" t="str">
        <f>PN!$B$9</f>
        <v>CUS1516</v>
      </c>
      <c r="C12" s="56" t="str">
        <f>PN!B9</f>
        <v>CUS1516</v>
      </c>
      <c r="D12" s="56" t="s">
        <v>88</v>
      </c>
      <c r="E12" s="89">
        <f>'TW-L'!C11</f>
        <v>0</v>
      </c>
      <c r="F12" s="85">
        <f>'TW-L'!$C$4</f>
        <v>0</v>
      </c>
      <c r="G12" s="85">
        <f>'TW-L'!$C$5</f>
        <v>0</v>
      </c>
      <c r="H12" s="86">
        <f>I12+Y12+AA12+AF12+AG12</f>
        <v>0</v>
      </c>
      <c r="I12" s="87">
        <f>SUM(J12:X12)</f>
        <v>0</v>
      </c>
      <c r="J12" s="87">
        <f>'TW-L'!N11</f>
        <v>0</v>
      </c>
      <c r="K12" s="87">
        <v>0</v>
      </c>
      <c r="L12" s="87">
        <f>'TW-L'!AC11</f>
        <v>0</v>
      </c>
      <c r="M12" s="87">
        <f>'TW-L'!O11</f>
        <v>0</v>
      </c>
      <c r="N12" s="87">
        <f>'TW-L'!P11</f>
        <v>0</v>
      </c>
      <c r="O12" s="87">
        <f>'TW-L'!Q11</f>
        <v>0</v>
      </c>
      <c r="P12" s="87">
        <f>'TW-L'!R11</f>
        <v>0</v>
      </c>
      <c r="Q12" s="87">
        <f>'TW-L'!X11+'TW-L'!Y11</f>
        <v>0</v>
      </c>
      <c r="R12" s="87">
        <f>'TW-L'!U11</f>
        <v>0</v>
      </c>
      <c r="S12" s="87">
        <f>'TW-L'!V11</f>
        <v>0</v>
      </c>
      <c r="T12" s="87">
        <f>'TW-L'!W11</f>
        <v>0</v>
      </c>
      <c r="U12" s="87">
        <f>'TW-L'!X11</f>
        <v>0</v>
      </c>
      <c r="V12" s="87">
        <f>'TW-L'!Y11</f>
        <v>0</v>
      </c>
      <c r="W12" s="87">
        <f>'TW-L'!AA11</f>
        <v>0</v>
      </c>
      <c r="X12" s="87">
        <f>'TW-L'!AB11</f>
        <v>0</v>
      </c>
      <c r="Y12" s="87">
        <f>SUM(Z12:Z12)</f>
        <v>0</v>
      </c>
      <c r="Z12" s="87">
        <f>'TW-L'!Z11</f>
        <v>0</v>
      </c>
      <c r="AA12" s="87">
        <f>SUM(AB12:AE12)</f>
        <v>0</v>
      </c>
      <c r="AB12" s="87">
        <f>'TW-L'!AR11+'TW-L'!AS11</f>
        <v>0</v>
      </c>
      <c r="AC12" s="87">
        <f>'TW-L'!AT11+'TW-L'!AU11</f>
        <v>0</v>
      </c>
      <c r="AD12" s="87">
        <f>'TW-L'!AV11+'TW-L'!AW11</f>
        <v>0</v>
      </c>
      <c r="AE12" s="87">
        <f>'TW-L'!AY11</f>
        <v>0</v>
      </c>
      <c r="AF12" s="87">
        <v>0</v>
      </c>
      <c r="AG12" s="88">
        <f>'TW-L'!AQ11</f>
        <v>0</v>
      </c>
    </row>
    <row r="13" s="56" customFormat="1" spans="1:33">
      <c r="A13" s="77"/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8"/>
    </row>
    <row r="14" s="56" customFormat="1" spans="1:33">
      <c r="A14" s="77"/>
      <c r="H14" s="86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8"/>
    </row>
    <row r="15" s="56" customFormat="1" spans="1:33">
      <c r="A15" s="77"/>
      <c r="H15" s="86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8"/>
    </row>
    <row r="16" s="56" customFormat="1" spans="1:33">
      <c r="A16" s="77"/>
      <c r="H16" s="86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8"/>
    </row>
    <row r="17" s="56" customFormat="1" spans="1:33">
      <c r="A17" s="77"/>
      <c r="H17" s="86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8"/>
    </row>
    <row r="18" s="56" customFormat="1" spans="1:33">
      <c r="A18" s="77"/>
      <c r="H18" s="90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2"/>
    </row>
    <row r="19" s="56" customFormat="1" ht="15" spans="1:33">
      <c r="A19" s="77"/>
      <c r="H19" s="93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</sheetData>
  <mergeCells count="11">
    <mergeCell ref="F3:G3"/>
    <mergeCell ref="I3:X3"/>
    <mergeCell ref="Y3:Z3"/>
    <mergeCell ref="AA3:AE3"/>
    <mergeCell ref="B3:B4"/>
    <mergeCell ref="C3:C4"/>
    <mergeCell ref="D3:D4"/>
    <mergeCell ref="E3:E4"/>
    <mergeCell ref="H3:H4"/>
    <mergeCell ref="AF3:AF4"/>
    <mergeCell ref="AG3:AG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U18"/>
  <sheetViews>
    <sheetView zoomScale="120" zoomScaleNormal="120" workbookViewId="0">
      <selection activeCell="D18" sqref="D18"/>
    </sheetView>
  </sheetViews>
  <sheetFormatPr defaultColWidth="10.1833333333333" defaultRowHeight="12.75"/>
  <cols>
    <col min="1" max="1" width="8.18333333333333" style="3" customWidth="1"/>
    <col min="2" max="2" width="9.81666666666667" style="3" customWidth="1"/>
    <col min="3" max="3" width="10" style="3" customWidth="1"/>
    <col min="4" max="4" width="7.63333333333333" style="3" customWidth="1"/>
    <col min="5" max="5" width="9.18333333333333" style="3" customWidth="1"/>
    <col min="6" max="6" width="8" style="3" customWidth="1" outlineLevel="1"/>
    <col min="7" max="7" width="6" style="3" customWidth="1" outlineLevel="1"/>
    <col min="8" max="12" width="10" style="3" customWidth="1" outlineLevel="1"/>
    <col min="13" max="13" width="7.36666666666667" style="3" customWidth="1" outlineLevel="1"/>
    <col min="14" max="14" width="9.81666666666667" style="3" customWidth="1" outlineLevel="1"/>
    <col min="15" max="15" width="10.45" style="3" customWidth="1" outlineLevel="1"/>
    <col min="16" max="16" width="10.1833333333333" style="3" customWidth="1" outlineLevel="1"/>
    <col min="17" max="17" width="8" style="3" customWidth="1" outlineLevel="1"/>
    <col min="18" max="19" width="8.81666666666667" style="3" customWidth="1" outlineLevel="1"/>
    <col min="20" max="23" width="9" style="3" customWidth="1" outlineLevel="1"/>
    <col min="24" max="24" width="8.18333333333333" style="3" customWidth="1" outlineLevel="1"/>
    <col min="25" max="25" width="8.81666666666667" style="3" customWidth="1" outlineLevel="1"/>
    <col min="26" max="26" width="10.1833333333333" style="3"/>
    <col min="27" max="27" width="9.63333333333333" style="3" customWidth="1"/>
    <col min="28" max="28" width="9" style="3" customWidth="1"/>
    <col min="29" max="29" width="8.36666666666667" style="3" customWidth="1"/>
    <col min="30" max="30" width="8.45" style="3" customWidth="1"/>
    <col min="31" max="31" width="10" style="3" customWidth="1"/>
    <col min="32" max="32" width="8.45" style="3" customWidth="1"/>
    <col min="33" max="33" width="10" style="3" customWidth="1"/>
    <col min="34" max="34" width="6.36666666666667" style="3" customWidth="1"/>
    <col min="35" max="35" width="10" style="4" customWidth="1"/>
    <col min="36" max="36" width="8.45" style="4" customWidth="1"/>
    <col min="37" max="37" width="10" style="4" customWidth="1"/>
    <col min="38" max="38" width="11.45" style="3" customWidth="1"/>
    <col min="39" max="39" width="11.6333333333333" style="3" customWidth="1"/>
    <col min="40" max="40" width="11.45" style="3" customWidth="1"/>
    <col min="41" max="41" width="11.1833333333333" style="3" customWidth="1"/>
    <col min="42" max="42" width="10" style="4" customWidth="1" outlineLevel="1"/>
    <col min="43" max="43" width="10.3666666666667" style="3" customWidth="1" outlineLevel="1"/>
    <col min="44" max="44" width="8.63333333333333" style="3" customWidth="1"/>
    <col min="45" max="45" width="8.63333333333333" style="4" customWidth="1" outlineLevel="1"/>
    <col min="46" max="46" width="9.18333333333333" style="3" customWidth="1" outlineLevel="1"/>
    <col min="47" max="47" width="11.1833333333333" style="3" customWidth="1" outlineLevel="1"/>
    <col min="48" max="48" width="8.63333333333333" style="4" customWidth="1"/>
    <col min="49" max="51" width="8.63333333333333" style="3" customWidth="1"/>
    <col min="52" max="52" width="7.36666666666667" style="3" customWidth="1" outlineLevel="1"/>
    <col min="53" max="53" width="9.18333333333333" style="3" customWidth="1"/>
    <col min="54" max="55" width="8.63333333333333" style="3" customWidth="1" outlineLevel="1"/>
    <col min="56" max="56" width="9.18333333333333" style="3" customWidth="1"/>
    <col min="57" max="57" width="8.63333333333333" style="3" customWidth="1"/>
    <col min="58" max="58" width="8.63333333333333" style="3" customWidth="1" outlineLevel="1"/>
    <col min="59" max="61" width="8.63333333333333" style="3" customWidth="1"/>
    <col min="62" max="62" width="5.36666666666667" style="3" customWidth="1" outlineLevel="1"/>
    <col min="63" max="63" width="10.1833333333333" style="3" outlineLevel="1"/>
    <col min="64" max="64" width="8.63333333333333" style="3" customWidth="1" outlineLevel="1"/>
    <col min="65" max="65" width="9.81666666666667" style="4" customWidth="1" outlineLevel="1"/>
    <col min="66" max="66" width="8.81666666666667" style="3" customWidth="1"/>
    <col min="67" max="67" width="6.81666666666667" style="3" customWidth="1"/>
    <col min="68" max="89" width="10.1833333333333" style="3"/>
    <col min="90" max="90" width="10.1833333333333" style="5"/>
    <col min="91" max="16384" width="10.1833333333333" style="3"/>
  </cols>
  <sheetData>
    <row r="2" spans="1:71">
      <c r="A2" s="6" t="s">
        <v>89</v>
      </c>
      <c r="B2" s="6"/>
      <c r="C2" s="6"/>
      <c r="D2" s="6"/>
    </row>
    <row r="3" ht="15.75" spans="1:71">
      <c r="A3" s="7" t="s">
        <v>90</v>
      </c>
      <c r="B3" s="7"/>
      <c r="C3" s="8"/>
      <c r="D3" s="8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s="9" t="s">
        <v>91</v>
      </c>
      <c r="AE3" s="9"/>
      <c r="AF3" s="9"/>
      <c r="AG3" s="9"/>
      <c r="AH3" s="9"/>
      <c r="AI3" s="9"/>
      <c r="AJ3" s="10"/>
      <c r="AK3" s="10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ht="15" spans="1:71">
      <c r="A4"/>
      <c r="B4" s="11" t="s">
        <v>92</v>
      </c>
      <c r="C4" s="12"/>
      <c r="D4" s="12"/>
      <c r="E4" s="13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0"/>
      <c r="AE4" s="10"/>
      <c r="AF4" s="10"/>
      <c r="AG4" s="10"/>
      <c r="AH4" s="10"/>
      <c r="AI4" s="10"/>
      <c r="AJ4" s="10"/>
      <c r="AK4" s="10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ht="15.75" spans="1:71">
      <c r="A5"/>
      <c r="B5" s="11" t="s">
        <v>93</v>
      </c>
      <c r="C5" s="12"/>
      <c r="D5" s="12"/>
      <c r="E5" s="13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0"/>
      <c r="AE5" s="10"/>
      <c r="AF5" s="10"/>
      <c r="AG5" s="10"/>
      <c r="AH5" s="10"/>
      <c r="AI5" s="10"/>
      <c r="AJ5" s="10"/>
      <c r="AK5" s="10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="1" customFormat="1" ht="17.25" customHeight="1" spans="1:71">
      <c r="D6" s="3"/>
      <c r="M6" s="14" t="s">
        <v>94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6"/>
      <c r="AD6" s="14" t="s">
        <v>95</v>
      </c>
      <c r="AE6" s="15"/>
      <c r="AF6" s="15"/>
      <c r="AG6" s="15"/>
      <c r="AH6" s="15"/>
      <c r="AI6" s="15"/>
      <c r="AJ6" s="15"/>
      <c r="AK6" s="15"/>
      <c r="AL6" s="17" t="s">
        <v>96</v>
      </c>
      <c r="AM6" s="18"/>
      <c r="AN6" s="18"/>
      <c r="AO6" s="18"/>
      <c r="AP6" s="19"/>
      <c r="AQ6" s="14" t="s">
        <v>97</v>
      </c>
      <c r="AR6" s="15"/>
      <c r="AS6" s="15"/>
      <c r="AT6" s="15"/>
      <c r="AU6" s="15"/>
      <c r="AV6" s="15"/>
      <c r="AW6" s="15"/>
      <c r="AX6" s="15"/>
      <c r="AY6" s="16"/>
      <c r="AZ6" s="20"/>
      <c r="BA6" s="21"/>
      <c r="BB6" s="22" t="s">
        <v>98</v>
      </c>
      <c r="BC6" s="23"/>
      <c r="BD6" s="23"/>
      <c r="BE6" s="23"/>
      <c r="BF6" s="23"/>
      <c r="BG6" s="23"/>
      <c r="BH6" s="23"/>
      <c r="BI6" s="23"/>
      <c r="BJ6" s="24"/>
      <c r="BK6" s="25"/>
    </row>
    <row r="7" s="2" customFormat="1" ht="57.5" customHeight="1" spans="1:71">
      <c r="A7" s="26" t="s">
        <v>99</v>
      </c>
      <c r="B7" s="27" t="s">
        <v>100</v>
      </c>
      <c r="C7" s="27" t="s">
        <v>101</v>
      </c>
      <c r="D7" s="28" t="s">
        <v>102</v>
      </c>
      <c r="E7" s="27" t="s">
        <v>103</v>
      </c>
      <c r="F7" s="27" t="s">
        <v>104</v>
      </c>
      <c r="G7" s="27" t="s">
        <v>105</v>
      </c>
      <c r="H7" s="29" t="s">
        <v>106</v>
      </c>
      <c r="I7" s="30" t="s">
        <v>107</v>
      </c>
      <c r="J7" s="30" t="s">
        <v>51</v>
      </c>
      <c r="K7" s="30" t="s">
        <v>52</v>
      </c>
      <c r="L7" s="30" t="s">
        <v>108</v>
      </c>
      <c r="M7" s="29" t="s">
        <v>109</v>
      </c>
      <c r="N7" s="27" t="s">
        <v>110</v>
      </c>
      <c r="O7" s="27" t="s">
        <v>51</v>
      </c>
      <c r="P7" s="27" t="s">
        <v>52</v>
      </c>
      <c r="Q7" s="27" t="s">
        <v>53</v>
      </c>
      <c r="R7" s="27" t="s">
        <v>111</v>
      </c>
      <c r="S7" s="31" t="s">
        <v>55</v>
      </c>
      <c r="T7" s="27" t="s">
        <v>112</v>
      </c>
      <c r="U7" s="27" t="s">
        <v>113</v>
      </c>
      <c r="V7" s="32" t="s">
        <v>57</v>
      </c>
      <c r="W7" s="32" t="s">
        <v>58</v>
      </c>
      <c r="X7" s="27" t="s">
        <v>59</v>
      </c>
      <c r="Y7" s="27" t="s">
        <v>60</v>
      </c>
      <c r="Z7" s="27" t="s">
        <v>114</v>
      </c>
      <c r="AA7" s="27" t="s">
        <v>115</v>
      </c>
      <c r="AB7" s="27" t="s">
        <v>62</v>
      </c>
      <c r="AC7" s="27" t="s">
        <v>116</v>
      </c>
      <c r="AD7" s="27" t="s">
        <v>117</v>
      </c>
      <c r="AE7" s="27" t="s">
        <v>118</v>
      </c>
      <c r="AF7" s="27" t="s">
        <v>119</v>
      </c>
      <c r="AG7" s="27" t="s">
        <v>120</v>
      </c>
      <c r="AH7" s="27" t="s">
        <v>121</v>
      </c>
      <c r="AI7" s="27" t="s">
        <v>122</v>
      </c>
      <c r="AJ7" s="27" t="s">
        <v>123</v>
      </c>
      <c r="AK7" s="27" t="s">
        <v>124</v>
      </c>
      <c r="AL7" s="27" t="s">
        <v>125</v>
      </c>
      <c r="AM7" s="27" t="s">
        <v>126</v>
      </c>
      <c r="AN7" s="27" t="s">
        <v>127</v>
      </c>
      <c r="AO7" s="27" t="s">
        <v>128</v>
      </c>
      <c r="AP7" s="27" t="s">
        <v>129</v>
      </c>
      <c r="AQ7" s="27" t="s">
        <v>130</v>
      </c>
      <c r="AR7" s="27" t="s">
        <v>131</v>
      </c>
      <c r="AS7" s="27" t="s">
        <v>132</v>
      </c>
      <c r="AT7" s="27" t="s">
        <v>133</v>
      </c>
      <c r="AU7" s="27" t="s">
        <v>134</v>
      </c>
      <c r="AV7" s="27" t="s">
        <v>135</v>
      </c>
      <c r="AW7" s="27" t="s">
        <v>136</v>
      </c>
      <c r="AX7" s="33" t="s">
        <v>137</v>
      </c>
      <c r="AY7" s="27" t="s">
        <v>138</v>
      </c>
      <c r="AZ7" s="34" t="s">
        <v>139</v>
      </c>
      <c r="BA7" s="34" t="s">
        <v>140</v>
      </c>
      <c r="BB7" s="27" t="s">
        <v>141</v>
      </c>
      <c r="BC7" s="27" t="s">
        <v>142</v>
      </c>
      <c r="BD7" s="27" t="s">
        <v>143</v>
      </c>
      <c r="BE7" s="27" t="s">
        <v>144</v>
      </c>
      <c r="BF7" s="27" t="s">
        <v>145</v>
      </c>
      <c r="BG7" s="27" t="s">
        <v>146</v>
      </c>
      <c r="BH7" s="27" t="s">
        <v>147</v>
      </c>
      <c r="BI7" s="27" t="s">
        <v>148</v>
      </c>
      <c r="BJ7" s="27" t="s">
        <v>149</v>
      </c>
      <c r="BK7" s="34" t="s">
        <v>150</v>
      </c>
      <c r="BL7" s="34" t="s">
        <v>151</v>
      </c>
      <c r="BM7" s="34" t="s">
        <v>20</v>
      </c>
      <c r="BN7" s="34" t="s">
        <v>152</v>
      </c>
      <c r="BO7" s="35" t="s">
        <v>153</v>
      </c>
    </row>
    <row r="8" customFormat="1" ht="14.25" spans="1:71">
      <c r="A8" s="36"/>
      <c r="B8" s="37"/>
      <c r="C8" s="37"/>
      <c r="D8" s="37"/>
      <c r="E8" s="37"/>
      <c r="F8" s="37"/>
      <c r="G8" s="38"/>
      <c r="H8" s="39">
        <f t="shared" ref="H8:BO8" si="0">SUM(H9:H14)</f>
        <v>0</v>
      </c>
      <c r="I8" s="39">
        <f t="shared" si="0"/>
        <v>0</v>
      </c>
      <c r="J8" s="39">
        <f t="shared" si="0"/>
        <v>0</v>
      </c>
      <c r="K8" s="39">
        <f t="shared" si="0"/>
        <v>0</v>
      </c>
      <c r="L8" s="39">
        <f t="shared" si="0"/>
        <v>0</v>
      </c>
      <c r="M8" s="39">
        <f t="shared" si="0"/>
        <v>0</v>
      </c>
      <c r="N8" s="39">
        <f t="shared" si="0"/>
        <v>0</v>
      </c>
      <c r="O8" s="39">
        <f t="shared" si="0"/>
        <v>0</v>
      </c>
      <c r="P8" s="39">
        <f t="shared" si="0"/>
        <v>0</v>
      </c>
      <c r="Q8" s="39">
        <f t="shared" si="0"/>
        <v>0</v>
      </c>
      <c r="R8" s="40">
        <f t="shared" si="0"/>
        <v>0</v>
      </c>
      <c r="S8" s="40">
        <f t="shared" si="0"/>
        <v>0</v>
      </c>
      <c r="T8" s="40">
        <f t="shared" si="0"/>
        <v>0</v>
      </c>
      <c r="U8" s="40">
        <f t="shared" si="0"/>
        <v>0</v>
      </c>
      <c r="V8" s="40">
        <f t="shared" si="0"/>
        <v>0</v>
      </c>
      <c r="W8" s="40">
        <f t="shared" si="0"/>
        <v>0</v>
      </c>
      <c r="X8" s="40">
        <f t="shared" si="0"/>
        <v>0</v>
      </c>
      <c r="Y8" s="40">
        <f t="shared" si="0"/>
        <v>0</v>
      </c>
      <c r="Z8" s="40">
        <f t="shared" si="0"/>
        <v>0</v>
      </c>
      <c r="AA8" s="40">
        <f t="shared" si="0"/>
        <v>0</v>
      </c>
      <c r="AB8" s="40">
        <f t="shared" si="0"/>
        <v>0</v>
      </c>
      <c r="AC8" s="40">
        <f t="shared" si="0"/>
        <v>0</v>
      </c>
      <c r="AD8" s="40">
        <f t="shared" si="0"/>
        <v>0</v>
      </c>
      <c r="AE8" s="40">
        <f t="shared" si="0"/>
        <v>0</v>
      </c>
      <c r="AF8" s="40">
        <f t="shared" si="0"/>
        <v>0</v>
      </c>
      <c r="AG8" s="40">
        <f t="shared" si="0"/>
        <v>0</v>
      </c>
      <c r="AH8" s="40">
        <f t="shared" si="0"/>
        <v>0</v>
      </c>
      <c r="AI8" s="40">
        <f t="shared" si="0"/>
        <v>0</v>
      </c>
      <c r="AJ8" s="40">
        <f t="shared" si="0"/>
        <v>0</v>
      </c>
      <c r="AK8" s="40">
        <f t="shared" si="0"/>
        <v>0</v>
      </c>
      <c r="AL8" s="40">
        <f t="shared" si="0"/>
        <v>0</v>
      </c>
      <c r="AM8" s="40">
        <f t="shared" si="0"/>
        <v>0</v>
      </c>
      <c r="AN8" s="40">
        <f t="shared" si="0"/>
        <v>0</v>
      </c>
      <c r="AO8" s="40">
        <f t="shared" si="0"/>
        <v>0</v>
      </c>
      <c r="AP8" s="40">
        <f t="shared" si="0"/>
        <v>0</v>
      </c>
      <c r="AQ8" s="40">
        <f t="shared" si="0"/>
        <v>0</v>
      </c>
      <c r="AR8" s="40">
        <f t="shared" si="0"/>
        <v>0</v>
      </c>
      <c r="AS8" s="40">
        <f t="shared" si="0"/>
        <v>0</v>
      </c>
      <c r="AT8" s="40">
        <f t="shared" si="0"/>
        <v>0</v>
      </c>
      <c r="AU8" s="40">
        <f t="shared" si="0"/>
        <v>0</v>
      </c>
      <c r="AV8" s="40">
        <f t="shared" si="0"/>
        <v>0</v>
      </c>
      <c r="AW8" s="40">
        <f t="shared" si="0"/>
        <v>0</v>
      </c>
      <c r="AX8" s="40">
        <f t="shared" si="0"/>
        <v>0</v>
      </c>
      <c r="AY8" s="40">
        <f t="shared" si="0"/>
        <v>0</v>
      </c>
      <c r="AZ8" s="40">
        <f t="shared" si="0"/>
        <v>0</v>
      </c>
      <c r="BA8" s="40">
        <f t="shared" si="0"/>
        <v>0</v>
      </c>
      <c r="BB8" s="40">
        <f t="shared" si="0"/>
        <v>0</v>
      </c>
      <c r="BC8" s="40">
        <f t="shared" si="0"/>
        <v>0</v>
      </c>
      <c r="BD8" s="40">
        <f t="shared" si="0"/>
        <v>0</v>
      </c>
      <c r="BE8" s="40">
        <f t="shared" si="0"/>
        <v>0</v>
      </c>
      <c r="BF8" s="40">
        <f t="shared" si="0"/>
        <v>0</v>
      </c>
      <c r="BG8" s="40">
        <f t="shared" si="0"/>
        <v>0</v>
      </c>
      <c r="BH8" s="40">
        <f t="shared" si="0"/>
        <v>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40">
        <f t="shared" si="0"/>
        <v>0</v>
      </c>
      <c r="BN8" s="40">
        <f t="shared" si="0"/>
        <v>0</v>
      </c>
      <c r="BO8" s="41">
        <f t="shared" si="0"/>
        <v>0</v>
      </c>
      <c r="BP8" s="42"/>
    </row>
    <row r="9" spans="1:71">
      <c r="A9" s="43"/>
      <c r="B9" s="44"/>
      <c r="C9" s="44"/>
      <c r="D9" s="44"/>
      <c r="E9" s="45"/>
      <c r="F9" s="45"/>
      <c r="G9" s="44"/>
      <c r="H9" s="46"/>
      <c r="I9" s="46"/>
      <c r="J9" s="46"/>
      <c r="K9" s="46"/>
      <c r="L9" s="46"/>
      <c r="M9" s="47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8"/>
      <c r="AE9" s="49"/>
      <c r="AF9" s="48"/>
      <c r="AG9" s="49"/>
      <c r="AH9" s="49"/>
      <c r="AI9" s="49"/>
      <c r="AJ9" s="49"/>
      <c r="AK9" s="49"/>
      <c r="AL9" s="50"/>
      <c r="AM9" s="50"/>
      <c r="AN9" s="50"/>
      <c r="AO9" s="49"/>
      <c r="AP9" s="50"/>
      <c r="AQ9" s="46"/>
      <c r="AR9" s="49"/>
      <c r="AS9" s="50"/>
      <c r="AT9" s="46"/>
      <c r="AU9" s="46"/>
      <c r="AV9" s="49"/>
      <c r="AW9" s="50"/>
      <c r="AX9" s="50"/>
      <c r="AY9" s="49"/>
      <c r="AZ9" s="46"/>
      <c r="BA9" s="46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1"/>
      <c r="BP9" s="2"/>
      <c r="BS9" s="52"/>
    </row>
    <row r="10" spans="1:71">
      <c r="A10" s="43"/>
      <c r="B10" s="44"/>
      <c r="C10" s="44"/>
      <c r="D10" s="44"/>
      <c r="E10" s="45"/>
      <c r="F10" s="45"/>
      <c r="G10" s="44"/>
      <c r="H10" s="46"/>
      <c r="I10" s="46"/>
      <c r="J10" s="46"/>
      <c r="K10" s="46"/>
      <c r="L10" s="46"/>
      <c r="M10" s="4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8"/>
      <c r="AE10" s="49"/>
      <c r="AF10" s="48"/>
      <c r="AG10" s="49"/>
      <c r="AH10" s="49"/>
      <c r="AI10" s="49"/>
      <c r="AJ10" s="49"/>
      <c r="AK10" s="49"/>
      <c r="AL10" s="50"/>
      <c r="AM10" s="50"/>
      <c r="AN10" s="50"/>
      <c r="AO10" s="49"/>
      <c r="AP10" s="50"/>
      <c r="AQ10" s="46"/>
      <c r="AR10" s="49"/>
      <c r="AS10" s="50"/>
      <c r="AT10" s="46"/>
      <c r="AU10" s="46"/>
      <c r="AV10" s="49"/>
      <c r="AW10" s="50"/>
      <c r="AX10" s="50"/>
      <c r="AY10" s="49"/>
      <c r="AZ10" s="46"/>
      <c r="BA10" s="46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1"/>
      <c r="BP10" s="2"/>
      <c r="BS10" s="52"/>
    </row>
    <row r="11" spans="1:71">
      <c r="A11" s="43"/>
      <c r="B11" s="44"/>
      <c r="C11" s="44"/>
      <c r="D11" s="44"/>
      <c r="E11" s="45"/>
      <c r="F11" s="45"/>
      <c r="G11" s="44"/>
      <c r="H11" s="46"/>
      <c r="I11" s="46"/>
      <c r="J11" s="46"/>
      <c r="K11" s="46"/>
      <c r="L11" s="46"/>
      <c r="M11" s="47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8"/>
      <c r="AE11" s="49"/>
      <c r="AF11" s="48"/>
      <c r="AG11" s="49"/>
      <c r="AH11" s="49"/>
      <c r="AI11" s="49"/>
      <c r="AJ11" s="49"/>
      <c r="AK11" s="49"/>
      <c r="AL11" s="50"/>
      <c r="AM11" s="50"/>
      <c r="AN11" s="50"/>
      <c r="AO11" s="49"/>
      <c r="AP11" s="50"/>
      <c r="AQ11" s="46"/>
      <c r="AR11" s="49"/>
      <c r="AS11" s="50"/>
      <c r="AT11" s="46"/>
      <c r="AU11" s="46"/>
      <c r="AV11" s="49"/>
      <c r="AW11" s="50"/>
      <c r="AX11" s="50"/>
      <c r="AY11" s="49"/>
      <c r="AZ11" s="46"/>
      <c r="BA11" s="46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1"/>
      <c r="BP11" s="2"/>
      <c r="BS11" s="52"/>
    </row>
    <row r="12" spans="1:71">
      <c r="BS12" s="52"/>
    </row>
    <row r="13" spans="1:71">
      <c r="BS13" s="52"/>
    </row>
    <row r="14" spans="1:71">
      <c r="BS14" s="52"/>
    </row>
    <row r="15" spans="1:71">
      <c r="BS15" s="52"/>
    </row>
    <row r="16" spans="1:71">
      <c r="BS16" s="52"/>
    </row>
    <row r="17" spans="59:73">
      <c r="BG17" s="52"/>
    </row>
    <row r="18" spans="59:73">
      <c r="BT18" s="52"/>
      <c r="BU18" s="52"/>
    </row>
  </sheetData>
  <mergeCells count="8">
    <mergeCell ref="A2:C2"/>
    <mergeCell ref="A3:B3"/>
    <mergeCell ref="AD3:AI3"/>
    <mergeCell ref="M6:AC6"/>
    <mergeCell ref="AD6:AK6"/>
    <mergeCell ref="AL6:AP6"/>
    <mergeCell ref="AQ6:AY6"/>
    <mergeCell ref="BB6:BJ6"/>
  </mergeCells>
  <conditionalFormatting sqref="B9:B11">
    <cfRule type="duplicateValues" dxfId="0" priority="1" stopIfTrue="1"/>
    <cfRule type="duplicateValues" dxfId="1" priority="2" stopIfTrue="1"/>
  </conditionalFormatting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BFD70D6F-6904-4CD2-BCA4-5F0BC221F8FB}">
  <ds:schemaRefs/>
</ds:datastoreItem>
</file>

<file path=customXml/itemProps2.xml><?xml version="1.0" encoding="utf-8"?>
<ds:datastoreItem xmlns:ds="http://schemas.openxmlformats.org/officeDocument/2006/customXml" ds:itemID="{20EF31B6-FE18-4DF1-8438-5C9F3054A20D}">
  <ds:schemaRefs/>
</ds:datastoreItem>
</file>

<file path=customXml/itemProps3.xml><?xml version="1.0" encoding="utf-8"?>
<ds:datastoreItem xmlns:ds="http://schemas.openxmlformats.org/officeDocument/2006/customXml" ds:itemID="{1BEBE9FC-9315-4BA2-BE91-C7F6ABEB7B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TW</vt:lpstr>
      <vt:lpstr>TW EE</vt:lpstr>
      <vt:lpstr>TW-L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给我，高高的飞起来啊！！</cp:lastModifiedBy>
  <dcterms:created xsi:type="dcterms:W3CDTF">2018-12-11T19:06:00Z</dcterms:created>
  <cp:lastPrinted>2023-02-09T08:40:00Z</cp:lastPrinted>
  <dcterms:modified xsi:type="dcterms:W3CDTF">2026-07-23T06:56:32Z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  <property fmtid="{D5CDD505-2E9C-101B-9397-08002B2CF9AE}" pid="5" name="ICV">
    <vt:lpwstr>B3AD604BC5844E8DBE2CC40E892FDFA0_12</vt:lpwstr>
  </property>
  <property fmtid="{D5CDD505-2E9C-101B-9397-08002B2CF9AE}" pid="6" name="KSOProductBuildVer">
    <vt:lpwstr>2052-12.1.0.26375</vt:lpwstr>
  </property>
  <property fmtid="{D5CDD505-2E9C-101B-9397-08002B2CF9AE}" pid="7" name="CalculationRule">
    <vt:i4>0</vt:i4>
  </property>
</Properties>
</file>