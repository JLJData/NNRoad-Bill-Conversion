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SUM(E16:E18)</f>
        <v/>
      </c>
      <c r="F15" s="208">
        <f>SUM(F16:F18)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E16/$B$27</f>
        <v/>
      </c>
      <c r="G16" s="212" t="n"/>
    </row>
    <row r="17" ht="12.75" customFormat="1" customHeight="1" s="122">
      <c r="A17" s="151">
        <f>"- Expense claim for "&amp;TW!B9</f>
        <v/>
      </c>
      <c r="D17" s="152" t="n"/>
      <c r="E17" s="210">
        <f>TW!AB9</f>
        <v/>
      </c>
      <c r="F17" s="211">
        <f>E17/$B$27</f>
        <v/>
      </c>
      <c r="G17" s="213" t="n"/>
    </row>
    <row r="18" ht="12.75" customFormat="1" customHeight="1" s="122">
      <c r="A18" s="158" t="n"/>
      <c r="D18" s="159" t="n"/>
      <c r="E18" s="214" t="n"/>
      <c r="F18" s="215" t="n"/>
      <c r="G18" s="213" t="n"/>
    </row>
    <row r="19" ht="16" customHeight="1" s="205">
      <c r="A19" s="146" t="inlineStr">
        <is>
          <t>Service Fee</t>
        </is>
      </c>
      <c r="D19" s="147" t="n"/>
      <c r="E19" s="207">
        <f>SUM(E20:E21)</f>
        <v/>
      </c>
      <c r="F19" s="216">
        <f>SUM(F20:F21)</f>
        <v/>
      </c>
      <c r="G19" s="217" t="n"/>
    </row>
    <row r="20" ht="12.75" customHeight="1" s="205">
      <c r="A20" s="163">
        <f>"- Management Fee - "&amp;MONTH(TW!B2)&amp;"-"&amp;YEAR(TW!B2)</f>
        <v/>
      </c>
      <c r="D20" s="164" t="n"/>
      <c r="E20" s="218">
        <f>TW!G6</f>
        <v/>
      </c>
      <c r="F20" s="211">
        <f>E20/$B$27</f>
        <v/>
      </c>
      <c r="G20" s="213" t="n"/>
    </row>
    <row r="21" ht="12.75" customHeight="1" s="205">
      <c r="A21" s="163" t="n"/>
      <c r="D21" s="164" t="n"/>
      <c r="E21" s="214" t="n"/>
      <c r="F21" s="215" t="n"/>
      <c r="G21" s="213" t="n"/>
    </row>
    <row r="22" ht="12.75" customHeight="1" s="205">
      <c r="A22" s="163" t="n"/>
      <c r="D22" s="164" t="n"/>
      <c r="E22" s="214" t="n"/>
      <c r="F22" s="215" t="n"/>
      <c r="G22" s="213" t="n"/>
    </row>
    <row r="23" ht="14.25" customFormat="1" customHeight="1" s="123">
      <c r="A23" s="165" t="n"/>
      <c r="D23" s="166" t="n"/>
      <c r="E23" s="219" t="n"/>
      <c r="F23" s="220" t="n"/>
      <c r="G23" s="213" t="n"/>
    </row>
    <row r="24" ht="15" customHeight="1" s="205">
      <c r="A24" s="169" t="inlineStr">
        <is>
          <t xml:space="preserve">EOR/PEO Service Cost		</t>
        </is>
      </c>
      <c r="B24" s="221" t="n"/>
      <c r="C24" s="221" t="n"/>
      <c r="D24" s="221" t="n"/>
      <c r="E24" s="222">
        <f>E15+E19</f>
        <v/>
      </c>
      <c r="F24" s="223">
        <f>F15+F19</f>
        <v/>
      </c>
      <c r="G24" s="209" t="n"/>
    </row>
    <row r="25" ht="14.25" customHeight="1" s="205">
      <c r="A25" s="173" t="n"/>
      <c r="B25" s="173" t="n"/>
      <c r="C25" s="174" t="n"/>
      <c r="D25" s="174" t="n"/>
      <c r="E25" s="224" t="n"/>
      <c r="F25" s="225" t="n"/>
      <c r="G25" s="209" t="n"/>
    </row>
    <row r="26" ht="15" customHeight="1" s="205">
      <c r="A26" s="177" t="n"/>
      <c r="B26" s="177" t="n"/>
      <c r="C26" s="177" t="n"/>
      <c r="D26" s="177" t="n"/>
      <c r="E26" s="224" t="n"/>
      <c r="F26" s="225" t="n"/>
      <c r="G26" s="209" t="n"/>
    </row>
    <row r="27" ht="25.5" customHeight="1" s="205">
      <c r="A27" s="178">
        <f>"*FX rate  USD:  "&amp;TW!C6</f>
        <v/>
      </c>
      <c r="B27" s="179" t="n">
        <v>31.2977</v>
      </c>
      <c r="C27" s="224" t="n"/>
      <c r="D27" s="226" t="inlineStr">
        <is>
          <t>EOR/PEO Service Cost</t>
        </is>
      </c>
      <c r="E27" s="227" t="n"/>
      <c r="F27" s="228">
        <f>F24</f>
        <v/>
      </c>
      <c r="G27" s="213" t="n"/>
    </row>
    <row r="28" ht="16" customFormat="1" customHeight="1" s="121">
      <c r="A28" s="183" t="n"/>
      <c r="B28" s="183" t="n"/>
      <c r="C28" s="224" t="n"/>
      <c r="D28" s="229" t="inlineStr">
        <is>
          <t xml:space="preserve">Outstanding payment </t>
        </is>
      </c>
      <c r="F28" s="230">
        <f>TW!E22</f>
        <v/>
      </c>
      <c r="G28" s="212" t="n"/>
    </row>
    <row r="29" ht="14.25" customFormat="1" customHeight="1" s="121">
      <c r="A29" s="183" t="n"/>
      <c r="B29" s="183" t="n"/>
      <c r="C29" s="224" t="n"/>
      <c r="D29" s="229" t="inlineStr">
        <is>
          <t xml:space="preserve">FX difference </t>
        </is>
      </c>
      <c r="F29" s="230">
        <f>TW!E23</f>
        <v/>
      </c>
      <c r="G29" s="212" t="n"/>
    </row>
    <row r="30" ht="14.25" customFormat="1" customHeight="1" s="121">
      <c r="A30" s="183" t="n"/>
      <c r="B30" s="183" t="n"/>
      <c r="C30" s="224" t="n"/>
      <c r="D30" s="229" t="inlineStr">
        <is>
          <t xml:space="preserve">Interests of delay </t>
        </is>
      </c>
      <c r="F30" s="230">
        <f>TW!E24</f>
        <v/>
      </c>
      <c r="G30" s="213" t="n"/>
    </row>
    <row r="31" ht="15" customHeight="1" s="205">
      <c r="A31" s="183" t="n"/>
      <c r="B31" s="183" t="n"/>
      <c r="C31" s="187" t="n"/>
      <c r="D31" s="188" t="inlineStr">
        <is>
          <t xml:space="preserve">Bank Charges </t>
        </is>
      </c>
      <c r="E31" s="231" t="n"/>
      <c r="F31" s="232">
        <f>TW!E25</f>
        <v/>
      </c>
      <c r="G31" s="213" t="n"/>
    </row>
    <row r="32" ht="14.25" customFormat="1" customHeight="1" s="122">
      <c r="A32" s="183" t="n"/>
      <c r="B32" s="183" t="n"/>
      <c r="C32" s="224" t="n"/>
      <c r="D32" s="233" t="inlineStr">
        <is>
          <t xml:space="preserve">Sub Total (Excluding Tax)		</t>
        </is>
      </c>
      <c r="F32" s="234">
        <f>SUM(F31:F35)</f>
        <v/>
      </c>
      <c r="G32" s="213" t="n"/>
    </row>
    <row r="33" ht="14.25" customFormat="1" customHeight="1" s="122">
      <c r="A33" s="183" t="n"/>
      <c r="B33" s="183" t="n"/>
      <c r="C33" s="224" t="n"/>
      <c r="D33" s="235" t="inlineStr">
        <is>
          <t>Tax</t>
        </is>
      </c>
      <c r="F33" s="234">
        <f>ROUNDUP(TW!F6/PN!B31,2)+0.01</f>
        <v/>
      </c>
      <c r="G33" s="213" t="n"/>
    </row>
    <row r="34" ht="15" customHeight="1" s="205">
      <c r="A34" s="196" t="n"/>
      <c r="B34" s="196" t="n"/>
      <c r="C34" s="224" t="n"/>
      <c r="D34" s="236" t="inlineStr">
        <is>
          <t xml:space="preserve">Total		</t>
        </is>
      </c>
      <c r="E34" s="237" t="n"/>
      <c r="F34" s="238">
        <f>SUM(F36:F37)</f>
        <v/>
      </c>
      <c r="G34" s="213" t="n"/>
      <c r="H34" s="239" t="n"/>
    </row>
    <row r="35" ht="14.25" customHeight="1" s="205">
      <c r="A35" s="166" t="n"/>
      <c r="B35" s="166" t="n"/>
      <c r="C35" s="166" t="n"/>
      <c r="D35" s="166" t="n"/>
      <c r="E35" s="187" t="n"/>
      <c r="F35" s="187" t="n"/>
      <c r="G35" s="213" t="n"/>
    </row>
    <row r="36" ht="14.25" customHeight="1" s="205">
      <c r="A36" s="166" t="n"/>
      <c r="B36" s="166" t="n"/>
      <c r="C36" s="166" t="n"/>
      <c r="D36" s="166" t="n"/>
      <c r="E36" s="187" t="n"/>
      <c r="F36" s="187" t="n"/>
      <c r="G36" s="213" t="n"/>
    </row>
    <row r="37" s="205">
      <c r="G37" s="213" t="n"/>
    </row>
    <row r="38" ht="19" customHeight="1" s="205">
      <c r="A38" s="201" t="inlineStr">
        <is>
          <t xml:space="preserve">Please pay the Invoice in FULL AMOUNT </t>
        </is>
      </c>
    </row>
    <row r="39" ht="61" customHeight="1" s="205">
      <c r="A39" s="240" t="inlineStr">
        <is>
          <t>Beneficiary: NNROAD, INC.
Bank Name: Chase Bank
Bank Account: 132827913
Bank Add.: 690 River Oaks Parkway Ste A, San Jose, CA 95134, USA</t>
        </is>
      </c>
      <c r="C39" s="241" t="n"/>
      <c r="D39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0" s="205">
      <c r="A40" s="124" t="inlineStr">
        <is>
          <t>Notes:</t>
        </is>
      </c>
    </row>
    <row r="41" ht="11" customHeight="1" s="205">
      <c r="A41" s="121" t="inlineStr">
        <is>
          <t>1. Please ensure that you include the Invoice Number when making your payment. This will help us accurately process and allocate your payment .</t>
        </is>
      </c>
      <c r="B41" s="121" t="n"/>
      <c r="C41" s="121" t="n"/>
      <c r="D41" s="121" t="n"/>
      <c r="E41" s="121" t="n"/>
      <c r="F41" s="121" t="n"/>
    </row>
    <row r="42" s="205">
      <c r="A42" s="121" t="inlineStr">
        <is>
          <t>2. This document becomes a Tax Invoice/Receipt upon payment. Please retain a copy for your records.</t>
        </is>
      </c>
    </row>
    <row r="43" ht="11" customHeight="1" s="205">
      <c r="A43" s="121" t="inlineStr">
        <is>
          <t>3. This is a computer generated document.  No Signature required.</t>
        </is>
      </c>
    </row>
    <row r="45" ht="11" customHeight="1" s="205"/>
  </sheetData>
  <mergeCells count="27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D27:E27"/>
    <mergeCell ref="A22:C22"/>
    <mergeCell ref="A17:C17"/>
    <mergeCell ref="D32:E32"/>
    <mergeCell ref="A24:D24"/>
    <mergeCell ref="B1:F1"/>
    <mergeCell ref="B10:B11"/>
    <mergeCell ref="D39:F39"/>
    <mergeCell ref="A20:C20"/>
    <mergeCell ref="A38:F38"/>
    <mergeCell ref="A19:C19"/>
    <mergeCell ref="D28:E28"/>
    <mergeCell ref="A39:C39"/>
    <mergeCell ref="A15:C15"/>
    <mergeCell ref="D30:E30"/>
    <mergeCell ref="D33:E33"/>
    <mergeCell ref="D29:E29"/>
    <mergeCell ref="A16:C16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 t="n"/>
      <c r="C10" s="56" t="n"/>
      <c r="E10" s="247" t="n"/>
      <c r="F10" s="106" t="n"/>
      <c r="G10" s="248" t="n"/>
      <c r="H10" s="248" t="n"/>
      <c r="I10" s="248" t="n"/>
      <c r="J10" s="248" t="n"/>
      <c r="K10" s="248" t="n"/>
      <c r="L10" s="248" t="n"/>
      <c r="M10" s="248" t="n"/>
      <c r="N10" s="248" t="n"/>
      <c r="O10" s="248" t="n"/>
      <c r="P10" s="248" t="n"/>
      <c r="Q10" s="248" t="n"/>
      <c r="R10" s="248" t="n"/>
      <c r="S10" s="248" t="n"/>
      <c r="T10" s="248" t="n"/>
      <c r="U10" s="248" t="n"/>
      <c r="V10" s="248" t="n"/>
      <c r="W10" s="248" t="n"/>
      <c r="X10" s="248" t="n"/>
      <c r="Y10" s="248" t="n"/>
      <c r="Z10" s="248" t="n"/>
      <c r="AA10" s="248" t="n"/>
      <c r="AB10" s="248" t="n"/>
      <c r="AC10" s="249" t="n"/>
    </row>
    <row r="11" customFormat="1" s="56">
      <c r="A11" s="77" t="n"/>
      <c r="B11" s="56" t="n"/>
      <c r="C11" s="56" t="n"/>
      <c r="E11" s="247" t="n"/>
      <c r="F11" s="106" t="n"/>
      <c r="G11" s="248" t="n"/>
      <c r="H11" s="248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9" t="n"/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 t="n"/>
      <c r="C11" s="56" t="n"/>
      <c r="D11" s="56" t="n"/>
      <c r="E11" s="89" t="n"/>
      <c r="F11" s="85" t="n"/>
      <c r="G11" s="85" t="n"/>
      <c r="H11" s="247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8" t="n"/>
      <c r="AD11" s="248" t="n"/>
      <c r="AE11" s="248" t="n"/>
      <c r="AF11" s="248" t="n"/>
      <c r="AG11" s="249" t="n"/>
    </row>
    <row r="12" customFormat="1" s="56">
      <c r="A12" s="77" t="n"/>
      <c r="B12" s="56" t="n"/>
      <c r="C12" s="56" t="n"/>
      <c r="D12" s="56" t="n"/>
      <c r="E12" s="89" t="n"/>
      <c r="F12" s="85" t="n"/>
      <c r="G12" s="85" t="n"/>
      <c r="H12" s="247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9" t="n"/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2026-07-23T10:15:58Z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