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1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China" sheetId="2" state="visible" r:id="rId2"/>
    <sheet xmlns:r="http://schemas.openxmlformats.org/officeDocument/2006/relationships" name="China EE" sheetId="3" state="visible" r:id="rId3"/>
    <sheet xmlns:r="http://schemas.openxmlformats.org/officeDocument/2006/relationships" name="China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_ "/>
    <numFmt numFmtId="165" formatCode="#,##0.0_ "/>
    <numFmt numFmtId="166" formatCode="[$-409]dd/mmm/yy;@"/>
    <numFmt numFmtId="167" formatCode="yyyy\-mm\-dd"/>
    <numFmt numFmtId="168" formatCode="_(&quot;$&quot;* #,##0.00_);_(&quot;$&quot;* \(#,##0.00\);_(&quot;$&quot;* &quot;-&quot;??_);_(@_)"/>
    <numFmt numFmtId="169" formatCode="0.0000"/>
    <numFmt numFmtId="170" formatCode="[$-F800]dddd\,\ mmmm\ dd\,\ yyyy"/>
  </numFmts>
  <fonts count="52">
    <font>
      <name val="等线"/>
      <charset val="134"/>
      <color theme="1"/>
      <sz val="11"/>
      <scheme val="minor"/>
    </font>
    <font>
      <name val="Arial Unicode MS"/>
      <charset val="134"/>
      <color theme="1"/>
      <sz val="10"/>
    </font>
    <font>
      <name val="Arial Unicode MS"/>
      <charset val="134"/>
      <color rgb="FFFF0000"/>
      <sz val="10"/>
    </font>
    <font>
      <name val="等线"/>
      <charset val="134"/>
      <color theme="1"/>
      <sz val="10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  <font>
      <name val="Comic Sans MS"/>
      <charset val="134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b val="1"/>
      <color rgb="FF000000"/>
      <sz val="9"/>
    </font>
    <font>
      <name val="Tahoma"/>
      <charset val="134"/>
      <color rgb="FF000000"/>
      <sz val="9"/>
    </font>
  </fonts>
  <fills count="36">
    <fill>
      <patternFill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11" borderId="52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53" applyAlignment="1">
      <alignment vertical="center"/>
    </xf>
    <xf numFmtId="0" fontId="34" fillId="0" borderId="53" applyAlignment="1">
      <alignment vertical="center"/>
    </xf>
    <xf numFmtId="0" fontId="35" fillId="0" borderId="54" applyAlignment="1">
      <alignment vertical="center"/>
    </xf>
    <xf numFmtId="0" fontId="35" fillId="0" borderId="0" applyAlignment="1">
      <alignment vertical="center"/>
    </xf>
    <xf numFmtId="0" fontId="36" fillId="12" borderId="55" applyAlignment="1">
      <alignment vertical="center"/>
    </xf>
    <xf numFmtId="0" fontId="37" fillId="13" borderId="56" applyAlignment="1">
      <alignment vertical="center"/>
    </xf>
    <xf numFmtId="0" fontId="38" fillId="13" borderId="55" applyAlignment="1">
      <alignment vertical="center"/>
    </xf>
    <xf numFmtId="0" fontId="39" fillId="14" borderId="57" applyAlignment="1">
      <alignment vertical="center"/>
    </xf>
    <xf numFmtId="0" fontId="40" fillId="0" borderId="58" applyAlignment="1">
      <alignment vertical="center"/>
    </xf>
    <xf numFmtId="0" fontId="41" fillId="0" borderId="59" applyAlignment="1">
      <alignment vertical="center"/>
    </xf>
    <xf numFmtId="0" fontId="42" fillId="15" borderId="0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6" fillId="20" borderId="0" applyAlignment="1">
      <alignment vertical="center"/>
    </xf>
    <xf numFmtId="0" fontId="45" fillId="21" borderId="0" applyAlignment="1">
      <alignment vertical="center"/>
    </xf>
    <xf numFmtId="0" fontId="45" fillId="22" borderId="0" applyAlignment="1">
      <alignment vertical="center"/>
    </xf>
    <xf numFmtId="0" fontId="46" fillId="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4" borderId="0" applyAlignment="1">
      <alignment vertical="center"/>
    </xf>
    <xf numFmtId="0" fontId="45" fillId="31" borderId="0" applyAlignment="1">
      <alignment vertical="center"/>
    </xf>
    <xf numFmtId="0" fontId="45" fillId="32" borderId="0" applyAlignment="1">
      <alignment vertical="center"/>
    </xf>
    <xf numFmtId="0" fontId="46" fillId="7" borderId="0" applyAlignment="1">
      <alignment vertical="center"/>
    </xf>
    <xf numFmtId="0" fontId="46" fillId="8" borderId="0" applyAlignment="1">
      <alignment vertical="center"/>
    </xf>
    <xf numFmtId="0" fontId="45" fillId="33" borderId="0" applyAlignment="1">
      <alignment vertical="center"/>
    </xf>
    <xf numFmtId="0" fontId="45" fillId="34" borderId="0" applyAlignment="1">
      <alignment vertical="center"/>
    </xf>
    <xf numFmtId="0" fontId="46" fillId="35" borderId="0" applyAlignment="1">
      <alignment vertical="center"/>
    </xf>
    <xf numFmtId="0" fontId="46" fillId="9" borderId="0" applyAlignment="1">
      <alignment vertical="center"/>
    </xf>
    <xf numFmtId="0" fontId="45" fillId="6" borderId="0" applyAlignment="1">
      <alignment vertical="center"/>
    </xf>
    <xf numFmtId="0" fontId="0" fillId="0" borderId="0"/>
    <xf numFmtId="170" fontId="47" fillId="0" borderId="0"/>
    <xf numFmtId="43" fontId="48" fillId="0" borderId="0"/>
    <xf numFmtId="0" fontId="48" fillId="0" borderId="0"/>
  </cellStyleXfs>
  <cellXfs count="2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49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 wrapText="1"/>
    </xf>
    <xf numFmtId="164" fontId="2" fillId="4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4" fontId="1" fillId="6" borderId="0" applyAlignment="1" pivotButton="0" quotePrefix="0" xfId="0">
      <alignment horizontal="right" vertical="center"/>
    </xf>
    <xf numFmtId="164" fontId="1" fillId="6" borderId="0" applyAlignment="1" pivotButton="0" quotePrefix="0" xfId="0">
      <alignment horizontal="center" vertical="center"/>
    </xf>
    <xf numFmtId="164" fontId="1" fillId="5" borderId="0" applyAlignment="1" pivotButton="0" quotePrefix="0" xfId="0">
      <alignment horizontal="right" vertical="center"/>
    </xf>
    <xf numFmtId="164" fontId="1" fillId="5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4" fontId="0" fillId="0" borderId="0" pivotButton="0" quotePrefix="0" xfId="0"/>
    <xf numFmtId="167" fontId="0" fillId="0" borderId="0" pivotButton="0" quotePrefix="0" xfId="0"/>
    <xf numFmtId="0" fontId="1" fillId="0" borderId="0" applyAlignment="1" pivotButton="0" quotePrefix="0" xfId="5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40" fontId="3" fillId="7" borderId="15" applyAlignment="1" pivotButton="0" quotePrefix="0" xfId="0">
      <alignment vertical="center"/>
    </xf>
    <xf numFmtId="40" fontId="3" fillId="7" borderId="16" applyAlignment="1" pivotButton="0" quotePrefix="0" xfId="0">
      <alignment vertical="center"/>
    </xf>
    <xf numFmtId="40" fontId="3" fillId="7" borderId="17" applyAlignment="1" pivotButton="0" quotePrefix="0" xfId="0">
      <alignment vertical="center"/>
    </xf>
    <xf numFmtId="40" fontId="3" fillId="7" borderId="18" applyAlignment="1" pivotButton="0" quotePrefix="0" xfId="0">
      <alignment vertical="center"/>
    </xf>
    <xf numFmtId="40" fontId="3" fillId="7" borderId="19" applyAlignment="1" pivotButton="0" quotePrefix="0" xfId="0">
      <alignment vertical="center"/>
    </xf>
    <xf numFmtId="40" fontId="3" fillId="7" borderId="20" applyAlignment="1" pivotButton="0" quotePrefix="0" xfId="0">
      <alignment vertical="center"/>
    </xf>
    <xf numFmtId="0" fontId="3" fillId="7" borderId="0" applyAlignment="1" pivotButton="0" quotePrefix="0" xfId="0">
      <alignment horizontal="left" vertical="center"/>
    </xf>
    <xf numFmtId="49" fontId="3" fillId="7" borderId="0" applyAlignment="1" pivotButton="0" quotePrefix="0" xfId="0">
      <alignment vertical="center"/>
    </xf>
    <xf numFmtId="14" fontId="3" fillId="7" borderId="0" applyAlignment="1" pivotButton="0" quotePrefix="0" xfId="0">
      <alignment vertical="center"/>
    </xf>
    <xf numFmtId="40" fontId="3" fillId="7" borderId="21" applyAlignment="1" pivotButton="0" quotePrefix="0" xfId="0">
      <alignment vertical="center"/>
    </xf>
    <xf numFmtId="40" fontId="3" fillId="7" borderId="22" applyAlignment="1" pivotButton="0" quotePrefix="0" xfId="0">
      <alignment vertical="center"/>
    </xf>
    <xf numFmtId="40" fontId="3" fillId="7" borderId="23" applyAlignment="1" pivotButton="0" quotePrefix="0" xfId="0">
      <alignment vertical="center"/>
    </xf>
    <xf numFmtId="14" fontId="3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40" fontId="3" fillId="3" borderId="19" applyAlignment="1" pivotButton="0" quotePrefix="0" xfId="0">
      <alignment vertical="center"/>
    </xf>
    <xf numFmtId="4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40" fontId="7" fillId="0" borderId="25" applyAlignment="1" pivotButton="0" quotePrefix="0" xfId="0">
      <alignment vertical="center"/>
    </xf>
    <xf numFmtId="40" fontId="7" fillId="0" borderId="26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7" fillId="0" borderId="27" applyAlignment="1" pivotButton="0" quotePrefix="0" xfId="0">
      <alignment vertical="center"/>
    </xf>
    <xf numFmtId="40" fontId="7" fillId="0" borderId="28" applyAlignment="1" pivotButton="0" quotePrefix="0" xfId="0">
      <alignment vertical="center"/>
    </xf>
    <xf numFmtId="40" fontId="7" fillId="0" borderId="29" applyAlignment="1" pivotButton="0" quotePrefix="0" xfId="0">
      <alignment vertical="center"/>
    </xf>
    <xf numFmtId="40" fontId="7" fillId="0" borderId="30" applyAlignment="1" pivotButton="0" quotePrefix="0" xfId="0">
      <alignment vertical="center"/>
    </xf>
    <xf numFmtId="0" fontId="3" fillId="0" borderId="0" applyAlignment="1" pivotButton="0" quotePrefix="0" xfId="49">
      <alignment vertical="center"/>
    </xf>
    <xf numFmtId="0" fontId="8" fillId="0" borderId="0" applyAlignment="1" pivotButton="0" quotePrefix="0" xfId="49">
      <alignment vertical="center"/>
    </xf>
    <xf numFmtId="0" fontId="9" fillId="0" borderId="0" applyAlignment="1" pivotButton="0" quotePrefix="0" xfId="49">
      <alignment vertical="center"/>
    </xf>
    <xf numFmtId="0" fontId="10" fillId="0" borderId="0" applyAlignment="1" pivotButton="0" quotePrefix="0" xfId="49">
      <alignment vertical="center"/>
    </xf>
    <xf numFmtId="0" fontId="11" fillId="0" borderId="0" applyAlignment="1" pivotButton="0" quotePrefix="0" xfId="49">
      <alignment vertical="center"/>
    </xf>
    <xf numFmtId="0" fontId="12" fillId="0" borderId="0" applyAlignment="1" pivotButton="0" quotePrefix="0" xfId="49">
      <alignment vertical="center"/>
    </xf>
    <xf numFmtId="0" fontId="13" fillId="0" borderId="0" applyAlignment="1" pivotButton="0" quotePrefix="0" xfId="49">
      <alignment vertical="center"/>
    </xf>
    <xf numFmtId="0" fontId="13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15" fillId="0" borderId="0" applyAlignment="1" pivotButton="0" quotePrefix="0" xfId="49">
      <alignment horizontal="right" vertical="center"/>
    </xf>
    <xf numFmtId="0" fontId="16" fillId="0" borderId="0" applyAlignment="1" pivotButton="0" quotePrefix="0" xfId="49">
      <alignment horizontal="center" vertical="center"/>
    </xf>
    <xf numFmtId="0" fontId="17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horizontal="right" vertical="center"/>
    </xf>
    <xf numFmtId="0" fontId="19" fillId="0" borderId="0" applyAlignment="1" pivotButton="0" quotePrefix="0" xfId="49">
      <alignment vertical="center"/>
    </xf>
    <xf numFmtId="0" fontId="8" fillId="0" borderId="0" applyAlignment="1" pivotButton="0" quotePrefix="0" xfId="49">
      <alignment horizontal="right" vertical="center"/>
    </xf>
    <xf numFmtId="0" fontId="19" fillId="0" borderId="0" applyAlignment="1" pivotButton="0" quotePrefix="0" xfId="49">
      <alignment vertical="top" wrapText="1"/>
    </xf>
    <xf numFmtId="0" fontId="19" fillId="0" borderId="0" applyAlignment="1" pivotButton="0" quotePrefix="0" xfId="49">
      <alignment horizontal="right" vertical="top" wrapText="1"/>
    </xf>
    <xf numFmtId="14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vertical="center"/>
    </xf>
    <xf numFmtId="14" fontId="21" fillId="0" borderId="0" applyAlignment="1" pivotButton="0" quotePrefix="0" xfId="49">
      <alignment horizontal="left" vertical="center"/>
    </xf>
    <xf numFmtId="0" fontId="22" fillId="8" borderId="31" applyAlignment="1" pivotButton="0" quotePrefix="0" xfId="49">
      <alignment horizontal="center" vertical="center"/>
    </xf>
    <xf numFmtId="0" fontId="22" fillId="8" borderId="32" applyAlignment="1" pivotButton="0" quotePrefix="0" xfId="49">
      <alignment horizontal="center" vertical="center"/>
    </xf>
    <xf numFmtId="0" fontId="22" fillId="8" borderId="33" applyAlignment="1" pivotButton="0" quotePrefix="0" xfId="49">
      <alignment horizontal="center" vertical="center"/>
    </xf>
    <xf numFmtId="0" fontId="9" fillId="0" borderId="0" applyAlignment="1" pivotButton="0" quotePrefix="0" xfId="49">
      <alignment horizontal="right" vertical="center"/>
    </xf>
    <xf numFmtId="0" fontId="23" fillId="0" borderId="34" applyAlignment="1" pivotButton="0" quotePrefix="0" xfId="49">
      <alignment horizontal="left" vertical="center" indent="1"/>
    </xf>
    <xf numFmtId="0" fontId="23" fillId="0" borderId="0" applyAlignment="1" pivotButton="0" quotePrefix="0" xfId="49">
      <alignment horizontal="left" vertical="center" indent="1"/>
    </xf>
    <xf numFmtId="43" fontId="23" fillId="0" borderId="0" applyAlignment="1" pivotButton="0" quotePrefix="0" xfId="49">
      <alignment horizontal="left" vertical="center"/>
    </xf>
    <xf numFmtId="168" fontId="24" fillId="0" borderId="35" applyAlignment="1" pivotButton="0" quotePrefix="0" xfId="49">
      <alignment horizontal="left" vertical="center"/>
    </xf>
    <xf numFmtId="164" fontId="10" fillId="0" borderId="0" applyAlignment="1" pivotButton="0" quotePrefix="0" xfId="49">
      <alignment horizontal="right" vertical="center"/>
    </xf>
    <xf numFmtId="0" fontId="3" fillId="0" borderId="34" applyAlignment="1" pivotButton="0" quotePrefix="0" xfId="49">
      <alignment horizontal="left" vertical="center" indent="3"/>
    </xf>
    <xf numFmtId="0" fontId="3" fillId="0" borderId="0" applyAlignment="1" pivotButton="0" quotePrefix="0" xfId="49">
      <alignment horizontal="left" vertical="center" indent="3"/>
    </xf>
    <xf numFmtId="43" fontId="3" fillId="0" borderId="0" applyAlignment="1" pivotButton="0" quotePrefix="0" xfId="49">
      <alignment horizontal="left" vertical="center" indent="1"/>
    </xf>
    <xf numFmtId="168" fontId="3" fillId="0" borderId="35" applyAlignment="1" pivotButton="0" quotePrefix="0" xfId="49">
      <alignment horizontal="left" vertical="center"/>
    </xf>
    <xf numFmtId="164" fontId="11" fillId="0" borderId="0" applyAlignment="1" pivotButton="0" quotePrefix="0" xfId="49">
      <alignment horizontal="right" vertical="center"/>
    </xf>
    <xf numFmtId="164" fontId="13" fillId="0" borderId="0" applyAlignment="1" pivotButton="0" quotePrefix="0" xfId="49">
      <alignment horizontal="right" vertical="center"/>
    </xf>
    <xf numFmtId="0" fontId="3" fillId="0" borderId="34" applyAlignment="1" pivotButton="0" quotePrefix="0" xfId="49">
      <alignment horizontal="left" vertical="center" indent="1"/>
    </xf>
    <xf numFmtId="0" fontId="3" fillId="0" borderId="0" applyAlignment="1" pivotButton="0" quotePrefix="0" xfId="49">
      <alignment horizontal="left" vertical="center" indent="1"/>
    </xf>
    <xf numFmtId="0" fontId="3" fillId="0" borderId="34" applyAlignment="1" pivotButton="0" quotePrefix="0" xfId="49">
      <alignment horizontal="center" vertical="center"/>
    </xf>
    <xf numFmtId="0" fontId="3" fillId="0" borderId="0" applyAlignment="1" pivotButton="0" quotePrefix="0" xfId="49">
      <alignment horizontal="center" vertical="center"/>
    </xf>
    <xf numFmtId="43" fontId="3" fillId="0" borderId="0" applyAlignment="1" pivotButton="0" quotePrefix="0" xfId="49">
      <alignment horizontal="left" vertical="center"/>
    </xf>
    <xf numFmtId="168" fontId="23" fillId="0" borderId="35" applyAlignment="1" pivotButton="0" quotePrefix="0" xfId="49">
      <alignment horizontal="left" vertical="center"/>
    </xf>
    <xf numFmtId="164" fontId="12" fillId="0" borderId="0" applyAlignment="1" pivotButton="0" quotePrefix="0" xfId="49">
      <alignment horizontal="right" vertical="center"/>
    </xf>
    <xf numFmtId="0" fontId="3" fillId="0" borderId="34" applyAlignment="1" pivotButton="0" quotePrefix="0" xfId="49">
      <alignment horizontal="left" vertical="center" indent="2"/>
    </xf>
    <xf numFmtId="0" fontId="3" fillId="0" borderId="0" applyAlignment="1" pivotButton="0" quotePrefix="0" xfId="49">
      <alignment horizontal="left" vertical="center" indent="2"/>
    </xf>
    <xf numFmtId="0" fontId="5" fillId="0" borderId="34" applyAlignment="1" pivotButton="0" quotePrefix="0" xfId="49">
      <alignment horizontal="left" vertical="center" indent="1"/>
    </xf>
    <xf numFmtId="0" fontId="5" fillId="0" borderId="0" applyAlignment="1" pivotButton="0" quotePrefix="0" xfId="49">
      <alignment horizontal="left" vertical="center" indent="1"/>
    </xf>
    <xf numFmtId="43" fontId="13" fillId="0" borderId="0" applyAlignment="1" pivotButton="0" quotePrefix="0" xfId="49">
      <alignment horizontal="left" vertical="center"/>
    </xf>
    <xf numFmtId="168" fontId="13" fillId="0" borderId="35" applyAlignment="1" pivotButton="0" quotePrefix="0" xfId="49">
      <alignment horizontal="left" vertical="center"/>
    </xf>
    <xf numFmtId="0" fontId="25" fillId="0" borderId="36" applyAlignment="1" pivotButton="0" quotePrefix="0" xfId="49">
      <alignment horizontal="left" vertical="center" indent="1"/>
    </xf>
    <xf numFmtId="0" fontId="25" fillId="0" borderId="37" applyAlignment="1" pivotButton="0" quotePrefix="0" xfId="49">
      <alignment horizontal="left" vertical="center" indent="1"/>
    </xf>
    <xf numFmtId="43" fontId="25" fillId="0" borderId="37" applyAlignment="1" pivotButton="0" quotePrefix="0" xfId="49">
      <alignment horizontal="left" vertical="center"/>
    </xf>
    <xf numFmtId="168" fontId="25" fillId="0" borderId="38" applyAlignment="1" pivotButton="0" quotePrefix="0" xfId="49">
      <alignment horizontal="left" vertical="center"/>
    </xf>
    <xf numFmtId="0" fontId="25" fillId="0" borderId="0" applyAlignment="1" pivotButton="0" quotePrefix="0" xfId="49">
      <alignment vertical="center"/>
    </xf>
    <xf numFmtId="0" fontId="25" fillId="0" borderId="0" applyAlignment="1" pivotButton="0" quotePrefix="0" xfId="49">
      <alignment horizontal="center" vertical="center"/>
    </xf>
    <xf numFmtId="43" fontId="25" fillId="0" borderId="0" applyAlignment="1" pivotButton="0" quotePrefix="0" xfId="49">
      <alignment vertical="center"/>
    </xf>
    <xf numFmtId="168" fontId="25" fillId="0" borderId="0" applyAlignment="1" pivotButton="0" quotePrefix="0" xfId="49">
      <alignment horizontal="right" vertical="center"/>
    </xf>
    <xf numFmtId="0" fontId="25" fillId="0" borderId="0" applyAlignment="1" pivotButton="0" quotePrefix="0" xfId="49">
      <alignment horizontal="right" vertical="center"/>
    </xf>
    <xf numFmtId="0" fontId="26" fillId="0" borderId="0" applyAlignment="1" pivotButton="0" quotePrefix="0" xfId="49">
      <alignment vertical="center" wrapText="1"/>
    </xf>
    <xf numFmtId="169" fontId="26" fillId="0" borderId="0" applyAlignment="1" pivotButton="0" quotePrefix="0" xfId="49">
      <alignment horizontal="left" vertical="center" indent="1"/>
    </xf>
    <xf numFmtId="43" fontId="27" fillId="0" borderId="39" applyAlignment="1" pivotButton="0" quotePrefix="0" xfId="49">
      <alignment horizontal="right" vertical="center"/>
    </xf>
    <xf numFmtId="43" fontId="27" fillId="0" borderId="40" applyAlignment="1" pivotButton="0" quotePrefix="0" xfId="49">
      <alignment horizontal="right" vertical="center"/>
    </xf>
    <xf numFmtId="168" fontId="27" fillId="0" borderId="41" applyAlignment="1" pivotButton="0" quotePrefix="0" xfId="49">
      <alignment horizontal="right" vertical="center"/>
    </xf>
    <xf numFmtId="0" fontId="26" fillId="0" borderId="0" applyAlignment="1" pivotButton="0" quotePrefix="0" xfId="49">
      <alignment vertical="center"/>
    </xf>
    <xf numFmtId="43" fontId="27" fillId="0" borderId="42" applyAlignment="1" pivotButton="0" quotePrefix="0" xfId="49">
      <alignment horizontal="right" vertical="center"/>
    </xf>
    <xf numFmtId="43" fontId="27" fillId="0" borderId="0" applyAlignment="1" pivotButton="0" quotePrefix="0" xfId="49">
      <alignment horizontal="right" vertical="center"/>
    </xf>
    <xf numFmtId="168" fontId="27" fillId="0" borderId="43" applyAlignment="1" pivotButton="0" quotePrefix="0" xfId="49">
      <alignment horizontal="right" vertical="center"/>
    </xf>
    <xf numFmtId="40" fontId="25" fillId="0" borderId="0" applyAlignment="1" pivotButton="0" quotePrefix="0" xfId="49">
      <alignment vertical="center"/>
    </xf>
    <xf numFmtId="40" fontId="27" fillId="0" borderId="44" applyAlignment="1" pivotButton="0" quotePrefix="0" xfId="49">
      <alignment horizontal="right" vertical="center"/>
    </xf>
    <xf numFmtId="40" fontId="27" fillId="0" borderId="45" applyAlignment="1" pivotButton="0" quotePrefix="0" xfId="49">
      <alignment horizontal="right" vertical="center"/>
    </xf>
    <xf numFmtId="168" fontId="27" fillId="0" borderId="46" applyAlignment="1" pivotButton="0" quotePrefix="0" xfId="49">
      <alignment horizontal="right" vertical="center"/>
    </xf>
    <xf numFmtId="43" fontId="5" fillId="0" borderId="42" applyAlignment="1" pivotButton="0" quotePrefix="0" xfId="49">
      <alignment horizontal="right" vertical="center"/>
    </xf>
    <xf numFmtId="43" fontId="5" fillId="0" borderId="0" applyAlignment="1" pivotButton="0" quotePrefix="0" xfId="49">
      <alignment horizontal="right" vertical="center"/>
    </xf>
    <xf numFmtId="168" fontId="5" fillId="0" borderId="43" applyAlignment="1" pivotButton="0" quotePrefix="0" xfId="49">
      <alignment horizontal="right" vertical="center"/>
    </xf>
    <xf numFmtId="43" fontId="5" fillId="0" borderId="42" applyAlignment="1" pivotButton="0" quotePrefix="0" xfId="49">
      <alignment horizontal="right" vertical="center" indent="1"/>
    </xf>
    <xf numFmtId="43" fontId="5" fillId="0" borderId="0" applyAlignment="1" pivotButton="0" quotePrefix="0" xfId="49">
      <alignment horizontal="right" vertical="center" indent="1"/>
    </xf>
    <xf numFmtId="0" fontId="5" fillId="0" borderId="0" applyAlignment="1" pivotButton="0" quotePrefix="0" xfId="49">
      <alignment vertical="center"/>
    </xf>
    <xf numFmtId="43" fontId="5" fillId="0" borderId="47" applyAlignment="1" pivotButton="0" quotePrefix="0" xfId="49">
      <alignment horizontal="right" vertical="center"/>
    </xf>
    <xf numFmtId="43" fontId="5" fillId="0" borderId="48" applyAlignment="1" pivotButton="0" quotePrefix="0" xfId="49">
      <alignment horizontal="right" vertical="center"/>
    </xf>
    <xf numFmtId="168" fontId="5" fillId="0" borderId="49" applyAlignment="1" pivotButton="0" quotePrefix="0" xfId="49">
      <alignment horizontal="right" vertical="center"/>
    </xf>
    <xf numFmtId="168" fontId="13" fillId="0" borderId="0" applyAlignment="1" pivotButton="0" quotePrefix="0" xfId="49">
      <alignment vertical="center"/>
    </xf>
    <xf numFmtId="0" fontId="5" fillId="9" borderId="0" applyAlignment="1" pivotButton="0" quotePrefix="0" xfId="49">
      <alignment horizontal="center"/>
    </xf>
    <xf numFmtId="164" fontId="13" fillId="10" borderId="0" applyAlignment="1" pivotButton="0" quotePrefix="0" xfId="49">
      <alignment horizontal="left" vertical="center" wrapText="1" indent="2"/>
    </xf>
    <xf numFmtId="164" fontId="13" fillId="10" borderId="50" applyAlignment="1" pivotButton="0" quotePrefix="0" xfId="49">
      <alignment horizontal="left" vertical="center" wrapText="1" indent="2"/>
    </xf>
    <xf numFmtId="164" fontId="13" fillId="10" borderId="51" applyAlignment="1" pivotButton="0" quotePrefix="0" xfId="49">
      <alignment horizontal="left" vertical="center" wrapText="1" indent="2"/>
    </xf>
    <xf numFmtId="0" fontId="0" fillId="0" borderId="32" pivotButton="0" quotePrefix="0" xfId="0"/>
    <xf numFmtId="43" fontId="23" fillId="0" borderId="0" applyAlignment="1" pivotButton="0" quotePrefix="0" xfId="49">
      <alignment horizontal="left" vertical="center"/>
    </xf>
    <xf numFmtId="168" fontId="24" fillId="0" borderId="35" applyAlignment="1" pivotButton="0" quotePrefix="0" xfId="49">
      <alignment horizontal="left" vertical="center"/>
    </xf>
    <xf numFmtId="164" fontId="10" fillId="0" borderId="0" applyAlignment="1" pivotButton="0" quotePrefix="0" xfId="49">
      <alignment horizontal="right" vertical="center"/>
    </xf>
    <xf numFmtId="43" fontId="3" fillId="0" borderId="0" applyAlignment="1" pivotButton="0" quotePrefix="0" xfId="49">
      <alignment horizontal="left" vertical="center" indent="1"/>
    </xf>
    <xf numFmtId="168" fontId="3" fillId="0" borderId="35" applyAlignment="1" pivotButton="0" quotePrefix="0" xfId="49">
      <alignment horizontal="left" vertical="center"/>
    </xf>
    <xf numFmtId="164" fontId="11" fillId="0" borderId="0" applyAlignment="1" pivotButton="0" quotePrefix="0" xfId="49">
      <alignment horizontal="right" vertical="center"/>
    </xf>
    <xf numFmtId="164" fontId="13" fillId="0" borderId="0" applyAlignment="1" pivotButton="0" quotePrefix="0" xfId="49">
      <alignment horizontal="right" vertical="center"/>
    </xf>
    <xf numFmtId="43" fontId="3" fillId="0" borderId="0" applyAlignment="1" pivotButton="0" quotePrefix="0" xfId="49">
      <alignment horizontal="left" vertical="center"/>
    </xf>
    <xf numFmtId="168" fontId="23" fillId="0" borderId="35" applyAlignment="1" pivotButton="0" quotePrefix="0" xfId="49">
      <alignment horizontal="left" vertical="center"/>
    </xf>
    <xf numFmtId="164" fontId="12" fillId="0" borderId="0" applyAlignment="1" pivotButton="0" quotePrefix="0" xfId="49">
      <alignment horizontal="right" vertical="center"/>
    </xf>
    <xf numFmtId="43" fontId="13" fillId="0" borderId="0" applyAlignment="1" pivotButton="0" quotePrefix="0" xfId="49">
      <alignment horizontal="left" vertical="center"/>
    </xf>
    <xf numFmtId="168" fontId="13" fillId="0" borderId="35" applyAlignment="1" pivotButton="0" quotePrefix="0" xfId="49">
      <alignment horizontal="left" vertical="center"/>
    </xf>
    <xf numFmtId="0" fontId="0" fillId="0" borderId="37" pivotButton="0" quotePrefix="0" xfId="0"/>
    <xf numFmtId="43" fontId="25" fillId="0" borderId="37" applyAlignment="1" pivotButton="0" quotePrefix="0" xfId="49">
      <alignment horizontal="left" vertical="center"/>
    </xf>
    <xf numFmtId="168" fontId="25" fillId="0" borderId="38" applyAlignment="1" pivotButton="0" quotePrefix="0" xfId="49">
      <alignment horizontal="left" vertical="center"/>
    </xf>
    <xf numFmtId="43" fontId="25" fillId="0" borderId="0" applyAlignment="1" pivotButton="0" quotePrefix="0" xfId="49">
      <alignment vertical="center"/>
    </xf>
    <xf numFmtId="168" fontId="25" fillId="0" borderId="0" applyAlignment="1" pivotButton="0" quotePrefix="0" xfId="49">
      <alignment horizontal="right" vertical="center"/>
    </xf>
    <xf numFmtId="169" fontId="26" fillId="0" borderId="0" applyAlignment="1" pivotButton="0" quotePrefix="0" xfId="49">
      <alignment horizontal="left" vertical="center" indent="1"/>
    </xf>
    <xf numFmtId="43" fontId="27" fillId="0" borderId="39" applyAlignment="1" pivotButton="0" quotePrefix="0" xfId="49">
      <alignment horizontal="right" vertical="center"/>
    </xf>
    <xf numFmtId="0" fontId="0" fillId="0" borderId="40" pivotButton="0" quotePrefix="0" xfId="0"/>
    <xf numFmtId="168" fontId="27" fillId="0" borderId="41" applyAlignment="1" pivotButton="0" quotePrefix="0" xfId="49">
      <alignment horizontal="right" vertical="center"/>
    </xf>
    <xf numFmtId="43" fontId="27" fillId="0" borderId="42" applyAlignment="1" pivotButton="0" quotePrefix="0" xfId="49">
      <alignment horizontal="right" vertical="center"/>
    </xf>
    <xf numFmtId="168" fontId="27" fillId="0" borderId="43" applyAlignment="1" pivotButton="0" quotePrefix="0" xfId="49">
      <alignment horizontal="right" vertical="center"/>
    </xf>
    <xf numFmtId="0" fontId="0" fillId="0" borderId="45" pivotButton="0" quotePrefix="0" xfId="0"/>
    <xf numFmtId="168" fontId="27" fillId="0" borderId="46" applyAlignment="1" pivotButton="0" quotePrefix="0" xfId="49">
      <alignment horizontal="right" vertical="center"/>
    </xf>
    <xf numFmtId="43" fontId="5" fillId="0" borderId="42" applyAlignment="1" pivotButton="0" quotePrefix="0" xfId="49">
      <alignment horizontal="right" vertical="center"/>
    </xf>
    <xf numFmtId="168" fontId="5" fillId="0" borderId="43" applyAlignment="1" pivotButton="0" quotePrefix="0" xfId="49">
      <alignment horizontal="right" vertical="center"/>
    </xf>
    <xf numFmtId="43" fontId="5" fillId="0" borderId="42" applyAlignment="1" pivotButton="0" quotePrefix="0" xfId="49">
      <alignment horizontal="right" vertical="center" indent="1"/>
    </xf>
    <xf numFmtId="43" fontId="5" fillId="0" borderId="47" applyAlignment="1" pivotButton="0" quotePrefix="0" xfId="49">
      <alignment horizontal="right" vertical="center"/>
    </xf>
    <xf numFmtId="0" fontId="0" fillId="0" borderId="48" pivotButton="0" quotePrefix="0" xfId="0"/>
    <xf numFmtId="168" fontId="5" fillId="0" borderId="49" applyAlignment="1" pivotButton="0" quotePrefix="0" xfId="49">
      <alignment horizontal="right" vertical="center"/>
    </xf>
    <xf numFmtId="168" fontId="13" fillId="0" borderId="0" applyAlignment="1" pivotButton="0" quotePrefix="0" xfId="49">
      <alignment vertical="center"/>
    </xf>
    <xf numFmtId="164" fontId="13" fillId="10" borderId="50" applyAlignment="1" pivotButton="0" quotePrefix="0" xfId="49">
      <alignment horizontal="left" vertical="center" wrapText="1" indent="2"/>
    </xf>
    <xf numFmtId="0" fontId="0" fillId="0" borderId="50" pivotButton="0" quotePrefix="0" xfId="0"/>
    <xf numFmtId="164" fontId="13" fillId="10" borderId="51" applyAlignment="1" pivotButton="0" quotePrefix="0" xfId="49">
      <alignment horizontal="left" vertical="center" wrapText="1" indent="2"/>
    </xf>
    <xf numFmtId="164" fontId="3" fillId="0" borderId="0" applyAlignment="1" pivotButton="0" quotePrefix="0" xfId="0">
      <alignment vertical="center"/>
    </xf>
    <xf numFmtId="0" fontId="0" fillId="0" borderId="6" pivotButton="0" quotePrefix="0" xfId="0"/>
    <xf numFmtId="0" fontId="0" fillId="0" borderId="24" pivotButton="0" quotePrefix="0" xfId="0"/>
    <xf numFmtId="0" fontId="0" fillId="0" borderId="63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applyAlignment="1" pivotButton="0" quotePrefix="0" xfId="0">
      <alignment horizontal="center" vertical="center" wrapText="1"/>
    </xf>
    <xf numFmtId="0" fontId="0" fillId="0" borderId="4" pivotButton="0" quotePrefix="0" xfId="0"/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 wrapText="1"/>
    </xf>
    <xf numFmtId="164" fontId="2" fillId="4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4" fontId="1" fillId="6" borderId="0" applyAlignment="1" pivotButton="0" quotePrefix="0" xfId="0">
      <alignment horizontal="right" vertical="center"/>
    </xf>
    <xf numFmtId="164" fontId="1" fillId="6" borderId="0" applyAlignment="1" pivotButton="0" quotePrefix="0" xfId="0">
      <alignment horizontal="center" vertical="center"/>
    </xf>
    <xf numFmtId="164" fontId="1" fillId="5" borderId="0" applyAlignment="1" pivotButton="0" quotePrefix="0" xfId="0">
      <alignment horizontal="right" vertical="center"/>
    </xf>
    <xf numFmtId="164" fontId="1" fillId="5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7" fontId="0" fillId="0" borderId="0" pivotButton="0" quotePrefix="0" xfId="0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千分位 2" xfId="51"/>
    <cellStyle name="一般_Sheet1 2" xfId="52"/>
  </cellStyles>
  <dxfs count="1">
    <dxf>
      <font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Siyu Liu</author>
  </authors>
  <commentList>
    <comment ref="CK1" authorId="0" shapeId="0">
      <text>
        <t>Siyu Liu:
公司社保公积金调整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1095828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631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opLeftCell="A10" zoomScale="150" zoomScaleNormal="150" workbookViewId="0">
      <selection activeCell="B29" sqref="B29"/>
    </sheetView>
  </sheetViews>
  <sheetFormatPr baseColWidth="8" defaultColWidth="9.09166666666667" defaultRowHeight="11.25"/>
  <cols>
    <col width="15.3666666666667" customWidth="1" style="93" min="1" max="1"/>
    <col width="23.45" customWidth="1" style="93" min="2" max="2"/>
    <col width="5.45" customWidth="1" style="93" min="3" max="3"/>
    <col width="14" customWidth="1" style="93" min="4" max="4"/>
    <col width="14.0916666666667" customWidth="1" style="93" min="5" max="5"/>
    <col width="14.3666666666667" customWidth="1" style="94" min="6" max="6"/>
    <col width="9.09166666666667" customWidth="1" style="94" min="7" max="7"/>
    <col width="9.09166666666667" customWidth="1" style="93" min="8" max="8"/>
    <col width="9.09166666666667" customWidth="1" style="93" min="9" max="9"/>
    <col width="9.09166666666667" customWidth="1" style="93" min="10" max="16384"/>
  </cols>
  <sheetData>
    <row r="1" ht="19" customHeight="1" s="3">
      <c r="B1" s="95" t="inlineStr">
        <is>
          <t>NNRoad – Employer of Record, Payroll Worldwide</t>
        </is>
      </c>
      <c r="G1" s="96" t="n"/>
      <c r="H1" s="94" t="n"/>
    </row>
    <row r="2" ht="14.25" customHeight="1" s="3">
      <c r="B2" s="97" t="inlineStr">
        <is>
          <t>333 W San Carlos St., Suite 600, San Jose, CA 95113, USA</t>
        </is>
      </c>
      <c r="G2" s="96" t="n"/>
      <c r="H2" s="94" t="n"/>
    </row>
    <row r="3" ht="18" customFormat="1" customHeight="1" s="87">
      <c r="B3" s="97" t="inlineStr">
        <is>
          <t>USA: +1 (669) 377-5080 | www.NNRoad.com</t>
        </is>
      </c>
      <c r="G3" s="96" t="n"/>
      <c r="H3" s="96" t="n"/>
    </row>
    <row r="4" ht="14.15" customFormat="1" customHeight="1" s="87">
      <c r="G4" s="96" t="n"/>
      <c r="H4" s="96" t="n"/>
    </row>
    <row r="5" ht="32.15" customFormat="1" customHeight="1" s="87">
      <c r="A5" s="98" t="inlineStr">
        <is>
          <t>INVOICE</t>
        </is>
      </c>
      <c r="G5" s="96" t="n"/>
      <c r="H5" s="96" t="n"/>
    </row>
    <row r="6" ht="12" customFormat="1" customHeight="1" s="87">
      <c r="A6" s="99" t="n"/>
      <c r="B6" s="99" t="n"/>
      <c r="C6" s="99" t="n"/>
      <c r="D6" s="99" t="n"/>
      <c r="E6" s="99" t="n"/>
      <c r="F6" s="99" t="n"/>
      <c r="G6" s="96" t="n"/>
      <c r="H6" s="96" t="n"/>
    </row>
    <row r="7" ht="13" customFormat="1" customHeight="1" s="87">
      <c r="A7" s="100" t="inlineStr">
        <is>
          <t>Bill to:</t>
        </is>
      </c>
      <c r="B7" s="100" t="n"/>
      <c r="C7" s="100" t="n"/>
      <c r="D7" s="100" t="n"/>
      <c r="E7" s="100" t="n"/>
      <c r="G7" s="96" t="n"/>
      <c r="H7" s="96" t="n"/>
    </row>
    <row r="8" ht="13" customFormat="1" customHeight="1" s="88">
      <c r="A8" s="101" t="inlineStr">
        <is>
          <t>Company name:</t>
        </is>
      </c>
      <c r="B8" s="102" t="inlineStr">
        <is>
          <t>Hermetic Solutions Group, Inc</t>
        </is>
      </c>
      <c r="C8" s="103" t="n"/>
      <c r="D8" s="101" t="inlineStr">
        <is>
          <t>Currency</t>
        </is>
      </c>
      <c r="E8" s="101" t="n"/>
      <c r="F8" s="102" t="inlineStr">
        <is>
          <t>USD</t>
        </is>
      </c>
      <c r="G8" s="104" t="n"/>
    </row>
    <row r="9" ht="13" customFormat="1" customHeight="1" s="88">
      <c r="A9" s="101" t="inlineStr">
        <is>
          <t>Client ID:</t>
        </is>
      </c>
      <c r="B9" s="102" t="inlineStr">
        <is>
          <t>CUS15253</t>
        </is>
      </c>
      <c r="C9" s="105" t="n"/>
      <c r="D9" s="101" t="inlineStr">
        <is>
          <t>Invoice number</t>
        </is>
      </c>
      <c r="E9" s="101" t="n"/>
      <c r="F9" s="102" t="inlineStr">
        <is>
          <t>PN-CUS15253-031820261</t>
        </is>
      </c>
      <c r="G9" s="104" t="n"/>
    </row>
    <row r="10" ht="13" customFormat="1" customHeight="1" s="87">
      <c r="A10" s="101" t="inlineStr">
        <is>
          <t>Address:</t>
        </is>
      </c>
      <c r="B10" s="106" t="inlineStr">
        <is>
          <t>Eight Neshaminy Interplex,Suite 221, Trevose. PA 19053</t>
        </is>
      </c>
      <c r="C10" s="105" t="n"/>
      <c r="D10" s="101" t="inlineStr">
        <is>
          <t>Invoice date</t>
        </is>
      </c>
      <c r="E10" s="101" t="n"/>
      <c r="F10" s="107">
        <f>TODAY()</f>
        <v/>
      </c>
      <c r="G10" s="96" t="n"/>
    </row>
    <row r="11" ht="12" customFormat="1" customHeight="1" s="88">
      <c r="A11" s="108" t="n"/>
      <c r="D11" s="101" t="inlineStr">
        <is>
          <t>Due date</t>
        </is>
      </c>
      <c r="E11" s="101" t="n"/>
      <c r="F11" s="107" t="n">
        <v>46105</v>
      </c>
      <c r="G11" s="104" t="n"/>
    </row>
    <row r="12" ht="12" customFormat="1" customHeight="1" s="87">
      <c r="A12" s="109" t="n"/>
      <c r="B12" s="109" t="n"/>
      <c r="C12" s="109" t="n"/>
      <c r="D12" s="109" t="n"/>
      <c r="E12" s="110" t="n"/>
      <c r="G12" s="96" t="n"/>
    </row>
    <row r="13" ht="12" customHeight="1" s="3"/>
    <row r="14" ht="28" customFormat="1" customHeight="1" s="89">
      <c r="A14" s="111" t="inlineStr">
        <is>
          <t>Description</t>
        </is>
      </c>
      <c r="B14" s="175" t="n"/>
      <c r="C14" s="175" t="n"/>
      <c r="D14" s="112" t="n"/>
      <c r="E14" s="112">
        <f>"Amount "&amp;China!C6</f>
        <v/>
      </c>
      <c r="F14" s="113" t="inlineStr">
        <is>
          <t>Approx. In USD*</t>
        </is>
      </c>
      <c r="G14" s="114" t="n"/>
    </row>
    <row r="15" ht="16" customFormat="1" customHeight="1" s="90">
      <c r="A15" s="115" t="inlineStr">
        <is>
          <t>EOR/PEO Cost</t>
        </is>
      </c>
      <c r="D15" s="116" t="n"/>
      <c r="E15" s="176">
        <f>SUM(E16:E17)</f>
        <v/>
      </c>
      <c r="F15" s="177">
        <f>SUM(F16:F17)</f>
        <v/>
      </c>
      <c r="G15" s="178" t="n"/>
    </row>
    <row r="16" ht="12.75" customFormat="1" customHeight="1" s="91">
      <c r="A16" s="120">
        <f>"- Labor cost for "&amp;China!B9&amp;"  -  "&amp;MONTH(China!B2)&amp;"-"&amp;YEAR(China!B2)</f>
        <v/>
      </c>
      <c r="D16" s="121" t="n"/>
      <c r="E16" s="179">
        <f>China!K9+China!AQ9+China!BC9</f>
        <v/>
      </c>
      <c r="F16" s="180">
        <f>E16/$B$29</f>
        <v/>
      </c>
      <c r="G16" s="181" t="n"/>
    </row>
    <row r="17" ht="12.75" customHeight="1" s="3">
      <c r="A17" s="120">
        <f>"- "&amp;+"Expense claim for "&amp;China!B9</f>
        <v/>
      </c>
      <c r="D17" s="121" t="n"/>
      <c r="E17" s="179">
        <f>China!BF9</f>
        <v/>
      </c>
      <c r="F17" s="180">
        <f>E17/$B$29</f>
        <v/>
      </c>
      <c r="G17" s="182" t="n"/>
    </row>
    <row r="18" ht="12.75" customHeight="1" s="3">
      <c r="A18" s="126" t="n"/>
      <c r="D18" s="127" t="n"/>
      <c r="E18" s="179" t="n"/>
      <c r="F18" s="180" t="n"/>
      <c r="G18" s="182" t="n"/>
    </row>
    <row r="19" ht="12.75" customHeight="1" s="3">
      <c r="A19" s="128" t="n"/>
      <c r="D19" s="129" t="n"/>
      <c r="E19" s="183" t="n"/>
      <c r="F19" s="180" t="n"/>
      <c r="G19" s="182" t="n"/>
    </row>
    <row r="20" ht="16" customFormat="1" customHeight="1" s="92">
      <c r="A20" s="115" t="inlineStr">
        <is>
          <t>Service Fee</t>
        </is>
      </c>
      <c r="D20" s="116" t="n"/>
      <c r="E20" s="176">
        <f>SUM(E21:E22)</f>
        <v/>
      </c>
      <c r="F20" s="184">
        <f>SUM(F21:F22)</f>
        <v/>
      </c>
      <c r="G20" s="185" t="n"/>
    </row>
    <row r="21" ht="12.75" customHeight="1" s="3">
      <c r="A21" s="133">
        <f>"- "&amp;+"Management Fee - "&amp;MONTH(China!$B$2)&amp;"-"&amp;YEAR(China!$B$2)</f>
        <v/>
      </c>
      <c r="D21" s="134" t="n"/>
      <c r="E21" s="183">
        <f>China!G9</f>
        <v/>
      </c>
      <c r="F21" s="180">
        <f>E21/$B$29</f>
        <v/>
      </c>
      <c r="G21" s="182" t="n"/>
    </row>
    <row r="22" ht="12.75" customHeight="1" s="3">
      <c r="A22" s="133" t="n"/>
      <c r="D22" s="134" t="n"/>
      <c r="E22" s="183" t="n"/>
      <c r="F22" s="180" t="n"/>
      <c r="G22" s="182" t="n"/>
    </row>
    <row r="23" ht="16" customFormat="1" customHeight="1" s="92">
      <c r="A23" s="115" t="inlineStr">
        <is>
          <t>Recurring Deposit</t>
        </is>
      </c>
      <c r="D23" s="116" t="n"/>
      <c r="E23" s="176">
        <f>SUM(E24)</f>
        <v/>
      </c>
      <c r="F23" s="184">
        <f>SUM(F24)</f>
        <v/>
      </c>
      <c r="G23" s="185" t="n"/>
    </row>
    <row r="24" ht="12.75" customHeight="1" s="3">
      <c r="A24" s="133">
        <f>"- "&amp;+"Deposit  for "&amp;China!B9&amp;"  -  "&amp;MONTH(China!B2)&amp;"-"&amp;YEAR(China!B2)</f>
        <v/>
      </c>
      <c r="D24" s="134" t="n"/>
      <c r="E24" s="183">
        <f>China!BI9</f>
        <v/>
      </c>
      <c r="F24" s="180">
        <f>E24/$B$29</f>
        <v/>
      </c>
      <c r="G24" s="182" t="n"/>
    </row>
    <row r="25" ht="14.25" customHeight="1" s="3">
      <c r="A25" s="135" t="n"/>
      <c r="D25" s="136" t="n"/>
      <c r="E25" s="186" t="n"/>
      <c r="F25" s="187" t="n"/>
      <c r="G25" s="182" t="n"/>
    </row>
    <row r="26" ht="15" customFormat="1" customHeight="1" s="90">
      <c r="A26" s="139" t="inlineStr">
        <is>
          <t xml:space="preserve">EOR/PEO Service Cost		</t>
        </is>
      </c>
      <c r="B26" s="188" t="n"/>
      <c r="C26" s="188" t="n"/>
      <c r="D26" s="188" t="n"/>
      <c r="E26" s="189">
        <f>E15+E20+E23</f>
        <v/>
      </c>
      <c r="F26" s="190">
        <f>F15+F20+F23</f>
        <v/>
      </c>
      <c r="G26" s="178" t="n"/>
    </row>
    <row r="27" ht="14.25" customFormat="1" customHeight="1" s="90">
      <c r="A27" s="143" t="n"/>
      <c r="B27" s="143" t="n"/>
      <c r="C27" s="144" t="n"/>
      <c r="D27" s="144" t="n"/>
      <c r="E27" s="191" t="n"/>
      <c r="F27" s="192" t="n"/>
      <c r="G27" s="178" t="n"/>
    </row>
    <row r="28" ht="15" customFormat="1" customHeight="1" s="90">
      <c r="A28" s="147" t="n"/>
      <c r="B28" s="147" t="n"/>
      <c r="C28" s="147" t="n"/>
      <c r="D28" s="147" t="n"/>
      <c r="E28" s="191" t="n"/>
      <c r="F28" s="192" t="n"/>
      <c r="G28" s="178" t="n"/>
    </row>
    <row r="29" ht="25.5" customHeight="1" s="3">
      <c r="A29" s="148">
        <f>"*FX rate  USD:  "&amp;China!C6</f>
        <v/>
      </c>
      <c r="B29" s="193" t="n">
        <v>6.8</v>
      </c>
      <c r="C29" s="191" t="n"/>
      <c r="D29" s="194" t="inlineStr">
        <is>
          <t>EOR/PEO Service Cost</t>
        </is>
      </c>
      <c r="E29" s="195" t="n"/>
      <c r="F29" s="196">
        <f>F26</f>
        <v/>
      </c>
      <c r="G29" s="182" t="n"/>
    </row>
    <row r="30" ht="16" customFormat="1" customHeight="1" s="91">
      <c r="A30" s="153" t="n"/>
      <c r="B30" s="153" t="n"/>
      <c r="C30" s="191" t="n"/>
      <c r="D30" s="197" t="inlineStr">
        <is>
          <t xml:space="preserve">Outstanding payment </t>
        </is>
      </c>
      <c r="F30" s="198">
        <f>China!E22</f>
        <v/>
      </c>
      <c r="G30" s="181" t="n"/>
    </row>
    <row r="31" ht="14.25" customFormat="1" customHeight="1" s="91">
      <c r="A31" s="153" t="n"/>
      <c r="B31" s="153" t="n"/>
      <c r="C31" s="191" t="n"/>
      <c r="D31" s="197" t="inlineStr">
        <is>
          <t xml:space="preserve">FX difference </t>
        </is>
      </c>
      <c r="F31" s="198">
        <f>China!E23</f>
        <v/>
      </c>
      <c r="G31" s="181" t="n"/>
    </row>
    <row r="32" ht="14.25" customHeight="1" s="3">
      <c r="A32" s="153" t="n"/>
      <c r="B32" s="153" t="n"/>
      <c r="C32" s="191" t="n"/>
      <c r="D32" s="197" t="inlineStr">
        <is>
          <t xml:space="preserve">Interests of delay </t>
        </is>
      </c>
      <c r="F32" s="198">
        <f>China!E24</f>
        <v/>
      </c>
      <c r="G32" s="182" t="n"/>
    </row>
    <row r="33" ht="15" customHeight="1" s="3">
      <c r="A33" s="153" t="n"/>
      <c r="B33" s="153" t="n"/>
      <c r="C33" s="157" t="n"/>
      <c r="D33" s="158" t="inlineStr">
        <is>
          <t xml:space="preserve">Bank Charges </t>
        </is>
      </c>
      <c r="E33" s="199" t="n"/>
      <c r="F33" s="200">
        <f>China!E25</f>
        <v/>
      </c>
      <c r="G33" s="182" t="n"/>
    </row>
    <row r="34" ht="14.25" customHeight="1" s="3">
      <c r="A34" s="153" t="n"/>
      <c r="B34" s="153" t="n"/>
      <c r="C34" s="191" t="n"/>
      <c r="D34" s="201" t="inlineStr">
        <is>
          <t xml:space="preserve">Sub Total (Excluding Tax)		</t>
        </is>
      </c>
      <c r="F34" s="202">
        <f>SUM(F29:F33)</f>
        <v/>
      </c>
      <c r="G34" s="182" t="n"/>
    </row>
    <row r="35" ht="14.25" customHeight="1" s="3">
      <c r="A35" s="153" t="n"/>
      <c r="B35" s="153" t="n"/>
      <c r="C35" s="191" t="n"/>
      <c r="D35" s="203" t="inlineStr">
        <is>
          <t>Tax</t>
        </is>
      </c>
      <c r="F35" s="202">
        <f>China!F6/$B$29</f>
        <v/>
      </c>
      <c r="G35" s="182" t="n"/>
    </row>
    <row r="36" ht="15" customHeight="1" s="3">
      <c r="A36" s="166" t="n"/>
      <c r="B36" s="166" t="n"/>
      <c r="C36" s="191" t="n"/>
      <c r="D36" s="204" t="inlineStr">
        <is>
          <t xml:space="preserve">Total		</t>
        </is>
      </c>
      <c r="E36" s="205" t="n"/>
      <c r="F36" s="206">
        <f>SUM(F34:F35)</f>
        <v/>
      </c>
      <c r="G36" s="182" t="n"/>
      <c r="H36" s="207" t="n"/>
    </row>
    <row r="37" ht="14.25" customHeight="1" s="3">
      <c r="A37" s="136" t="n"/>
      <c r="B37" s="136" t="n"/>
      <c r="C37" s="136" t="n"/>
      <c r="D37" s="136" t="n"/>
      <c r="E37" s="157" t="n"/>
      <c r="F37" s="157" t="n"/>
      <c r="G37" s="182" t="n"/>
    </row>
    <row r="38" ht="14.25" customHeight="1" s="3">
      <c r="A38" s="136" t="n"/>
      <c r="B38" s="136" t="n"/>
      <c r="C38" s="136" t="n"/>
      <c r="D38" s="136" t="n"/>
      <c r="E38" s="157" t="n"/>
      <c r="F38" s="157" t="n"/>
      <c r="G38" s="182" t="n"/>
    </row>
    <row r="39">
      <c r="G39" s="182" t="n"/>
    </row>
    <row r="40" ht="19" customHeight="1" s="3">
      <c r="A40" s="171" t="inlineStr">
        <is>
          <t xml:space="preserve">Please pay the Invoice in FULL AMOUNT </t>
        </is>
      </c>
    </row>
    <row r="41" ht="61" customHeight="1" s="3">
      <c r="A41" s="208" t="inlineStr">
        <is>
          <t>Beneficiary: NNROAD, INC.
Bank Name: Chase Bank
Bank Account: 132827913
Bank Add.: 690 River Oaks Parkway Ste A, San Jose, CA 95134, USA</t>
        </is>
      </c>
      <c r="C41" s="209" t="n"/>
      <c r="D41" s="210" t="inlineStr">
        <is>
          <t xml:space="preserve">
SWIFT BIC (international transfer): CHASUS33XXX
Routing Number (domestic wire transfer): 021000021
Routing Number (domestic ACH and direct deposit): 322271627</t>
        </is>
      </c>
    </row>
    <row r="42">
      <c r="A42" s="93" t="inlineStr">
        <is>
          <t>Notes:</t>
        </is>
      </c>
    </row>
    <row r="43" ht="11.15" customHeight="1" s="3">
      <c r="A43" s="90" t="inlineStr">
        <is>
          <t>1. Please ensure that you include the Invoice Number when making your payment. This will help us accurately process and allocate your payment .</t>
        </is>
      </c>
      <c r="B43" s="90" t="n"/>
      <c r="C43" s="90" t="n"/>
      <c r="D43" s="90" t="n"/>
      <c r="E43" s="90" t="n"/>
      <c r="F43" s="90" t="n"/>
    </row>
    <row r="44">
      <c r="A44" s="90" t="inlineStr">
        <is>
          <t>2. This document becomes a Tax Invoice/Receipt upon payment. Please retain a copy for your records.</t>
        </is>
      </c>
    </row>
    <row r="45">
      <c r="A45" s="90" t="inlineStr">
        <is>
          <t>3. This is a computer generated document.  No Signature required.</t>
        </is>
      </c>
    </row>
  </sheetData>
  <mergeCells count="29">
    <mergeCell ref="A25:C25"/>
    <mergeCell ref="A41:C41"/>
    <mergeCell ref="D41:F41"/>
    <mergeCell ref="D34:E34"/>
    <mergeCell ref="B3:F3"/>
    <mergeCell ref="A18:C18"/>
    <mergeCell ref="A21:C21"/>
    <mergeCell ref="D36:E36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19:C19"/>
    <mergeCell ref="A40:F40"/>
    <mergeCell ref="A15:C15"/>
    <mergeCell ref="A24:C24"/>
    <mergeCell ref="D30:E30"/>
    <mergeCell ref="D33:E33"/>
    <mergeCell ref="D29:E29"/>
    <mergeCell ref="A26:D26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6"/>
  <sheetViews>
    <sheetView tabSelected="1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I22" sqref="I22"/>
    </sheetView>
  </sheetViews>
  <sheetFormatPr baseColWidth="8" defaultColWidth="9.09166666666667" defaultRowHeight="12.75"/>
  <cols>
    <col width="8.90833333333333" customWidth="1" style="32" min="1" max="1"/>
    <col width="18" customWidth="1" style="33" min="2" max="2"/>
    <col width="11" customWidth="1" style="33" min="3" max="3"/>
    <col width="7.45" customWidth="1" style="33" min="4" max="4"/>
    <col width="8.366666666666671" customWidth="1" style="33" min="5" max="5"/>
    <col width="7.45" customWidth="1" style="33" min="6" max="8"/>
    <col width="6.63333333333333" customWidth="1" style="33" min="9" max="9"/>
    <col width="6.36666666666667" customWidth="1" style="33" min="10" max="10"/>
    <col width="8.366666666666671" customWidth="1" style="33" min="11" max="12"/>
    <col width="7.90833333333333" customWidth="1" style="33" min="13" max="13"/>
    <col width="4.63333333333333" customWidth="1" style="33" min="14" max="15"/>
    <col width="7.90833333333333" customWidth="1" style="33" min="16" max="20"/>
    <col width="6.09166666666667" customWidth="1" style="33" min="21" max="23"/>
    <col width="7.45" customWidth="1" style="33" min="24" max="24"/>
    <col width="6.09166666666667" customWidth="1" style="33" min="25" max="25"/>
    <col width="7.90833333333333" customWidth="1" style="33" min="26" max="26"/>
    <col width="6.09166666666667" customWidth="1" style="33" min="27" max="29"/>
    <col width="7.90833333333333" customWidth="1" style="33" min="30" max="31"/>
    <col width="4.63333333333333" customWidth="1" style="33" min="32" max="33"/>
    <col width="7.90833333333333" customWidth="1" style="33" min="34" max="34"/>
    <col width="9.449999999999999" customWidth="1" style="33" min="35" max="36"/>
    <col width="11.0916666666667" customWidth="1" style="33" min="37" max="37"/>
    <col width="6.09166666666667" customWidth="1" style="33" min="38" max="39"/>
    <col width="10.0916666666667" customWidth="1" style="33" min="40" max="40"/>
    <col width="15.0916666666667" customWidth="1" style="33" min="41" max="41"/>
    <col width="7.90833333333333" customWidth="1" style="33" min="42" max="42"/>
    <col width="8.366666666666671" customWidth="1" style="33" min="43" max="43"/>
    <col width="7.90833333333333" customWidth="1" style="33" min="44" max="46"/>
    <col width="6.36666666666667" customWidth="1" style="33" min="47" max="48"/>
    <col width="6.09166666666667" customWidth="1" style="33" min="49" max="49"/>
    <col width="7.45" customWidth="1" style="33" min="50" max="50"/>
    <col width="6.09166666666667" customWidth="1" style="33" min="51" max="53"/>
    <col width="7.45" customWidth="1" style="33" min="54" max="54"/>
    <col width="6.63333333333333" customWidth="1" style="33" min="55" max="55"/>
    <col width="7.90833333333333" customWidth="1" style="33" min="56" max="57"/>
    <col width="6.63333333333333" customWidth="1" style="33" min="58" max="58"/>
    <col width="6.36666666666667" customWidth="1" style="33" min="59" max="59"/>
    <col width="7" customWidth="1" style="33" min="60" max="60"/>
    <col width="8.90833333333333" customWidth="1" style="33" min="61" max="61"/>
    <col width="9.09166666666667" customWidth="1" style="33" min="62" max="16384"/>
  </cols>
  <sheetData>
    <row r="1" ht="13.5" customHeight="1" s="3">
      <c r="A1" s="32">
        <f>MID(CELL("filename",A1),FIND("]",CELL("filename",A1))+1,256)</f>
        <v/>
      </c>
    </row>
    <row r="2" ht="13.5" customHeight="1" s="3">
      <c r="A2" s="34" t="inlineStr">
        <is>
          <t>Pay Period</t>
        </is>
      </c>
      <c r="B2" s="68">
        <f>EOMONTH(TODAY(),-1)+1</f>
        <v/>
      </c>
      <c r="C2" s="68">
        <f>EOMONTH(TODAY(),0)</f>
        <v/>
      </c>
      <c r="E2" s="36" t="inlineStr">
        <is>
          <t>ER</t>
        </is>
      </c>
    </row>
    <row r="3" ht="13" customFormat="1" customHeight="1" s="30">
      <c r="A3" s="34" t="n"/>
      <c r="B3" s="211" t="n"/>
      <c r="E3" s="69" t="inlineStr">
        <is>
          <t>Sum</t>
        </is>
      </c>
      <c r="F3" s="70" t="inlineStr">
        <is>
          <t>Business
Tax</t>
        </is>
      </c>
      <c r="G3" s="70" t="inlineStr">
        <is>
          <t>Management Fee</t>
        </is>
      </c>
      <c r="H3" s="212" t="n"/>
      <c r="I3" s="212" t="n"/>
      <c r="J3" s="213" t="n"/>
      <c r="K3" s="43" t="inlineStr">
        <is>
          <t>Gross Salary</t>
        </is>
      </c>
      <c r="L3" s="212" t="n"/>
      <c r="M3" s="212" t="n"/>
      <c r="N3" s="212" t="n"/>
      <c r="O3" s="212" t="n"/>
      <c r="P3" s="212" t="n"/>
      <c r="Q3" s="212" t="n"/>
      <c r="R3" s="212" t="n"/>
      <c r="S3" s="212" t="n"/>
      <c r="T3" s="212" t="n"/>
      <c r="U3" s="212" t="n"/>
      <c r="V3" s="212" t="n"/>
      <c r="W3" s="212" t="n"/>
      <c r="X3" s="212" t="n"/>
      <c r="Y3" s="212" t="n"/>
      <c r="Z3" s="212" t="n"/>
      <c r="AA3" s="212" t="n"/>
      <c r="AB3" s="212" t="n"/>
      <c r="AC3" s="212" t="n"/>
      <c r="AD3" s="212" t="n"/>
      <c r="AE3" s="212" t="n"/>
      <c r="AF3" s="212" t="n"/>
      <c r="AG3" s="213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3" t="inlineStr">
        <is>
          <t>Mandatory Contribution</t>
        </is>
      </c>
      <c r="AR3" s="212" t="n"/>
      <c r="AS3" s="212" t="n"/>
      <c r="AT3" s="212" t="n"/>
      <c r="AU3" s="212" t="n"/>
      <c r="AV3" s="212" t="n"/>
      <c r="AW3" s="212" t="n"/>
      <c r="AX3" s="212" t="n"/>
      <c r="AY3" s="212" t="n"/>
      <c r="AZ3" s="212" t="n"/>
      <c r="BA3" s="212" t="n"/>
      <c r="BB3" s="213" t="n"/>
      <c r="BC3" s="43" t="inlineStr">
        <is>
          <t>Other Payment For EE</t>
        </is>
      </c>
      <c r="BD3" s="212" t="n"/>
      <c r="BE3" s="213" t="n"/>
      <c r="BF3" s="43" t="inlineStr">
        <is>
          <t>Expense Claim</t>
        </is>
      </c>
      <c r="BG3" s="212" t="n"/>
      <c r="BH3" s="213" t="n"/>
      <c r="BI3" s="75" t="inlineStr">
        <is>
          <t>Refundable
Deposit</t>
        </is>
      </c>
    </row>
    <row r="4" ht="51.75" customFormat="1" customHeight="1" s="30">
      <c r="E4" s="214" t="n"/>
      <c r="F4" s="215" t="n"/>
      <c r="G4" s="48" t="inlineStr">
        <is>
          <t>Subtotal</t>
        </is>
      </c>
      <c r="H4" s="49" t="inlineStr">
        <is>
          <t>For
Recurring</t>
        </is>
      </c>
      <c r="I4" s="49" t="inlineStr">
        <is>
          <t>For
Expense</t>
        </is>
      </c>
      <c r="J4" s="49" t="inlineStr">
        <is>
          <t>Other</t>
        </is>
      </c>
      <c r="K4" s="48" t="inlineStr">
        <is>
          <t>Subtotal</t>
        </is>
      </c>
      <c r="L4" s="49" t="inlineStr">
        <is>
          <t>基本工资</t>
        </is>
      </c>
      <c r="M4" s="49" t="inlineStr">
        <is>
          <t>浮动工资</t>
        </is>
      </c>
      <c r="N4" s="49" t="inlineStr">
        <is>
          <t>月奖</t>
        </is>
      </c>
      <c r="O4" s="49" t="inlineStr">
        <is>
          <t>季奖</t>
        </is>
      </c>
      <c r="P4" s="49" t="inlineStr">
        <is>
          <t>其他奖金</t>
        </is>
      </c>
      <c r="Q4" s="49" t="inlineStr">
        <is>
          <t>加班工资150</t>
        </is>
      </c>
      <c r="R4" s="49" t="inlineStr">
        <is>
          <t>加班工资200</t>
        </is>
      </c>
      <c r="S4" s="49" t="inlineStr">
        <is>
          <t>加班工资300</t>
        </is>
      </c>
      <c r="T4" s="49" t="inlineStr">
        <is>
          <t>入离职缺勤扣</t>
        </is>
      </c>
      <c r="U4" s="49" t="inlineStr">
        <is>
          <t>扣事假</t>
        </is>
      </c>
      <c r="V4" s="49" t="inlineStr">
        <is>
          <t>扣旷工</t>
        </is>
      </c>
      <c r="W4" s="49" t="inlineStr">
        <is>
          <t>扣病假</t>
        </is>
      </c>
      <c r="X4" s="49" t="inlineStr">
        <is>
          <t>交通费</t>
        </is>
      </c>
      <c r="Y4" s="49" t="inlineStr">
        <is>
          <t>通讯费</t>
        </is>
      </c>
      <c r="Z4" s="49" t="inlineStr">
        <is>
          <t>其他津贴</t>
        </is>
      </c>
      <c r="AA4" s="49" t="inlineStr">
        <is>
          <t>中班费</t>
        </is>
      </c>
      <c r="AB4" s="49" t="inlineStr">
        <is>
          <t>夜班费</t>
        </is>
      </c>
      <c r="AC4" s="49" t="inlineStr">
        <is>
          <t>高温费</t>
        </is>
      </c>
      <c r="AD4" s="49" t="inlineStr">
        <is>
          <t>高温作业费</t>
        </is>
      </c>
      <c r="AE4" s="49" t="inlineStr">
        <is>
          <t>有毒有害作业费</t>
        </is>
      </c>
      <c r="AF4" s="49" t="inlineStr">
        <is>
          <t>补发</t>
        </is>
      </c>
      <c r="AG4" s="50" t="inlineStr">
        <is>
          <t>补扣</t>
        </is>
      </c>
      <c r="AH4" s="50" t="inlineStr">
        <is>
          <t>税前调整</t>
        </is>
      </c>
      <c r="AI4" s="50" t="inlineStr">
        <is>
          <t>公司负税项</t>
        </is>
      </c>
      <c r="AJ4" s="50" t="inlineStr">
        <is>
          <t>独生子女费</t>
        </is>
      </c>
      <c r="AK4" s="50" t="inlineStr">
        <is>
          <t>外籍生活津贴</t>
        </is>
      </c>
      <c r="AL4" s="50" t="inlineStr">
        <is>
          <t>税后补</t>
        </is>
      </c>
      <c r="AM4" s="50" t="inlineStr">
        <is>
          <t>税后扣</t>
        </is>
      </c>
      <c r="AN4" s="50" t="inlineStr">
        <is>
          <t>13薪/年终奖</t>
        </is>
      </c>
      <c r="AO4" s="50" t="inlineStr">
        <is>
          <t>离职补偿金/赔偿金</t>
        </is>
      </c>
      <c r="AP4" s="50" t="inlineStr">
        <is>
          <t>股权激励</t>
        </is>
      </c>
      <c r="AQ4" s="48" t="inlineStr">
        <is>
          <t>Subtotal</t>
        </is>
      </c>
      <c r="AR4" s="49" t="inlineStr">
        <is>
          <t>公司养老</t>
        </is>
      </c>
      <c r="AS4" s="49" t="inlineStr">
        <is>
          <t xml:space="preserve">公司医疗 </t>
        </is>
      </c>
      <c r="AT4" s="49" t="inlineStr">
        <is>
          <t>公司失业</t>
        </is>
      </c>
      <c r="AU4" s="49" t="inlineStr">
        <is>
          <t>生育</t>
        </is>
      </c>
      <c r="AV4" s="49" t="inlineStr">
        <is>
          <t>工伤</t>
        </is>
      </c>
      <c r="AW4" s="49" t="inlineStr">
        <is>
          <t>残保金</t>
        </is>
      </c>
      <c r="AX4" s="49" t="inlineStr">
        <is>
          <t>公积金</t>
        </is>
      </c>
      <c r="AY4" s="49" t="inlineStr">
        <is>
          <t>补充公积金（免税）</t>
        </is>
      </c>
      <c r="AZ4" s="49" t="inlineStr">
        <is>
          <t>工会费</t>
        </is>
      </c>
      <c r="BA4" s="49" t="inlineStr">
        <is>
          <t>雇主责任险</t>
        </is>
      </c>
      <c r="BB4" s="49" t="inlineStr">
        <is>
          <t>公司社保公积金调整</t>
        </is>
      </c>
      <c r="BC4" s="48" t="inlineStr">
        <is>
          <t>Subtotal</t>
        </is>
      </c>
      <c r="BD4" s="49" t="inlineStr">
        <is>
          <t>计税不发</t>
        </is>
      </c>
      <c r="BE4" s="49" t="inlineStr">
        <is>
          <t>当月个税（公司）</t>
        </is>
      </c>
      <c r="BF4" s="48" t="inlineStr">
        <is>
          <t>Subtotal</t>
        </is>
      </c>
      <c r="BG4" s="50" t="inlineStr">
        <is>
          <t>报销款</t>
        </is>
      </c>
      <c r="BH4" s="49" t="inlineStr">
        <is>
          <t>报销款25%</t>
        </is>
      </c>
      <c r="BI4" s="216" t="n"/>
    </row>
    <row r="5" ht="13.5" customFormat="1" customHeight="1" s="30">
      <c r="A5" s="32" t="n"/>
      <c r="E5" s="52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4" t="n"/>
    </row>
    <row r="6" customFormat="1" s="31">
      <c r="A6" s="55" t="n"/>
      <c r="B6" s="31" t="inlineStr">
        <is>
          <t>Sum</t>
        </is>
      </c>
      <c r="C6" s="31" t="inlineStr">
        <is>
          <t>(RMB)</t>
        </is>
      </c>
      <c r="E6" s="59">
        <f>SUM(E9:E18)</f>
        <v/>
      </c>
      <c r="F6" s="60">
        <f>SUM(F9:F18)</f>
        <v/>
      </c>
      <c r="G6" s="60">
        <f>SUM(G9:G18)</f>
        <v/>
      </c>
      <c r="H6" s="60">
        <f>SUM(H9:H18)</f>
        <v/>
      </c>
      <c r="I6" s="60">
        <f>SUM(I9:I18)</f>
        <v/>
      </c>
      <c r="J6" s="60">
        <f>SUM(J9:J18)</f>
        <v/>
      </c>
      <c r="K6" s="60">
        <f>SUM(K9:K18)</f>
        <v/>
      </c>
      <c r="L6" s="60">
        <f>SUM(L9:L18)</f>
        <v/>
      </c>
      <c r="M6" s="60">
        <f>SUM(M9:M18)</f>
        <v/>
      </c>
      <c r="N6" s="60">
        <f>SUM(N9:N18)</f>
        <v/>
      </c>
      <c r="O6" s="60">
        <f>SUM(O9:O18)</f>
        <v/>
      </c>
      <c r="P6" s="60">
        <f>SUM(P9:P18)</f>
        <v/>
      </c>
      <c r="Q6" s="60">
        <f>SUM(Q9:Q18)</f>
        <v/>
      </c>
      <c r="R6" s="60">
        <f>SUM(R9:R18)</f>
        <v/>
      </c>
      <c r="S6" s="60">
        <f>SUM(S9:S18)</f>
        <v/>
      </c>
      <c r="T6" s="60">
        <f>SUM(T9:T18)</f>
        <v/>
      </c>
      <c r="U6" s="60">
        <f>SUM(U9:U18)</f>
        <v/>
      </c>
      <c r="V6" s="60">
        <f>SUM(V9:V18)</f>
        <v/>
      </c>
      <c r="W6" s="60">
        <f>SUM(W9:W18)</f>
        <v/>
      </c>
      <c r="X6" s="60">
        <f>SUM(X9:X18)</f>
        <v/>
      </c>
      <c r="Y6" s="60">
        <f>SUM(Y9:Y18)</f>
        <v/>
      </c>
      <c r="Z6" s="60">
        <f>SUM(Z9:Z18)</f>
        <v/>
      </c>
      <c r="AA6" s="60">
        <f>SUM(AA9:AA18)</f>
        <v/>
      </c>
      <c r="AB6" s="60">
        <f>SUM(AB9:AB18)</f>
        <v/>
      </c>
      <c r="AC6" s="60">
        <f>SUM(AC9:AC18)</f>
        <v/>
      </c>
      <c r="AD6" s="60">
        <f>SUM(AD9:AD18)</f>
        <v/>
      </c>
      <c r="AE6" s="60">
        <f>SUM(AE9:AE18)</f>
        <v/>
      </c>
      <c r="AF6" s="60">
        <f>SUM(AF9:AF18)</f>
        <v/>
      </c>
      <c r="AG6" s="60">
        <f>SUM(AG9:AG18)</f>
        <v/>
      </c>
      <c r="AH6" s="60">
        <f>SUM(AH9:AH18)</f>
        <v/>
      </c>
      <c r="AI6" s="60">
        <f>SUM(AI9:AI18)</f>
        <v/>
      </c>
      <c r="AJ6" s="60">
        <f>SUM(AJ9:AJ18)</f>
        <v/>
      </c>
      <c r="AK6" s="60">
        <f>SUM(AK9:AK18)</f>
        <v/>
      </c>
      <c r="AL6" s="60">
        <f>SUM(AL9:AL18)</f>
        <v/>
      </c>
      <c r="AM6" s="60">
        <f>SUM(AM9:AM18)</f>
        <v/>
      </c>
      <c r="AN6" s="60">
        <f>SUM(AN9:AN18)</f>
        <v/>
      </c>
      <c r="AO6" s="60">
        <f>SUM(AO9:AO18)</f>
        <v/>
      </c>
      <c r="AP6" s="60">
        <f>SUM(AP9:AP18)</f>
        <v/>
      </c>
      <c r="AQ6" s="60">
        <f>SUM(AQ9:AQ18)</f>
        <v/>
      </c>
      <c r="AR6" s="60">
        <f>SUM(AR9:AR18)</f>
        <v/>
      </c>
      <c r="AS6" s="60">
        <f>SUM(AS9:AS18)</f>
        <v/>
      </c>
      <c r="AT6" s="60">
        <f>SUM(AT9:AT18)</f>
        <v/>
      </c>
      <c r="AU6" s="60">
        <f>SUM(AU9:AU18)</f>
        <v/>
      </c>
      <c r="AV6" s="60">
        <f>SUM(AV9:AV18)</f>
        <v/>
      </c>
      <c r="AW6" s="60">
        <f>SUM(AW9:AW18)</f>
        <v/>
      </c>
      <c r="AX6" s="60">
        <f>SUM(AX9:AX18)</f>
        <v/>
      </c>
      <c r="AY6" s="60">
        <f>SUM(AY9:AY18)</f>
        <v/>
      </c>
      <c r="AZ6" s="60">
        <f>SUM(AZ9:AZ18)</f>
        <v/>
      </c>
      <c r="BA6" s="60">
        <f>SUM(BA9:BA18)</f>
        <v/>
      </c>
      <c r="BB6" s="60">
        <f>SUM(BB9:BB18)</f>
        <v/>
      </c>
      <c r="BC6" s="60">
        <f>SUM(BC9:BC18)</f>
        <v/>
      </c>
      <c r="BD6" s="60">
        <f>SUM(BD9:BD18)</f>
        <v/>
      </c>
      <c r="BE6" s="60">
        <f>SUM(BE9:BE18)</f>
        <v/>
      </c>
      <c r="BF6" s="60">
        <f>SUM(BF9:BF18)</f>
        <v/>
      </c>
      <c r="BG6" s="60">
        <f>SUM(BG9:BG18)</f>
        <v/>
      </c>
      <c r="BH6" s="60">
        <f>SUM(BH9:BH18)</f>
        <v/>
      </c>
      <c r="BI6" s="61">
        <f>SUM(BI9:BI18)</f>
        <v/>
      </c>
    </row>
    <row r="7" customFormat="1" s="31">
      <c r="A7" s="62" t="n"/>
      <c r="B7" s="63" t="n"/>
      <c r="C7" s="63" t="n"/>
      <c r="E7" s="59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  <c r="AQ7" s="60" t="n"/>
      <c r="AR7" s="60" t="n"/>
      <c r="AS7" s="60" t="n"/>
      <c r="AT7" s="60" t="n"/>
      <c r="AU7" s="60" t="n"/>
      <c r="AV7" s="60" t="n"/>
      <c r="AW7" s="60" t="n"/>
      <c r="AX7" s="60" t="n"/>
      <c r="AY7" s="60" t="n"/>
      <c r="AZ7" s="60" t="n"/>
      <c r="BA7" s="60" t="n"/>
      <c r="BB7" s="60" t="n"/>
      <c r="BC7" s="60" t="n"/>
      <c r="BD7" s="60" t="n"/>
      <c r="BE7" s="60" t="n"/>
      <c r="BF7" s="60" t="n"/>
      <c r="BG7" s="60" t="n"/>
      <c r="BH7" s="60" t="n"/>
      <c r="BI7" s="61" t="n"/>
    </row>
    <row r="8" customFormat="1" s="31">
      <c r="A8" s="62" t="n"/>
      <c r="E8" s="59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  <c r="AU8" s="60" t="n"/>
      <c r="AV8" s="60" t="n"/>
      <c r="AW8" s="60" t="n"/>
      <c r="AX8" s="60" t="n"/>
      <c r="AY8" s="60" t="n"/>
      <c r="AZ8" s="60" t="n"/>
      <c r="BA8" s="60" t="n"/>
      <c r="BB8" s="60" t="n"/>
      <c r="BC8" s="60" t="n"/>
      <c r="BD8" s="60" t="n"/>
      <c r="BE8" s="60" t="n"/>
      <c r="BF8" s="60" t="n"/>
      <c r="BG8" s="60" t="n"/>
      <c r="BH8" s="60" t="n"/>
      <c r="BI8" s="61" t="n"/>
    </row>
    <row r="9" customFormat="1" s="31">
      <c r="A9" s="55" t="n"/>
      <c r="B9" s="31" t="inlineStr">
        <is>
          <t>CPT</t>
        </is>
      </c>
      <c r="C9" s="63">
        <f>'China-L'!A2</f>
        <v/>
      </c>
      <c r="E9" s="59">
        <f>SUM(F9:G9)+K9+AQ9+BC9+BF9+BI9</f>
        <v/>
      </c>
      <c r="F9" s="60">
        <f>(K9+AQ9+BC9+BF9)*6%</f>
        <v/>
      </c>
      <c r="G9" s="60">
        <f>SUM(H9:J9)</f>
        <v/>
      </c>
      <c r="H9" s="60">
        <f>300*PN!$B$29+IF(AN9=0,0,300*PN!$B$29)</f>
        <v/>
      </c>
      <c r="I9" s="76">
        <f>40*PN!$B$29*1</f>
        <v/>
      </c>
      <c r="J9" s="76" t="n">
        <v>200</v>
      </c>
      <c r="K9" s="60">
        <f>SUM(L9:AP9)</f>
        <v/>
      </c>
      <c r="L9" s="60">
        <f>'China-L'!C2</f>
        <v/>
      </c>
      <c r="M9" s="60">
        <f>'China-L'!D2</f>
        <v/>
      </c>
      <c r="N9" s="60">
        <f>'China-L'!E2</f>
        <v/>
      </c>
      <c r="O9" s="60">
        <f>'China-L'!F2</f>
        <v/>
      </c>
      <c r="P9" s="60">
        <f>'China-L'!G2</f>
        <v/>
      </c>
      <c r="Q9" s="60">
        <f>'China-L'!H2</f>
        <v/>
      </c>
      <c r="R9" s="60">
        <f>'China-L'!I2</f>
        <v/>
      </c>
      <c r="S9" s="60">
        <f>'China-L'!J2</f>
        <v/>
      </c>
      <c r="T9" s="60">
        <f>'China-L'!K2</f>
        <v/>
      </c>
      <c r="U9" s="60">
        <f>'China-L'!L2</f>
        <v/>
      </c>
      <c r="V9" s="60">
        <f>'China-L'!M2</f>
        <v/>
      </c>
      <c r="W9" s="60">
        <f>'China-L'!N2</f>
        <v/>
      </c>
      <c r="X9" s="60">
        <f>'China-L'!O2</f>
        <v/>
      </c>
      <c r="Y9" s="60">
        <f>'China-L'!P2</f>
        <v/>
      </c>
      <c r="Z9" s="60">
        <f>'China-L'!Q2</f>
        <v/>
      </c>
      <c r="AA9" s="60">
        <f>'China-L'!R2</f>
        <v/>
      </c>
      <c r="AB9" s="60">
        <f>'China-L'!S2</f>
        <v/>
      </c>
      <c r="AC9" s="60">
        <f>'China-L'!T2</f>
        <v/>
      </c>
      <c r="AD9" s="60">
        <f>'China-L'!U2</f>
        <v/>
      </c>
      <c r="AE9" s="60">
        <f>'China-L'!V2</f>
        <v/>
      </c>
      <c r="AF9" s="60">
        <f>'China-L'!W2</f>
        <v/>
      </c>
      <c r="AG9" s="60">
        <f>'China-L'!X2</f>
        <v/>
      </c>
      <c r="AH9" s="60">
        <f>'China-L'!Y2</f>
        <v/>
      </c>
      <c r="AI9" s="60">
        <f>'China-L'!AY2</f>
        <v/>
      </c>
      <c r="AJ9" s="60">
        <f>'China-L'!BF2</f>
        <v/>
      </c>
      <c r="AK9" s="60">
        <f>'China-L'!BJ2</f>
        <v/>
      </c>
      <c r="AL9" s="60">
        <f>'China-L'!BK2</f>
        <v/>
      </c>
      <c r="AM9" s="60">
        <f>'China-L'!BL2</f>
        <v/>
      </c>
      <c r="AN9" s="60">
        <f>'China-L'!BM2</f>
        <v/>
      </c>
      <c r="AO9" s="60">
        <f>'China-L'!BO2</f>
        <v/>
      </c>
      <c r="AP9" s="60">
        <f>'China-L'!BQ2</f>
        <v/>
      </c>
      <c r="AQ9" s="60">
        <f>SUM(AR9:BB9)</f>
        <v/>
      </c>
      <c r="AR9" s="60">
        <f>'China-L'!BV2</f>
        <v/>
      </c>
      <c r="AS9" s="60">
        <f>'China-L'!BW2</f>
        <v/>
      </c>
      <c r="AT9" s="60">
        <f>'China-L'!BX2</f>
        <v/>
      </c>
      <c r="AU9" s="60">
        <f>'China-L'!BY2</f>
        <v/>
      </c>
      <c r="AV9" s="60">
        <f>'China-L'!BZ2</f>
        <v/>
      </c>
      <c r="AW9" s="60">
        <f>'China-L'!CA2</f>
        <v/>
      </c>
      <c r="AX9" s="60">
        <f>'China-L'!CB2</f>
        <v/>
      </c>
      <c r="AY9" s="60">
        <f>'China-L'!CC2</f>
        <v/>
      </c>
      <c r="AZ9" s="60">
        <f>'China-L'!CF2</f>
        <v/>
      </c>
      <c r="BA9" s="60">
        <f>'China-L'!CG2</f>
        <v/>
      </c>
      <c r="BB9" s="60">
        <f>'China-L'!CK2</f>
        <v/>
      </c>
      <c r="BC9" s="60">
        <f>SUM(BD9:BE9)</f>
        <v/>
      </c>
      <c r="BD9" s="60">
        <f>'China-L'!AI2</f>
        <v/>
      </c>
      <c r="BE9" s="60">
        <f>'China-L'!BE2</f>
        <v/>
      </c>
      <c r="BF9" s="60">
        <f>SUM(BG9:BH9)</f>
        <v/>
      </c>
      <c r="BG9" s="60">
        <f>'China-L'!BH2</f>
        <v/>
      </c>
      <c r="BH9" s="60">
        <f>+'China-L'!BI2</f>
        <v/>
      </c>
      <c r="BI9" s="61">
        <f>(K9+AQ9+BC9)*20%</f>
        <v/>
      </c>
    </row>
    <row r="10" customFormat="1" s="31">
      <c r="A10" s="55" t="n"/>
      <c r="C10" s="63" t="n"/>
      <c r="E10" s="59" t="n"/>
      <c r="F10" s="60" t="n"/>
      <c r="G10" s="60" t="n"/>
      <c r="H10" s="60" t="n"/>
      <c r="I10" s="76" t="n"/>
      <c r="J10" s="76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  <c r="AU10" s="60" t="n"/>
      <c r="AV10" s="60" t="n"/>
      <c r="AW10" s="60" t="n"/>
      <c r="AX10" s="60" t="n"/>
      <c r="AY10" s="60" t="n"/>
      <c r="AZ10" s="60" t="n"/>
      <c r="BA10" s="60" t="n"/>
      <c r="BB10" s="60" t="n"/>
      <c r="BC10" s="60" t="n"/>
      <c r="BD10" s="60" t="n"/>
      <c r="BE10" s="60" t="n"/>
      <c r="BF10" s="60" t="n"/>
      <c r="BG10" s="60" t="n"/>
      <c r="BH10" s="60" t="n"/>
      <c r="BI10" s="61" t="n"/>
    </row>
    <row r="11" customFormat="1" s="31">
      <c r="A11" s="55" t="n"/>
      <c r="E11" s="59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0" t="n"/>
      <c r="AM11" s="60" t="n"/>
      <c r="AN11" s="60" t="n"/>
      <c r="AO11" s="60" t="n"/>
      <c r="AP11" s="60" t="n"/>
      <c r="AQ11" s="60" t="n"/>
      <c r="AR11" s="60" t="n"/>
      <c r="AS11" s="60" t="n"/>
      <c r="AT11" s="60" t="n"/>
      <c r="AU11" s="60" t="n"/>
      <c r="AV11" s="60" t="n"/>
      <c r="AW11" s="60" t="n"/>
      <c r="AX11" s="60" t="n"/>
      <c r="AY11" s="60" t="n"/>
      <c r="AZ11" s="60" t="n"/>
      <c r="BA11" s="60" t="n"/>
      <c r="BB11" s="60" t="n"/>
      <c r="BC11" s="60" t="n"/>
      <c r="BD11" s="60" t="n"/>
      <c r="BE11" s="60" t="n"/>
      <c r="BF11" s="60" t="n"/>
      <c r="BG11" s="60" t="n"/>
      <c r="BH11" s="60" t="n"/>
      <c r="BI11" s="61" t="n"/>
    </row>
    <row r="12" customFormat="1" s="31">
      <c r="A12" s="55" t="n"/>
      <c r="E12" s="59" t="n"/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0" t="n"/>
      <c r="AV12" s="60" t="n"/>
      <c r="AW12" s="60" t="n"/>
      <c r="AX12" s="60" t="n"/>
      <c r="AY12" s="60" t="n"/>
      <c r="AZ12" s="60" t="n"/>
      <c r="BA12" s="60" t="n"/>
      <c r="BB12" s="60" t="n"/>
      <c r="BC12" s="60" t="n"/>
      <c r="BD12" s="60" t="n"/>
      <c r="BE12" s="60" t="n"/>
      <c r="BF12" s="60" t="n"/>
      <c r="BG12" s="60" t="n"/>
      <c r="BH12" s="60" t="n"/>
      <c r="BI12" s="61" t="n"/>
    </row>
    <row r="13" customFormat="1" s="31">
      <c r="A13" s="55" t="n"/>
      <c r="E13" s="59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60" t="n"/>
      <c r="AG13" s="60" t="n"/>
      <c r="AH13" s="60" t="n"/>
      <c r="AI13" s="60" t="n"/>
      <c r="AJ13" s="60" t="n"/>
      <c r="AK13" s="60" t="n"/>
      <c r="AL13" s="60" t="n"/>
      <c r="AM13" s="60" t="n"/>
      <c r="AN13" s="60" t="n"/>
      <c r="AO13" s="60" t="n"/>
      <c r="AP13" s="60" t="n"/>
      <c r="AQ13" s="60" t="n"/>
      <c r="AR13" s="60" t="n"/>
      <c r="AS13" s="60" t="n"/>
      <c r="AT13" s="60" t="n"/>
      <c r="AU13" s="60" t="n"/>
      <c r="AV13" s="60" t="n"/>
      <c r="AW13" s="60" t="n"/>
      <c r="AX13" s="60" t="n"/>
      <c r="AY13" s="60" t="n"/>
      <c r="AZ13" s="60" t="n"/>
      <c r="BA13" s="60" t="n"/>
      <c r="BB13" s="60" t="n"/>
      <c r="BC13" s="60" t="n"/>
      <c r="BD13" s="60" t="n"/>
      <c r="BE13" s="60" t="n"/>
      <c r="BF13" s="60" t="n"/>
      <c r="BG13" s="60" t="n"/>
      <c r="BH13" s="60" t="n"/>
      <c r="BI13" s="61" t="n"/>
    </row>
    <row r="14" customFormat="1" s="31">
      <c r="A14" s="55" t="n"/>
      <c r="E14" s="59" t="n"/>
      <c r="F14" s="60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0" t="n"/>
      <c r="AI14" s="60" t="n"/>
      <c r="AJ14" s="60" t="n"/>
      <c r="AK14" s="60" t="n"/>
      <c r="AL14" s="60" t="n"/>
      <c r="AM14" s="60" t="n"/>
      <c r="AN14" s="60" t="n"/>
      <c r="AO14" s="60" t="n"/>
      <c r="AP14" s="60" t="n"/>
      <c r="AQ14" s="60" t="n"/>
      <c r="AR14" s="60" t="n"/>
      <c r="AS14" s="60" t="n"/>
      <c r="AT14" s="60" t="n"/>
      <c r="AU14" s="60" t="n"/>
      <c r="AV14" s="60" t="n"/>
      <c r="AW14" s="60" t="n"/>
      <c r="AX14" s="60" t="n"/>
      <c r="AY14" s="60" t="n"/>
      <c r="AZ14" s="60" t="n"/>
      <c r="BA14" s="60" t="n"/>
      <c r="BB14" s="60" t="n"/>
      <c r="BC14" s="60" t="n"/>
      <c r="BD14" s="60" t="n"/>
      <c r="BE14" s="60" t="n"/>
      <c r="BF14" s="60" t="n"/>
      <c r="BG14" s="60" t="n"/>
      <c r="BH14" s="60" t="n"/>
      <c r="BI14" s="61" t="n"/>
    </row>
    <row r="15" customFormat="1" s="31">
      <c r="A15" s="55" t="n"/>
      <c r="E15" s="59" t="n"/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0" t="n"/>
      <c r="AV15" s="60" t="n"/>
      <c r="AW15" s="60" t="n"/>
      <c r="AX15" s="60" t="n"/>
      <c r="AY15" s="60" t="n"/>
      <c r="AZ15" s="60" t="n"/>
      <c r="BA15" s="60" t="n"/>
      <c r="BB15" s="60" t="n"/>
      <c r="BC15" s="60" t="n"/>
      <c r="BD15" s="60" t="n"/>
      <c r="BE15" s="60" t="n"/>
      <c r="BF15" s="60" t="n"/>
      <c r="BG15" s="60" t="n"/>
      <c r="BH15" s="60" t="n"/>
      <c r="BI15" s="61" t="n"/>
    </row>
    <row r="16" customFormat="1" s="31">
      <c r="A16" s="55" t="n"/>
      <c r="E16" s="59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  <c r="AI16" s="60" t="n"/>
      <c r="AJ16" s="60" t="n"/>
      <c r="AK16" s="60" t="n"/>
      <c r="AL16" s="60" t="n"/>
      <c r="AM16" s="60" t="n"/>
      <c r="AN16" s="60" t="n"/>
      <c r="AO16" s="60" t="n"/>
      <c r="AP16" s="60" t="n"/>
      <c r="AQ16" s="60" t="n"/>
      <c r="AR16" s="60" t="n"/>
      <c r="AS16" s="60" t="n"/>
      <c r="AT16" s="60" t="n"/>
      <c r="AU16" s="60" t="n"/>
      <c r="AV16" s="60" t="n"/>
      <c r="AW16" s="60" t="n"/>
      <c r="AX16" s="60" t="n"/>
      <c r="AY16" s="60" t="n"/>
      <c r="AZ16" s="60" t="n"/>
      <c r="BA16" s="60" t="n"/>
      <c r="BB16" s="60" t="n"/>
      <c r="BC16" s="60" t="n"/>
      <c r="BD16" s="60" t="n"/>
      <c r="BE16" s="60" t="n"/>
      <c r="BF16" s="60" t="n"/>
      <c r="BG16" s="60" t="n"/>
      <c r="BH16" s="60" t="n"/>
      <c r="BI16" s="61" t="n"/>
    </row>
    <row r="17" customFormat="1" s="31">
      <c r="A17" s="55" t="n"/>
      <c r="E17" s="59" t="n"/>
      <c r="F17" s="60" t="n"/>
      <c r="G17" s="60" t="n"/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  <c r="AG17" s="60" t="n"/>
      <c r="AH17" s="60" t="n"/>
      <c r="AI17" s="60" t="n"/>
      <c r="AJ17" s="60" t="n"/>
      <c r="AK17" s="60" t="n"/>
      <c r="AL17" s="60" t="n"/>
      <c r="AM17" s="60" t="n"/>
      <c r="AN17" s="60" t="n"/>
      <c r="AO17" s="60" t="n"/>
      <c r="AP17" s="60" t="n"/>
      <c r="AQ17" s="60" t="n"/>
      <c r="AR17" s="60" t="n"/>
      <c r="AS17" s="60" t="n"/>
      <c r="AT17" s="60" t="n"/>
      <c r="AU17" s="60" t="n"/>
      <c r="AV17" s="60" t="n"/>
      <c r="AW17" s="60" t="n"/>
      <c r="AX17" s="60" t="n"/>
      <c r="AY17" s="60" t="n"/>
      <c r="AZ17" s="60" t="n"/>
      <c r="BA17" s="60" t="n"/>
      <c r="BB17" s="60" t="n"/>
      <c r="BC17" s="60" t="n"/>
      <c r="BD17" s="60" t="n"/>
      <c r="BE17" s="60" t="n"/>
      <c r="BF17" s="60" t="n"/>
      <c r="BG17" s="60" t="n"/>
      <c r="BH17" s="60" t="n"/>
      <c r="BI17" s="61" t="n"/>
    </row>
    <row r="18" ht="13.5" customFormat="1" customHeight="1" s="31">
      <c r="A18" s="55" t="n"/>
      <c r="E18" s="65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67" t="n"/>
    </row>
    <row r="19">
      <c r="E19" s="77">
        <f>E9-F9-G9-BI9</f>
        <v/>
      </c>
    </row>
    <row r="20" ht="13.5" customHeight="1" s="3"/>
    <row r="21" ht="14.25" customHeight="1" s="3">
      <c r="A21" s="78" t="inlineStr">
        <is>
          <t>Other Fee</t>
        </is>
      </c>
      <c r="B21" s="79" t="n"/>
      <c r="C21" s="79" t="n"/>
      <c r="D21" s="79" t="n"/>
      <c r="E21" s="80">
        <f>SUM(E22:E26)</f>
        <v/>
      </c>
      <c r="F21" s="81" t="n">
        <v>0</v>
      </c>
      <c r="G21" s="82" t="n"/>
    </row>
    <row r="22" ht="14.25" customHeight="1" s="3">
      <c r="A22" s="78" t="n"/>
      <c r="B22" s="79" t="inlineStr">
        <is>
          <t xml:space="preserve">Outstanding payment </t>
        </is>
      </c>
      <c r="C22" s="79" t="n"/>
      <c r="D22" s="79" t="n"/>
      <c r="E22" s="83" t="n">
        <v>25</v>
      </c>
      <c r="F22" s="84" t="n"/>
    </row>
    <row r="23" ht="14.25" customHeight="1" s="3">
      <c r="A23" s="78" t="n"/>
      <c r="B23" s="79" t="inlineStr">
        <is>
          <t xml:space="preserve">FX difference </t>
        </is>
      </c>
      <c r="C23" s="79" t="n"/>
      <c r="D23" s="79" t="n"/>
      <c r="E23" s="83" t="n"/>
      <c r="F23" s="84" t="n">
        <v>0</v>
      </c>
    </row>
    <row r="24" ht="14.25" customHeight="1" s="3">
      <c r="A24" s="78" t="n"/>
      <c r="B24" s="79" t="inlineStr">
        <is>
          <t>Interests of delay</t>
        </is>
      </c>
      <c r="C24" s="79" t="n"/>
      <c r="D24" s="79" t="n"/>
      <c r="E24" s="83" t="n"/>
      <c r="F24" s="84" t="n">
        <v>0</v>
      </c>
    </row>
    <row r="25" ht="14.25" customHeight="1" s="3">
      <c r="A25" s="78" t="n"/>
      <c r="B25" s="79" t="inlineStr">
        <is>
          <t>Bank Charges</t>
        </is>
      </c>
      <c r="C25" s="79" t="n"/>
      <c r="D25" s="79" t="n"/>
      <c r="E25" s="83">
        <f>10</f>
        <v/>
      </c>
      <c r="F25" s="84" t="n"/>
    </row>
    <row r="26" ht="15" customHeight="1" s="3">
      <c r="A26" s="78" t="n"/>
      <c r="B26" s="79" t="inlineStr">
        <is>
          <t xml:space="preserve">Invoice adjustment </t>
        </is>
      </c>
      <c r="C26" s="79" t="n"/>
      <c r="D26" s="79" t="n"/>
      <c r="E26" s="85" t="n">
        <v>0</v>
      </c>
      <c r="F26" s="86" t="n"/>
    </row>
  </sheetData>
  <mergeCells count="8">
    <mergeCell ref="AQ3:BB3"/>
    <mergeCell ref="G3:J3"/>
    <mergeCell ref="K3:AG3"/>
    <mergeCell ref="E3:E4"/>
    <mergeCell ref="F3:F4"/>
    <mergeCell ref="BC3:BE3"/>
    <mergeCell ref="BI3:BI4"/>
    <mergeCell ref="BF3:BH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9"/>
  <sheetViews>
    <sheetView zoomScale="120" zoomScaleNormal="120" workbookViewId="0">
      <pane xSplit="7" ySplit="4" topLeftCell="W5" activePane="bottomRight" state="frozen"/>
      <selection activeCell="A1" sqref="A1"/>
      <selection pane="topRight" activeCell="A1" sqref="A1"/>
      <selection pane="bottomLeft" activeCell="A1" sqref="A1"/>
      <selection pane="bottomRight" activeCell="G25" sqref="G25"/>
    </sheetView>
  </sheetViews>
  <sheetFormatPr baseColWidth="8" defaultColWidth="9.09166666666667" defaultRowHeight="12.75"/>
  <cols>
    <col width="14" customWidth="1" style="32" min="1" max="1"/>
    <col width="11" customWidth="1" style="33" min="2" max="2"/>
    <col width="25" customWidth="1" style="33" min="3" max="3"/>
    <col width="12.45" customWidth="1" style="33" min="4" max="4"/>
    <col width="12.9083333333333" customWidth="1" style="33" min="5" max="5"/>
    <col width="8.366666666666671" customWidth="1" style="33" min="6" max="6"/>
    <col width="9.09166666666667" customWidth="1" style="33" min="7" max="7"/>
    <col width="9" customWidth="1" style="33" min="8" max="10"/>
    <col width="8.633333333333329" customWidth="1" style="33" min="11" max="11"/>
    <col width="8.09166666666667" customWidth="1" style="33" min="12" max="35"/>
    <col width="9.366666666666671" customWidth="1" style="33" min="36" max="36"/>
    <col width="8.90833333333333" customWidth="1" style="33" min="37" max="37"/>
    <col width="8.09166666666667" customWidth="1" style="33" min="38" max="38"/>
    <col width="9.366666666666671" customWidth="1" style="33" min="39" max="39"/>
    <col width="8.90833333333333" customWidth="1" style="33" min="40" max="40"/>
    <col width="8.449999999999999" customWidth="1" style="33" min="41" max="42"/>
    <col width="7" customWidth="1" style="33" min="43" max="43"/>
    <col width="8.449999999999999" customWidth="1" style="33" min="44" max="44"/>
    <col width="8.09166666666667" customWidth="1" style="33" min="45" max="45"/>
    <col width="7" customWidth="1" style="33" min="46" max="46"/>
    <col width="10.9083333333333" customWidth="1" style="33" min="47" max="47"/>
    <col width="8.09166666666667" customWidth="1" style="33" min="48" max="52"/>
    <col width="5.36666666666667" customWidth="1" style="33" min="53" max="53"/>
    <col width="10" customWidth="1" style="33" min="54" max="54"/>
    <col width="8.09166666666667" customWidth="1" style="33" min="55" max="55"/>
    <col width="9.09166666666667" customWidth="1" style="33" min="56" max="16384"/>
  </cols>
  <sheetData>
    <row r="1" ht="13.5" customHeight="1" s="3">
      <c r="A1" s="32">
        <f>MID(CELL("filename",A1),FIND("]",CELL("filename",A1))+1,256)</f>
        <v/>
      </c>
    </row>
    <row r="2" ht="13.5" customHeight="1" s="3">
      <c r="A2" s="34" t="n"/>
      <c r="B2" s="211" t="n"/>
      <c r="C2" s="211" t="n"/>
      <c r="D2" s="211" t="n"/>
      <c r="E2" s="211" t="n"/>
      <c r="F2" s="211" t="n"/>
      <c r="H2" s="36" t="inlineStr">
        <is>
          <t>EE</t>
        </is>
      </c>
    </row>
    <row r="3" ht="13" customFormat="1" customHeight="1" s="30">
      <c r="A3" s="34" t="n"/>
      <c r="B3" s="37" t="inlineStr">
        <is>
          <t>Client Code</t>
        </is>
      </c>
      <c r="C3" s="37" t="inlineStr">
        <is>
          <t>Client Name</t>
        </is>
      </c>
      <c r="D3" s="37" t="inlineStr">
        <is>
          <t>EE Code</t>
        </is>
      </c>
      <c r="E3" s="37" t="inlineStr">
        <is>
          <t>EE Name</t>
        </is>
      </c>
      <c r="F3" s="217" t="inlineStr">
        <is>
          <t>Pay Period</t>
        </is>
      </c>
      <c r="G3" s="218" t="n"/>
      <c r="H3" s="40" t="inlineStr">
        <is>
          <t>Net
Income</t>
        </is>
      </c>
      <c r="I3" s="41" t="inlineStr">
        <is>
          <t>Salary</t>
        </is>
      </c>
      <c r="J3" s="212" t="n"/>
      <c r="K3" s="212" t="n"/>
      <c r="L3" s="212" t="n"/>
      <c r="M3" s="212" t="n"/>
      <c r="N3" s="212" t="n"/>
      <c r="O3" s="212" t="n"/>
      <c r="P3" s="212" t="n"/>
      <c r="Q3" s="212" t="n"/>
      <c r="R3" s="212" t="n"/>
      <c r="S3" s="212" t="n"/>
      <c r="T3" s="212" t="n"/>
      <c r="U3" s="212" t="n"/>
      <c r="V3" s="212" t="n"/>
      <c r="W3" s="212" t="n"/>
      <c r="X3" s="212" t="n"/>
      <c r="Y3" s="212" t="n"/>
      <c r="Z3" s="212" t="n"/>
      <c r="AA3" s="212" t="n"/>
      <c r="AB3" s="212" t="n"/>
      <c r="AC3" s="212" t="n"/>
      <c r="AD3" s="212" t="n"/>
      <c r="AE3" s="212" t="n"/>
      <c r="AF3" s="212" t="n"/>
      <c r="AG3" s="212" t="n"/>
      <c r="AH3" s="212" t="n"/>
      <c r="AI3" s="212" t="n"/>
      <c r="AJ3" s="212" t="n"/>
      <c r="AK3" s="212" t="n"/>
      <c r="AL3" s="212" t="n"/>
      <c r="AM3" s="212" t="n"/>
      <c r="AN3" s="212" t="n"/>
      <c r="AO3" s="43" t="inlineStr">
        <is>
          <t>Expense Claim</t>
        </is>
      </c>
      <c r="AP3" s="212" t="n"/>
      <c r="AQ3" s="213" t="n"/>
      <c r="AR3" s="43" t="inlineStr">
        <is>
          <t>EE Mandatory Contribution</t>
        </is>
      </c>
      <c r="AS3" s="212" t="n"/>
      <c r="AT3" s="212" t="n"/>
      <c r="AU3" s="212" t="n"/>
      <c r="AV3" s="212" t="n"/>
      <c r="AW3" s="212" t="n"/>
      <c r="AX3" s="212" t="n"/>
      <c r="AY3" s="212" t="n"/>
      <c r="AZ3" s="212" t="n"/>
      <c r="BA3" s="213" t="n"/>
      <c r="BB3" s="43" t="inlineStr">
        <is>
          <t>Deduction</t>
        </is>
      </c>
      <c r="BC3" s="44" t="inlineStr">
        <is>
          <t>IIT</t>
        </is>
      </c>
    </row>
    <row r="4" ht="61" customFormat="1" customHeight="1" s="30">
      <c r="B4" s="214" t="n"/>
      <c r="C4" s="214" t="n"/>
      <c r="D4" s="214" t="n"/>
      <c r="E4" s="214" t="n"/>
      <c r="F4" s="46" t="inlineStr">
        <is>
          <t>From</t>
        </is>
      </c>
      <c r="G4" s="46" t="inlineStr">
        <is>
          <t>To</t>
        </is>
      </c>
      <c r="H4" s="214" t="n"/>
      <c r="I4" s="48" t="inlineStr">
        <is>
          <t>Subtotal</t>
        </is>
      </c>
      <c r="J4" s="49" t="inlineStr">
        <is>
          <t>基本工资</t>
        </is>
      </c>
      <c r="K4" s="49" t="inlineStr">
        <is>
          <t>浮动工资</t>
        </is>
      </c>
      <c r="L4" s="49" t="inlineStr">
        <is>
          <t>月奖</t>
        </is>
      </c>
      <c r="M4" s="49" t="inlineStr">
        <is>
          <t>季奖</t>
        </is>
      </c>
      <c r="N4" s="49" t="inlineStr">
        <is>
          <t>其他奖金</t>
        </is>
      </c>
      <c r="O4" s="49" t="inlineStr">
        <is>
          <t>加班工资150</t>
        </is>
      </c>
      <c r="P4" s="49" t="inlineStr">
        <is>
          <t>加班工资200</t>
        </is>
      </c>
      <c r="Q4" s="49" t="inlineStr">
        <is>
          <t>加班工资300</t>
        </is>
      </c>
      <c r="R4" s="49" t="inlineStr">
        <is>
          <t>入离职缺勤扣</t>
        </is>
      </c>
      <c r="S4" s="49" t="inlineStr">
        <is>
          <t>扣事假</t>
        </is>
      </c>
      <c r="T4" s="49" t="inlineStr">
        <is>
          <t>扣旷工</t>
        </is>
      </c>
      <c r="U4" s="49" t="inlineStr">
        <is>
          <t>扣病假</t>
        </is>
      </c>
      <c r="V4" s="49" t="inlineStr">
        <is>
          <t>交通费</t>
        </is>
      </c>
      <c r="W4" s="49" t="inlineStr">
        <is>
          <t>通讯费</t>
        </is>
      </c>
      <c r="X4" s="49" t="inlineStr">
        <is>
          <t>其他津贴</t>
        </is>
      </c>
      <c r="Y4" s="49" t="inlineStr">
        <is>
          <t>中班费</t>
        </is>
      </c>
      <c r="Z4" s="49" t="inlineStr">
        <is>
          <t>夜班费</t>
        </is>
      </c>
      <c r="AA4" s="49" t="inlineStr">
        <is>
          <t>高温费</t>
        </is>
      </c>
      <c r="AB4" s="49" t="inlineStr">
        <is>
          <t>高温作业费</t>
        </is>
      </c>
      <c r="AC4" s="49" t="inlineStr">
        <is>
          <t>有毒有害作业费</t>
        </is>
      </c>
      <c r="AD4" s="49" t="inlineStr">
        <is>
          <t>补发</t>
        </is>
      </c>
      <c r="AE4" s="49" t="inlineStr">
        <is>
          <t>补扣</t>
        </is>
      </c>
      <c r="AF4" s="49" t="inlineStr">
        <is>
          <t>税前调整</t>
        </is>
      </c>
      <c r="AG4" s="49" t="inlineStr">
        <is>
          <t>公司负税项</t>
        </is>
      </c>
      <c r="AH4" s="49" t="inlineStr">
        <is>
          <t>独生子女费</t>
        </is>
      </c>
      <c r="AI4" s="49" t="inlineStr">
        <is>
          <t>外籍生活津贴</t>
        </is>
      </c>
      <c r="AJ4" s="49" t="inlineStr">
        <is>
          <t>税后补</t>
        </is>
      </c>
      <c r="AK4" s="49" t="inlineStr">
        <is>
          <t>税后扣</t>
        </is>
      </c>
      <c r="AL4" s="50" t="inlineStr">
        <is>
          <t>13薪/年终奖</t>
        </is>
      </c>
      <c r="AM4" s="49" t="inlineStr">
        <is>
          <t>离职补偿金/赔偿金</t>
        </is>
      </c>
      <c r="AN4" s="49" t="inlineStr">
        <is>
          <t>股权激励</t>
        </is>
      </c>
      <c r="AO4" s="48" t="inlineStr">
        <is>
          <t>Subtotal</t>
        </is>
      </c>
      <c r="AP4" s="50" t="inlineStr">
        <is>
          <t>报销款</t>
        </is>
      </c>
      <c r="AQ4" s="49" t="inlineStr">
        <is>
          <t>报销款25%</t>
        </is>
      </c>
      <c r="AR4" s="48" t="inlineStr">
        <is>
          <t>Subtotal</t>
        </is>
      </c>
      <c r="AS4" s="49" t="inlineStr">
        <is>
          <t>缴养老</t>
        </is>
      </c>
      <c r="AT4" s="49" t="inlineStr">
        <is>
          <t>缴医疗</t>
        </is>
      </c>
      <c r="AU4" s="49" t="inlineStr">
        <is>
          <t>缴失业</t>
        </is>
      </c>
      <c r="AV4" s="49" t="inlineStr">
        <is>
          <t>缴公积金</t>
        </is>
      </c>
      <c r="AW4" s="49" t="inlineStr">
        <is>
          <t>缴补充公积金（免税）</t>
        </is>
      </c>
      <c r="AX4" s="49" t="inlineStr">
        <is>
          <t>社保调整</t>
        </is>
      </c>
      <c r="AY4" s="49" t="inlineStr">
        <is>
          <t>公积金调整</t>
        </is>
      </c>
      <c r="AZ4" s="49" t="inlineStr">
        <is>
          <t>年金</t>
        </is>
      </c>
      <c r="BA4" s="49" t="inlineStr">
        <is>
          <t>工会费</t>
        </is>
      </c>
      <c r="BB4" s="215" t="n"/>
      <c r="BC4" s="216" t="n"/>
    </row>
    <row r="5" ht="13.5" customFormat="1" customHeight="1" s="30">
      <c r="A5" s="32" t="n"/>
      <c r="H5" s="52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4" t="n"/>
    </row>
    <row r="6" customFormat="1" s="31">
      <c r="A6" s="55" t="inlineStr">
        <is>
          <t>EOR/PEO(CNY)</t>
        </is>
      </c>
      <c r="H6" s="56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  <c r="AG6" s="57" t="n"/>
      <c r="AH6" s="57" t="n"/>
      <c r="AI6" s="57" t="n"/>
      <c r="AJ6" s="57" t="n"/>
      <c r="AK6" s="57" t="n"/>
      <c r="AL6" s="57" t="n"/>
      <c r="AM6" s="57" t="n"/>
      <c r="AN6" s="57" t="n"/>
      <c r="AO6" s="57" t="n"/>
      <c r="AP6" s="57" t="n"/>
      <c r="AQ6" s="57" t="n"/>
      <c r="AR6" s="57" t="n"/>
      <c r="AS6" s="57" t="n"/>
      <c r="AT6" s="57" t="n"/>
      <c r="AU6" s="57" t="n"/>
      <c r="AV6" s="57" t="n"/>
      <c r="AW6" s="57" t="n"/>
      <c r="AX6" s="57" t="n"/>
      <c r="AY6" s="57" t="n"/>
      <c r="AZ6" s="57" t="n"/>
      <c r="BA6" s="57" t="n"/>
      <c r="BB6" s="57" t="n"/>
      <c r="BC6" s="58" t="n"/>
    </row>
    <row r="7" customFormat="1" s="31">
      <c r="A7" s="55" t="n"/>
      <c r="H7" s="59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  <c r="AQ7" s="60" t="n"/>
      <c r="AR7" s="60" t="n"/>
      <c r="AS7" s="60" t="n"/>
      <c r="AT7" s="60" t="n"/>
      <c r="AU7" s="60" t="n"/>
      <c r="AV7" s="60" t="n"/>
      <c r="AW7" s="60" t="n"/>
      <c r="AX7" s="60" t="n"/>
      <c r="AY7" s="60" t="n"/>
      <c r="AZ7" s="60" t="n"/>
      <c r="BA7" s="60" t="n"/>
      <c r="BB7" s="60" t="n"/>
      <c r="BC7" s="61" t="n"/>
    </row>
    <row r="8" customFormat="1" s="31">
      <c r="A8" s="62" t="n"/>
      <c r="B8" s="63" t="n"/>
      <c r="C8" s="63" t="n"/>
      <c r="D8" s="63" t="n"/>
      <c r="E8" s="63" t="n"/>
      <c r="F8" s="63" t="n"/>
      <c r="G8" s="63" t="n"/>
      <c r="H8" s="59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  <c r="AU8" s="60" t="n"/>
      <c r="AV8" s="60" t="n"/>
      <c r="AW8" s="60" t="n"/>
      <c r="AX8" s="60" t="n"/>
      <c r="AY8" s="60" t="n"/>
      <c r="AZ8" s="60" t="n"/>
      <c r="BA8" s="60" t="n"/>
      <c r="BB8" s="60" t="n"/>
      <c r="BC8" s="61" t="n"/>
    </row>
    <row r="9" customFormat="1" s="31">
      <c r="A9" s="62" t="n"/>
      <c r="H9" s="59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  <c r="AU9" s="60" t="n"/>
      <c r="AV9" s="60" t="n"/>
      <c r="AW9" s="60" t="n"/>
      <c r="AX9" s="60" t="n"/>
      <c r="AY9" s="60" t="n"/>
      <c r="AZ9" s="60" t="n"/>
      <c r="BA9" s="60" t="n"/>
      <c r="BB9" s="60" t="n"/>
      <c r="BC9" s="61" t="n"/>
    </row>
    <row r="10" customFormat="1" s="31">
      <c r="A10" s="55" t="n"/>
      <c r="B10" s="31" t="inlineStr">
        <is>
          <t>CUS1525</t>
        </is>
      </c>
      <c r="C10" s="31">
        <f>PN!B8</f>
        <v/>
      </c>
      <c r="D10" s="63">
        <f>China!C9</f>
        <v/>
      </c>
      <c r="E10" s="31">
        <f>China!B9</f>
        <v/>
      </c>
      <c r="F10" s="64">
        <f>China!B2</f>
        <v/>
      </c>
      <c r="G10" s="64">
        <f>China!C2</f>
        <v/>
      </c>
      <c r="H10" s="59">
        <f>I10+AO10-AR10-BB10-BC10</f>
        <v/>
      </c>
      <c r="I10" s="60">
        <f>SUM(J10:AN10)</f>
        <v/>
      </c>
      <c r="J10" s="60">
        <f>'China-L'!C2</f>
        <v/>
      </c>
      <c r="K10" s="60">
        <f>'China-L'!D2</f>
        <v/>
      </c>
      <c r="L10" s="60">
        <f>'China-L'!E2</f>
        <v/>
      </c>
      <c r="M10" s="60">
        <f>'China-L'!F2</f>
        <v/>
      </c>
      <c r="N10" s="60">
        <f>'China-L'!G2</f>
        <v/>
      </c>
      <c r="O10" s="60">
        <f>'China-L'!H2</f>
        <v/>
      </c>
      <c r="P10" s="60">
        <f>'China-L'!I2</f>
        <v/>
      </c>
      <c r="Q10" s="60">
        <f>'China-L'!J2</f>
        <v/>
      </c>
      <c r="R10" s="60">
        <f>'China-L'!K2</f>
        <v/>
      </c>
      <c r="S10" s="60">
        <f>'China-L'!L2</f>
        <v/>
      </c>
      <c r="T10" s="60">
        <f>'China-L'!M2</f>
        <v/>
      </c>
      <c r="U10" s="60">
        <f>'China-L'!N2</f>
        <v/>
      </c>
      <c r="V10" s="60">
        <f>'China-L'!O2</f>
        <v/>
      </c>
      <c r="W10" s="60">
        <f>'China-L'!P2</f>
        <v/>
      </c>
      <c r="X10" s="60">
        <f>'China-L'!Q2</f>
        <v/>
      </c>
      <c r="Y10" s="60">
        <f>'China-L'!R2</f>
        <v/>
      </c>
      <c r="Z10" s="60">
        <f>'China-L'!S2</f>
        <v/>
      </c>
      <c r="AA10" s="60">
        <f>'China-L'!T2</f>
        <v/>
      </c>
      <c r="AB10" s="60">
        <f>'China-L'!U2</f>
        <v/>
      </c>
      <c r="AC10" s="60">
        <f>'China-L'!V2</f>
        <v/>
      </c>
      <c r="AD10" s="60">
        <f>'China-L'!W2</f>
        <v/>
      </c>
      <c r="AE10" s="60">
        <f>'China-L'!X2</f>
        <v/>
      </c>
      <c r="AF10" s="60">
        <f>'China-L'!Y2</f>
        <v/>
      </c>
      <c r="AG10" s="60">
        <f>'China-L'!AY2</f>
        <v/>
      </c>
      <c r="AH10" s="60">
        <f>'China-L'!BF2</f>
        <v/>
      </c>
      <c r="AI10" s="60">
        <f>'China-L'!BJ2</f>
        <v/>
      </c>
      <c r="AJ10" s="60">
        <f>'China-L'!BK2</f>
        <v/>
      </c>
      <c r="AK10" s="60">
        <f>'China-L'!BL2</f>
        <v/>
      </c>
      <c r="AL10" s="60">
        <f>'China-L'!BM2</f>
        <v/>
      </c>
      <c r="AM10" s="60">
        <f>'China-L'!BO2</f>
        <v/>
      </c>
      <c r="AN10" s="60">
        <f>'China-L'!BQ2</f>
        <v/>
      </c>
      <c r="AO10" s="60">
        <f>SUM(AP10:AQ10)</f>
        <v/>
      </c>
      <c r="AP10" s="60">
        <f>'China-L'!BH2</f>
        <v/>
      </c>
      <c r="AQ10" s="60">
        <f>'China-L'!BI2</f>
        <v/>
      </c>
      <c r="AR10" s="60">
        <f>SUM(AS10:BA10)</f>
        <v/>
      </c>
      <c r="AS10" s="60">
        <f>'China-L'!Z2</f>
        <v/>
      </c>
      <c r="AT10" s="60">
        <f>'China-L'!AA2</f>
        <v/>
      </c>
      <c r="AU10" s="60">
        <f>'China-L'!AB2</f>
        <v/>
      </c>
      <c r="AV10" s="60">
        <f>'China-L'!AC2</f>
        <v/>
      </c>
      <c r="AW10" s="60">
        <f>'China-L'!AD2</f>
        <v/>
      </c>
      <c r="AX10" s="60">
        <f>'China-L'!AE2</f>
        <v/>
      </c>
      <c r="AY10" s="60">
        <f>'China-L'!AF2</f>
        <v/>
      </c>
      <c r="AZ10" s="60">
        <f>'China-L'!AG2</f>
        <v/>
      </c>
      <c r="BA10" s="60">
        <f>'China-L'!AH2</f>
        <v/>
      </c>
      <c r="BB10" s="60" t="n"/>
      <c r="BC10" s="61">
        <f>'China-L'!AX2+'China-L'!BN2+'China-L'!BP2+'China-L'!BR2</f>
        <v/>
      </c>
    </row>
    <row r="11" customFormat="1" s="31">
      <c r="A11" s="55" t="n"/>
      <c r="G11" s="63" t="n"/>
      <c r="H11" s="59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0" t="n"/>
      <c r="AM11" s="60" t="n"/>
      <c r="AN11" s="60" t="n"/>
      <c r="AO11" s="60" t="n"/>
      <c r="AP11" s="60" t="n"/>
      <c r="AQ11" s="60" t="n"/>
      <c r="AR11" s="60" t="n"/>
      <c r="AS11" s="60" t="n"/>
      <c r="AT11" s="60" t="n"/>
      <c r="AU11" s="60" t="n"/>
      <c r="AV11" s="60" t="n"/>
      <c r="AW11" s="60" t="n"/>
      <c r="AX11" s="60" t="n"/>
      <c r="AY11" s="60" t="n"/>
      <c r="AZ11" s="60" t="n"/>
      <c r="BA11" s="60" t="n"/>
      <c r="BB11" s="60" t="n"/>
      <c r="BC11" s="61" t="n"/>
    </row>
    <row r="12" customFormat="1" s="31">
      <c r="A12" s="55" t="n"/>
      <c r="H12" s="59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0" t="n"/>
      <c r="AV12" s="60" t="n"/>
      <c r="AW12" s="60" t="n"/>
      <c r="AX12" s="60" t="n"/>
      <c r="AY12" s="60" t="n"/>
      <c r="AZ12" s="60" t="n"/>
      <c r="BA12" s="60" t="n"/>
      <c r="BB12" s="60" t="n"/>
      <c r="BC12" s="61" t="n"/>
    </row>
    <row r="13" customFormat="1" s="31">
      <c r="A13" s="55" t="n"/>
      <c r="H13" s="59" t="n"/>
      <c r="I13" s="60" t="n"/>
      <c r="J13" s="60" t="n"/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60" t="n"/>
      <c r="AG13" s="60" t="n"/>
      <c r="AH13" s="60" t="n"/>
      <c r="AI13" s="60" t="n"/>
      <c r="AJ13" s="60" t="n"/>
      <c r="AK13" s="60" t="n"/>
      <c r="AL13" s="60" t="n"/>
      <c r="AM13" s="60" t="n"/>
      <c r="AN13" s="60" t="n"/>
      <c r="AO13" s="60" t="n"/>
      <c r="AP13" s="60" t="n"/>
      <c r="AQ13" s="60" t="n"/>
      <c r="AR13" s="60" t="n"/>
      <c r="AS13" s="60" t="n"/>
      <c r="AT13" s="60" t="n"/>
      <c r="AU13" s="60" t="n"/>
      <c r="AV13" s="60" t="n"/>
      <c r="AW13" s="60" t="n"/>
      <c r="AX13" s="60" t="n"/>
      <c r="AY13" s="60" t="n"/>
      <c r="AZ13" s="60" t="n"/>
      <c r="BA13" s="60" t="n"/>
      <c r="BB13" s="60" t="n"/>
      <c r="BC13" s="61" t="n"/>
    </row>
    <row r="14" customFormat="1" s="31">
      <c r="A14" s="55" t="n"/>
      <c r="H14" s="59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0" t="n"/>
      <c r="AI14" s="60" t="n"/>
      <c r="AJ14" s="60" t="n"/>
      <c r="AK14" s="60" t="n"/>
      <c r="AL14" s="60" t="n"/>
      <c r="AM14" s="60" t="n"/>
      <c r="AN14" s="60" t="n"/>
      <c r="AO14" s="60" t="n"/>
      <c r="AP14" s="60" t="n"/>
      <c r="AQ14" s="60" t="n"/>
      <c r="AR14" s="60" t="n"/>
      <c r="AS14" s="60" t="n"/>
      <c r="AT14" s="60" t="n"/>
      <c r="AU14" s="60" t="n"/>
      <c r="AV14" s="60" t="n"/>
      <c r="AW14" s="60" t="n"/>
      <c r="AX14" s="60" t="n"/>
      <c r="AY14" s="60" t="n"/>
      <c r="AZ14" s="60" t="n"/>
      <c r="BA14" s="60" t="n"/>
      <c r="BB14" s="60" t="n"/>
      <c r="BC14" s="61" t="n"/>
    </row>
    <row r="15" customFormat="1" s="31">
      <c r="A15" s="55" t="n"/>
      <c r="H15" s="59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0" t="n"/>
      <c r="AV15" s="60" t="n"/>
      <c r="AW15" s="60" t="n"/>
      <c r="AX15" s="60" t="n"/>
      <c r="AY15" s="60" t="n"/>
      <c r="AZ15" s="60" t="n"/>
      <c r="BA15" s="60" t="n"/>
      <c r="BB15" s="60" t="n"/>
      <c r="BC15" s="61" t="n"/>
    </row>
    <row r="16" customFormat="1" s="31">
      <c r="A16" s="55" t="n"/>
      <c r="H16" s="59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  <c r="AI16" s="60" t="n"/>
      <c r="AJ16" s="60" t="n"/>
      <c r="AK16" s="60" t="n"/>
      <c r="AL16" s="60" t="n"/>
      <c r="AM16" s="60" t="n"/>
      <c r="AN16" s="60" t="n"/>
      <c r="AO16" s="60" t="n"/>
      <c r="AP16" s="60" t="n"/>
      <c r="AQ16" s="60" t="n"/>
      <c r="AR16" s="60" t="n"/>
      <c r="AS16" s="60" t="n"/>
      <c r="AT16" s="60" t="n"/>
      <c r="AU16" s="60" t="n"/>
      <c r="AV16" s="60" t="n"/>
      <c r="AW16" s="60" t="n"/>
      <c r="AX16" s="60" t="n"/>
      <c r="AY16" s="60" t="n"/>
      <c r="AZ16" s="60" t="n"/>
      <c r="BA16" s="60" t="n"/>
      <c r="BB16" s="60" t="n"/>
      <c r="BC16" s="61" t="n"/>
    </row>
    <row r="17" customFormat="1" s="31">
      <c r="A17" s="55" t="n"/>
      <c r="H17" s="59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  <c r="AG17" s="60" t="n"/>
      <c r="AH17" s="60" t="n"/>
      <c r="AI17" s="60" t="n"/>
      <c r="AJ17" s="60" t="n"/>
      <c r="AK17" s="60" t="n"/>
      <c r="AL17" s="60" t="n"/>
      <c r="AM17" s="60" t="n"/>
      <c r="AN17" s="60" t="n"/>
      <c r="AO17" s="60" t="n"/>
      <c r="AP17" s="60" t="n"/>
      <c r="AQ17" s="60" t="n"/>
      <c r="AR17" s="60" t="n"/>
      <c r="AS17" s="60" t="n"/>
      <c r="AT17" s="60" t="n"/>
      <c r="AU17" s="60" t="n"/>
      <c r="AV17" s="60" t="n"/>
      <c r="AW17" s="60" t="n"/>
      <c r="AX17" s="60" t="n"/>
      <c r="AY17" s="60" t="n"/>
      <c r="AZ17" s="60" t="n"/>
      <c r="BA17" s="60" t="n"/>
      <c r="BB17" s="60" t="n"/>
      <c r="BC17" s="61" t="n"/>
    </row>
    <row r="18" customFormat="1" s="31">
      <c r="A18" s="55" t="n"/>
      <c r="H18" s="59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  <c r="AI18" s="60" t="n"/>
      <c r="AJ18" s="60" t="n"/>
      <c r="AK18" s="60" t="n"/>
      <c r="AL18" s="60" t="n"/>
      <c r="AM18" s="60" t="n"/>
      <c r="AN18" s="60" t="n"/>
      <c r="AO18" s="60" t="n"/>
      <c r="AP18" s="60" t="n"/>
      <c r="AQ18" s="60" t="n"/>
      <c r="AR18" s="60" t="n"/>
      <c r="AS18" s="60" t="n"/>
      <c r="AT18" s="60" t="n"/>
      <c r="AU18" s="60" t="n"/>
      <c r="AV18" s="60" t="n"/>
      <c r="AW18" s="60" t="n"/>
      <c r="AX18" s="60" t="n"/>
      <c r="AY18" s="60" t="n"/>
      <c r="AZ18" s="60" t="n"/>
      <c r="BA18" s="60" t="n"/>
      <c r="BB18" s="60" t="n"/>
      <c r="BC18" s="61" t="n"/>
    </row>
    <row r="19" ht="13.5" customFormat="1" customHeight="1" s="31">
      <c r="A19" s="55" t="n"/>
      <c r="H19" s="65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7" t="n"/>
    </row>
  </sheetData>
  <mergeCells count="11">
    <mergeCell ref="F3:G3"/>
    <mergeCell ref="AR3:BA3"/>
    <mergeCell ref="C3:C4"/>
    <mergeCell ref="B3:B4"/>
    <mergeCell ref="E3:E4"/>
    <mergeCell ref="H3:H4"/>
    <mergeCell ref="I3:AN3"/>
    <mergeCell ref="D3:D4"/>
    <mergeCell ref="BC3:BC4"/>
    <mergeCell ref="AO3:AQ3"/>
    <mergeCell ref="BB3:BB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G19"/>
  <sheetViews>
    <sheetView zoomScale="110" zoomScaleNormal="110" workbookViewId="0">
      <selection activeCell="A2" sqref="A2:CM5"/>
    </sheetView>
  </sheetViews>
  <sheetFormatPr baseColWidth="8" defaultColWidth="9.09166666666667" defaultRowHeight="14.25"/>
  <cols>
    <col width="14.0916666666667" customWidth="1" style="3" min="1" max="1"/>
    <col width="7" customWidth="1" style="3" min="2" max="2"/>
    <col width="10.45" customWidth="1" style="3" min="3" max="3"/>
    <col width="7" customWidth="1" style="3" min="4" max="4"/>
    <col width="6" customWidth="1" style="3" min="5" max="6"/>
    <col width="12.8166666666667" customWidth="1" style="3" min="7" max="7"/>
    <col width="8.633333333333329" customWidth="1" style="3" min="8" max="10"/>
    <col width="7" customWidth="1" style="3" min="11" max="11"/>
    <col width="6" customWidth="1" style="3" min="12" max="14"/>
    <col width="9.449999999999999" customWidth="1" style="3" min="15" max="15"/>
    <col width="6" customWidth="1" style="3" min="16" max="16"/>
    <col width="7" customWidth="1" style="3" min="17" max="17"/>
    <col width="6" customWidth="1" style="3" min="18" max="20"/>
    <col width="7" customWidth="1" style="3" min="21" max="22"/>
    <col width="6" customWidth="1" style="3" min="23" max="24"/>
    <col width="7" customWidth="1" style="3" min="25" max="25"/>
    <col width="9.449999999999999" customWidth="1" style="3" min="26" max="26"/>
    <col width="8" customWidth="1" style="3" min="27" max="27"/>
    <col width="7" customWidth="1" style="3" min="28" max="28"/>
    <col width="9.449999999999999" customWidth="1" style="3" min="29" max="29"/>
    <col width="8.449999999999999" customWidth="1" style="3" min="30" max="30"/>
    <col width="7" customWidth="1" style="3" min="31" max="32"/>
    <col width="6" customWidth="1" style="3" min="33" max="34"/>
    <col width="7" customWidth="1" style="3" min="35" max="35"/>
    <col width="10.45" customWidth="1" style="3" min="36" max="36"/>
    <col width="9.449999999999999" customWidth="1" style="3" min="37" max="37"/>
    <col width="11.45" customWidth="1" style="3" min="38" max="38"/>
    <col width="10.45" customWidth="1" style="3" min="39" max="41"/>
    <col width="7" customWidth="1" style="3" min="42" max="42"/>
    <col width="10.45" customWidth="1" style="3" min="43" max="43"/>
    <col width="7" customWidth="1" style="3" min="44" max="44"/>
    <col width="10.45" customWidth="1" style="3" min="45" max="45"/>
    <col width="7" customWidth="1" style="3" min="46" max="46"/>
    <col width="11.9083333333333" customWidth="1" style="3" min="47" max="47"/>
    <col width="11.45" customWidth="1" style="3" min="48" max="48"/>
    <col width="10.45" customWidth="1" style="3" min="49" max="49"/>
    <col width="9.449999999999999" customWidth="1" style="3" min="50" max="50"/>
    <col width="7" customWidth="1" style="3" min="51" max="52"/>
    <col width="11.45" customWidth="1" style="3" min="53" max="54"/>
    <col width="10.45" customWidth="1" style="3" min="55" max="56"/>
    <col width="7" customWidth="1" style="3" min="57" max="58"/>
    <col width="8.449999999999999" customWidth="1" style="3" min="59" max="59"/>
    <col width="8" customWidth="1" style="3" min="60" max="60"/>
    <col width="7" customWidth="1" style="3" min="61" max="62"/>
    <col width="6" customWidth="1" style="3" min="63" max="64"/>
    <col width="7.63333333333333" customWidth="1" style="3" min="65" max="66"/>
    <col width="7.45" customWidth="1" style="3" min="67" max="67"/>
    <col width="8.449999999999999" customWidth="1" style="3" min="68" max="68"/>
    <col width="7" customWidth="1" style="3" min="69" max="70"/>
    <col width="10.45" customWidth="1" style="3" min="71" max="73"/>
    <col width="9.449999999999999" customWidth="1" style="3" min="74" max="75"/>
    <col width="8" customWidth="1" style="3" min="76" max="78"/>
    <col width="7" customWidth="1" style="3" min="79" max="79"/>
    <col width="9.449999999999999" customWidth="1" style="3" min="80" max="80"/>
    <col width="8.449999999999999" customWidth="1" style="3" min="81" max="81"/>
    <col width="10.45" customWidth="1" style="3" min="82" max="82"/>
    <col width="7" customWidth="1" style="3" min="83" max="83"/>
    <col width="5.45" customWidth="1" style="3" min="84" max="84"/>
    <col width="7" customWidth="1" style="3" min="85" max="85"/>
    <col width="5.45" customWidth="1" style="3" min="86" max="86"/>
    <col width="7.45" customWidth="1" style="3" min="87" max="87"/>
    <col width="6.45" customWidth="1" style="3" min="88" max="88"/>
    <col width="7" customWidth="1" style="3" min="89" max="89"/>
    <col width="4.63333333333333" customWidth="1" style="3" min="90" max="90"/>
    <col width="9.09166666666667" customWidth="1" style="3" min="91" max="97"/>
    <col width="10.3666666666667" customWidth="1" style="3" min="98" max="98"/>
    <col width="11.3666666666667" customWidth="1" style="3" min="99" max="99"/>
    <col width="9.09166666666667" customWidth="1" style="3" min="100" max="120"/>
    <col width="12.3666666666667" customWidth="1" style="3" min="121" max="122"/>
    <col width="9.09166666666667" customWidth="1" style="3" min="123" max="131"/>
    <col width="11.9083333333333" customWidth="1" style="3" min="132" max="132"/>
    <col width="9.09166666666667" customWidth="1" style="3" min="133" max="159"/>
    <col hidden="1" width="9.09166666666667" customWidth="1" style="3" min="160" max="169"/>
    <col width="9.09166666666667" customWidth="1" style="3" min="170" max="16384"/>
  </cols>
  <sheetData>
    <row r="1" ht="36" customFormat="1" customHeight="1" s="1">
      <c r="A1" s="4" t="inlineStr">
        <is>
          <t>工号</t>
        </is>
      </c>
      <c r="B1" s="1" t="inlineStr">
        <is>
          <t>姓名</t>
        </is>
      </c>
      <c r="C1" s="219" t="inlineStr">
        <is>
          <t>基本工资</t>
        </is>
      </c>
      <c r="D1" s="219" t="inlineStr">
        <is>
          <t>浮动工资</t>
        </is>
      </c>
      <c r="E1" s="219" t="inlineStr">
        <is>
          <t>月奖</t>
        </is>
      </c>
      <c r="F1" s="219" t="inlineStr">
        <is>
          <t>季奖</t>
        </is>
      </c>
      <c r="G1" s="219" t="inlineStr">
        <is>
          <t>其他奖金</t>
        </is>
      </c>
      <c r="H1" s="219" t="inlineStr">
        <is>
          <t>加班工资150</t>
        </is>
      </c>
      <c r="I1" s="219" t="inlineStr">
        <is>
          <t>加班工资200</t>
        </is>
      </c>
      <c r="J1" s="219" t="inlineStr">
        <is>
          <t>加班工资300</t>
        </is>
      </c>
      <c r="K1" s="219" t="inlineStr">
        <is>
          <t>入离职缺勤扣</t>
        </is>
      </c>
      <c r="L1" s="219" t="inlineStr">
        <is>
          <t>扣事假</t>
        </is>
      </c>
      <c r="M1" s="219" t="inlineStr">
        <is>
          <t>扣旷工</t>
        </is>
      </c>
      <c r="N1" s="219" t="inlineStr">
        <is>
          <t>扣病假</t>
        </is>
      </c>
      <c r="O1" s="219" t="inlineStr">
        <is>
          <t>交通费</t>
        </is>
      </c>
      <c r="P1" s="219" t="inlineStr">
        <is>
          <t>通讯费</t>
        </is>
      </c>
      <c r="Q1" s="219" t="inlineStr">
        <is>
          <t>其他津贴</t>
        </is>
      </c>
      <c r="R1" s="219" t="inlineStr">
        <is>
          <t>中班费</t>
        </is>
      </c>
      <c r="S1" s="219" t="inlineStr">
        <is>
          <t>夜班费</t>
        </is>
      </c>
      <c r="T1" s="219" t="inlineStr">
        <is>
          <t>高温费</t>
        </is>
      </c>
      <c r="U1" s="219" t="inlineStr">
        <is>
          <t>高温作业费</t>
        </is>
      </c>
      <c r="V1" s="219" t="inlineStr">
        <is>
          <t>有毒有害作业费</t>
        </is>
      </c>
      <c r="W1" s="219" t="inlineStr">
        <is>
          <t>补发</t>
        </is>
      </c>
      <c r="X1" s="219" t="inlineStr">
        <is>
          <t>补扣</t>
        </is>
      </c>
      <c r="Y1" s="219" t="inlineStr">
        <is>
          <t>税前调整</t>
        </is>
      </c>
      <c r="Z1" s="219" t="inlineStr">
        <is>
          <t>缴养老</t>
        </is>
      </c>
      <c r="AA1" s="219" t="inlineStr">
        <is>
          <t>缴医疗</t>
        </is>
      </c>
      <c r="AB1" s="219" t="inlineStr">
        <is>
          <t>缴失业</t>
        </is>
      </c>
      <c r="AC1" s="219" t="inlineStr">
        <is>
          <t>缴公积金</t>
        </is>
      </c>
      <c r="AD1" s="219" t="inlineStr">
        <is>
          <t>缴补充公积金（免税）</t>
        </is>
      </c>
      <c r="AE1" s="219" t="inlineStr">
        <is>
          <t>社保调整</t>
        </is>
      </c>
      <c r="AF1" s="220" t="inlineStr">
        <is>
          <t>公积金调整</t>
        </is>
      </c>
      <c r="AG1" s="221" t="inlineStr">
        <is>
          <t>年金</t>
        </is>
      </c>
      <c r="AH1" s="222" t="inlineStr">
        <is>
          <t>工会费</t>
        </is>
      </c>
      <c r="AI1" s="219" t="inlineStr">
        <is>
          <t>计税不发</t>
        </is>
      </c>
      <c r="AJ1" s="222" t="inlineStr">
        <is>
          <t>当月税前收入额</t>
        </is>
      </c>
      <c r="AK1" s="222" t="inlineStr">
        <is>
          <t>当月基本扣除</t>
        </is>
      </c>
      <c r="AL1" s="223" t="inlineStr">
        <is>
          <t>累计税前收入-员工</t>
        </is>
      </c>
      <c r="AM1" s="223" t="inlineStr">
        <is>
          <t>累计个人社保公积金</t>
        </is>
      </c>
      <c r="AN1" s="223" t="inlineStr">
        <is>
          <t>累计基本扣除</t>
        </is>
      </c>
      <c r="AO1" s="223" t="inlineStr">
        <is>
          <t>累计子女教育</t>
        </is>
      </c>
      <c r="AP1" s="223" t="inlineStr">
        <is>
          <t>累计继续教育</t>
        </is>
      </c>
      <c r="AQ1" s="223" t="inlineStr">
        <is>
          <t>累计住房贷款利息</t>
        </is>
      </c>
      <c r="AR1" s="223" t="inlineStr">
        <is>
          <t>累计住房租金</t>
        </is>
      </c>
      <c r="AS1" s="223" t="inlineStr">
        <is>
          <t>累计赡养老人</t>
        </is>
      </c>
      <c r="AT1" s="223" t="inlineStr">
        <is>
          <t>累计其他税前扣除</t>
        </is>
      </c>
      <c r="AU1" s="223" t="inlineStr">
        <is>
          <t>累计免税扣除合计(不含社保公积金）</t>
        </is>
      </c>
      <c r="AV1" s="223" t="inlineStr">
        <is>
          <t>累计应税总额</t>
        </is>
      </c>
      <c r="AW1" s="223" t="inlineStr">
        <is>
          <t>累计个税（个人）</t>
        </is>
      </c>
      <c r="AX1" s="224" t="inlineStr">
        <is>
          <t>当月个税（个人）</t>
        </is>
      </c>
      <c r="AY1" s="219" t="inlineStr">
        <is>
          <t>公司负税项</t>
        </is>
      </c>
      <c r="AZ1" s="222" t="inlineStr">
        <is>
          <t>当月公司负税合计</t>
        </is>
      </c>
      <c r="BA1" s="223" t="inlineStr">
        <is>
          <t>累计税后计税收入</t>
        </is>
      </c>
      <c r="BB1" s="223" t="inlineStr">
        <is>
          <t>累计税前收入</t>
        </is>
      </c>
      <c r="BC1" s="222" t="inlineStr">
        <is>
          <t>导算当月应发工资</t>
        </is>
      </c>
      <c r="BD1" s="223" t="inlineStr">
        <is>
          <t>累计个税（公司+个人）</t>
        </is>
      </c>
      <c r="BE1" s="224" t="inlineStr">
        <is>
          <t>当月个税（公司）</t>
        </is>
      </c>
      <c r="BF1" s="219" t="inlineStr">
        <is>
          <t>独生子女费</t>
        </is>
      </c>
      <c r="BG1" s="222" t="inlineStr">
        <is>
          <t>缴补充公积金（不免税）</t>
        </is>
      </c>
      <c r="BH1" s="225" t="inlineStr">
        <is>
          <t>报销款</t>
        </is>
      </c>
      <c r="BI1" s="225" t="inlineStr">
        <is>
          <t>报销款25%</t>
        </is>
      </c>
      <c r="BJ1" s="226" t="inlineStr">
        <is>
          <t>外籍生活津贴</t>
        </is>
      </c>
      <c r="BK1" s="219" t="inlineStr">
        <is>
          <t>税后补</t>
        </is>
      </c>
      <c r="BL1" s="219" t="inlineStr">
        <is>
          <t>税后扣</t>
        </is>
      </c>
      <c r="BM1" s="219" t="inlineStr">
        <is>
          <t>13薪/年终奖</t>
        </is>
      </c>
      <c r="BN1" s="219" t="inlineStr">
        <is>
          <t>13薪/年终奖税</t>
        </is>
      </c>
      <c r="BO1" s="219" t="inlineStr">
        <is>
          <t>离职补偿金/赔偿金</t>
        </is>
      </c>
      <c r="BP1" s="219" t="inlineStr">
        <is>
          <t>离职补偿金税/赔偿金税</t>
        </is>
      </c>
      <c r="BQ1" s="219" t="inlineStr">
        <is>
          <t>股权激励</t>
        </is>
      </c>
      <c r="BR1" s="219" t="inlineStr">
        <is>
          <t>股权激励税</t>
        </is>
      </c>
      <c r="BS1" s="222" t="inlineStr">
        <is>
          <t>应发</t>
        </is>
      </c>
      <c r="BT1" s="222" t="inlineStr">
        <is>
          <t>应扣</t>
        </is>
      </c>
      <c r="BU1" s="222" t="inlineStr">
        <is>
          <t>实发</t>
        </is>
      </c>
      <c r="BV1" s="13" t="inlineStr">
        <is>
          <t>公司养老</t>
        </is>
      </c>
      <c r="BW1" s="13" t="inlineStr">
        <is>
          <t xml:space="preserve">公司医疗 </t>
        </is>
      </c>
      <c r="BX1" s="13" t="inlineStr">
        <is>
          <t>公司失业</t>
        </is>
      </c>
      <c r="BY1" s="13" t="inlineStr">
        <is>
          <t>生育</t>
        </is>
      </c>
      <c r="BZ1" s="13" t="inlineStr">
        <is>
          <t>工伤</t>
        </is>
      </c>
      <c r="CA1" s="13" t="inlineStr">
        <is>
          <t>残保金</t>
        </is>
      </c>
      <c r="CB1" s="13" t="inlineStr">
        <is>
          <t>公积金</t>
        </is>
      </c>
      <c r="CC1" s="13" t="inlineStr">
        <is>
          <t>补充公积金（免税）</t>
        </is>
      </c>
      <c r="CD1" s="14" t="inlineStr">
        <is>
          <t>累计已扣工资税</t>
        </is>
      </c>
      <c r="CE1" s="15" t="inlineStr">
        <is>
          <t>累计婴幼儿照护费用</t>
        </is>
      </c>
      <c r="CF1" s="13" t="inlineStr">
        <is>
          <t>工会费</t>
        </is>
      </c>
      <c r="CG1" s="13" t="inlineStr">
        <is>
          <t>雇主责任险</t>
        </is>
      </c>
      <c r="CK1" s="16" t="inlineStr">
        <is>
          <t>公司社保公积金调整</t>
        </is>
      </c>
    </row>
    <row r="2" ht="12" customFormat="1" customHeight="1" s="2">
      <c r="A2" s="17" t="inlineStr">
        <is>
          <t>CUS1525-0002</t>
        </is>
      </c>
      <c r="B2" s="227" t="inlineStr">
        <is>
          <t>杨明华</t>
        </is>
      </c>
      <c r="C2" s="228" t="n">
        <v>37337.5</v>
      </c>
      <c r="D2" s="228" t="n">
        <v>0</v>
      </c>
      <c r="E2" s="228" t="n">
        <v>0</v>
      </c>
      <c r="F2" s="228" t="n">
        <v>0</v>
      </c>
      <c r="G2" s="228" t="n">
        <v>497</v>
      </c>
      <c r="H2" s="228" t="n">
        <v>0</v>
      </c>
      <c r="I2" s="228" t="n">
        <v>0</v>
      </c>
      <c r="J2" s="228" t="n">
        <v>0</v>
      </c>
      <c r="K2" s="228" t="n">
        <v>0</v>
      </c>
      <c r="L2" s="228" t="n">
        <v>0</v>
      </c>
      <c r="M2" s="228" t="n">
        <v>0</v>
      </c>
      <c r="N2" s="228" t="n">
        <v>0</v>
      </c>
      <c r="O2" s="228" t="n">
        <v>1220.6</v>
      </c>
      <c r="P2" s="228" t="n">
        <v>0</v>
      </c>
      <c r="Q2" s="228" t="n">
        <v>0</v>
      </c>
      <c r="R2" s="228" t="n">
        <v>0</v>
      </c>
      <c r="S2" s="228" t="n">
        <v>0</v>
      </c>
      <c r="T2" s="228" t="n">
        <v>0</v>
      </c>
      <c r="U2" s="228" t="n">
        <v>0</v>
      </c>
      <c r="V2" s="228" t="n">
        <v>0</v>
      </c>
      <c r="W2" s="229" t="n">
        <v>0</v>
      </c>
      <c r="X2" s="229" t="n">
        <v>0</v>
      </c>
      <c r="Y2" s="229" t="n">
        <v>0</v>
      </c>
      <c r="Z2" s="228" t="n">
        <v>2200.08</v>
      </c>
      <c r="AA2" s="228" t="n">
        <v>673.3200000000001</v>
      </c>
      <c r="AB2" s="228" t="n">
        <v>87.31999999999999</v>
      </c>
      <c r="AC2" s="228" t="n">
        <v>4365.9</v>
      </c>
      <c r="AD2" s="228" t="n">
        <v>0</v>
      </c>
      <c r="AE2" s="228" t="n">
        <v>0</v>
      </c>
      <c r="AF2" s="228" t="n">
        <v>0</v>
      </c>
      <c r="AG2" s="228" t="n">
        <v>0</v>
      </c>
      <c r="AH2" s="228" t="n">
        <v>0</v>
      </c>
      <c r="AI2" s="228" t="n">
        <v>0</v>
      </c>
      <c r="AJ2" s="228" t="n">
        <v>39055.1</v>
      </c>
      <c r="AK2" s="228" t="n">
        <v>5000</v>
      </c>
      <c r="AL2" s="228" t="n">
        <v>240461.978556701</v>
      </c>
      <c r="AM2" s="228" t="n">
        <v>44478.12</v>
      </c>
      <c r="AN2" s="228" t="n">
        <v>30000</v>
      </c>
      <c r="AO2" s="228" t="n">
        <v>24000</v>
      </c>
      <c r="AP2" s="228" t="n">
        <v>0</v>
      </c>
      <c r="AQ2" s="228" t="n">
        <v>6000</v>
      </c>
      <c r="AR2" s="228" t="n">
        <v>0</v>
      </c>
      <c r="AS2" s="228" t="n">
        <v>18000</v>
      </c>
      <c r="AT2" s="230" t="n">
        <v>0</v>
      </c>
      <c r="AU2" s="231" t="n">
        <v>78000</v>
      </c>
      <c r="AV2" s="228" t="n">
        <v>117983.858556701</v>
      </c>
      <c r="AW2" s="228" t="n">
        <v>9278.385855670102</v>
      </c>
      <c r="AX2" s="228" t="n">
        <v>1872.85</v>
      </c>
      <c r="AY2" s="229" t="n">
        <v>58.5</v>
      </c>
      <c r="AZ2" s="229" t="n">
        <v>58.5</v>
      </c>
      <c r="BA2" s="229" t="n">
        <v>186763.9727010309</v>
      </c>
      <c r="BB2" s="229" t="n">
        <v>196048.858556701</v>
      </c>
      <c r="BC2" s="229" t="n">
        <v>39120.09999999998</v>
      </c>
      <c r="BD2" s="229" t="n">
        <v>9284.8858556701</v>
      </c>
      <c r="BE2" s="228" t="n">
        <v>6.5</v>
      </c>
      <c r="BF2" s="228" t="n">
        <v>0</v>
      </c>
      <c r="BG2" s="228" t="n">
        <v>0</v>
      </c>
      <c r="BH2" s="232" t="n">
        <v>439.8</v>
      </c>
      <c r="BI2" s="232" t="n">
        <v>0</v>
      </c>
      <c r="BJ2" s="232" t="n">
        <v>0</v>
      </c>
      <c r="BK2" s="232" t="n">
        <v>0</v>
      </c>
      <c r="BL2" s="232" t="n">
        <v>0</v>
      </c>
      <c r="BM2" s="232" t="n">
        <v>0</v>
      </c>
      <c r="BN2" s="232" t="n">
        <v>0</v>
      </c>
      <c r="BO2" s="232" t="n">
        <v>0</v>
      </c>
      <c r="BP2" s="232" t="n">
        <v>0</v>
      </c>
      <c r="BQ2" s="232" t="n">
        <v>0</v>
      </c>
      <c r="BR2" s="232" t="n">
        <v>0</v>
      </c>
      <c r="BS2" s="233" t="n">
        <v>39553.4</v>
      </c>
      <c r="BT2" s="229" t="n">
        <v>9199.469999999999</v>
      </c>
      <c r="BU2" s="229" t="n">
        <v>30353.93</v>
      </c>
      <c r="BV2" s="228" t="n">
        <v>4675.17</v>
      </c>
      <c r="BW2" s="228" t="n">
        <v>1683.3</v>
      </c>
      <c r="BX2" s="228" t="n">
        <v>349.27</v>
      </c>
      <c r="BY2" s="228" t="n">
        <v>168.33</v>
      </c>
      <c r="BZ2" s="228" t="n">
        <v>206.84</v>
      </c>
      <c r="CA2" s="228" t="n">
        <v>56</v>
      </c>
      <c r="CB2" s="228" t="n">
        <v>4365.9</v>
      </c>
      <c r="CC2" s="228" t="n">
        <v>0</v>
      </c>
      <c r="CD2" s="228" t="n">
        <v>9284.889999999999</v>
      </c>
      <c r="CE2" s="230" t="n">
        <v>0</v>
      </c>
      <c r="CF2" s="25" t="n"/>
      <c r="CG2" s="25" t="n">
        <v>0</v>
      </c>
      <c r="CH2" s="25" t="n"/>
      <c r="CI2" s="25" t="n"/>
      <c r="CJ2" s="25" t="n"/>
      <c r="CK2" s="25" t="n"/>
      <c r="CL2" s="234" t="n"/>
      <c r="CM2" s="234" t="n"/>
      <c r="CN2" s="234" t="n"/>
      <c r="CO2" s="234" t="n"/>
      <c r="CP2" s="234" t="n"/>
      <c r="CQ2" s="234" t="n"/>
      <c r="CR2" s="234" t="n"/>
      <c r="CS2" s="234" t="n"/>
      <c r="CT2" s="234" t="n"/>
      <c r="CU2" s="234" t="n"/>
      <c r="CV2" s="234" t="n"/>
      <c r="CW2" s="234" t="n"/>
      <c r="CX2" s="234" t="n"/>
      <c r="CY2" s="234" t="n"/>
      <c r="CZ2" s="234" t="n"/>
      <c r="DA2" s="234" t="n"/>
      <c r="DB2" s="234" t="n"/>
      <c r="DC2" s="234" t="n"/>
      <c r="DD2" s="234" t="n"/>
      <c r="DE2" s="234" t="n"/>
      <c r="DF2" s="234" t="n"/>
      <c r="DG2" s="234" t="n"/>
      <c r="DH2" s="234" t="n"/>
      <c r="DI2" s="234" t="n"/>
      <c r="DJ2" s="234" t="n"/>
      <c r="DK2" s="234" t="n"/>
      <c r="DL2" s="234" t="n"/>
      <c r="DM2" s="234" t="n"/>
      <c r="DN2" s="234" t="n"/>
      <c r="DO2" s="234" t="n"/>
      <c r="DP2" s="234" t="n"/>
      <c r="DQ2" s="234" t="n"/>
      <c r="DR2" s="234" t="n"/>
      <c r="DS2" s="234" t="n"/>
      <c r="DT2" s="234" t="n"/>
      <c r="DU2" s="234" t="n"/>
      <c r="DV2" s="234" t="n"/>
      <c r="DW2" s="234" t="n"/>
      <c r="DX2" s="234" t="n"/>
      <c r="DY2" s="234" t="n"/>
      <c r="DZ2" s="234" t="n"/>
      <c r="EA2" s="234" t="n"/>
      <c r="EB2" s="234" t="n"/>
      <c r="EC2" s="234" t="n"/>
      <c r="ED2" s="234" t="n"/>
      <c r="EE2" s="234" t="n"/>
      <c r="EF2" s="234" t="n"/>
      <c r="EG2" s="234" t="n"/>
      <c r="EH2" s="234" t="n"/>
      <c r="EI2" s="234" t="n"/>
      <c r="EJ2" s="234" t="n"/>
      <c r="EK2" s="234" t="n"/>
      <c r="EL2" s="234" t="n"/>
      <c r="EM2" s="234" t="n"/>
      <c r="EN2" s="234" t="n"/>
      <c r="EO2" s="234" t="n"/>
      <c r="EP2" s="234" t="n"/>
      <c r="EQ2" s="234" t="n"/>
      <c r="ER2" s="234" t="n"/>
      <c r="ES2" s="234" t="n"/>
      <c r="ET2" s="234" t="n"/>
      <c r="EU2" s="234" t="n"/>
      <c r="EV2" s="234" t="n"/>
      <c r="EW2" s="234" t="n"/>
      <c r="EX2" s="234" t="n"/>
      <c r="EY2" s="234" t="n"/>
      <c r="EZ2" s="234" t="n"/>
      <c r="FA2" s="234" t="n"/>
      <c r="FB2" s="234" t="n"/>
      <c r="FC2" s="234" t="n"/>
      <c r="FD2" s="234" t="n"/>
      <c r="FE2" s="234" t="n"/>
      <c r="FF2" s="234" t="n"/>
      <c r="FG2" s="234" t="n"/>
      <c r="FH2" s="234" t="n"/>
      <c r="FI2" s="234" t="n"/>
      <c r="FJ2" s="234" t="n"/>
      <c r="FK2" s="234" t="n"/>
      <c r="FL2" s="234" t="n"/>
      <c r="FM2" s="234" t="n"/>
      <c r="FN2" s="234" t="n"/>
      <c r="FO2" s="234" t="n"/>
      <c r="FP2" s="234" t="n"/>
      <c r="FQ2" s="234" t="n"/>
      <c r="FR2" s="234" t="n"/>
      <c r="FS2" s="234" t="n"/>
      <c r="FT2" s="234" t="n"/>
      <c r="FU2" s="234" t="n"/>
      <c r="FV2" s="234" t="n"/>
      <c r="FW2" s="234" t="n"/>
      <c r="FX2" s="234" t="n"/>
      <c r="FY2" s="234" t="n"/>
      <c r="FZ2" s="234" t="n"/>
      <c r="GA2" s="234" t="n"/>
      <c r="GB2" s="234" t="n"/>
      <c r="GC2" s="234" t="n"/>
      <c r="GD2" s="234" t="n"/>
      <c r="GE2" s="234" t="n"/>
      <c r="GF2" s="234" t="n"/>
      <c r="GG2" s="234" t="n"/>
      <c r="GH2" s="234" t="n"/>
      <c r="GI2" s="234" t="n"/>
      <c r="GJ2" s="234" t="n"/>
      <c r="GK2" s="234" t="n"/>
      <c r="GL2" s="234" t="n"/>
      <c r="GM2" s="234" t="n"/>
      <c r="GN2" s="234" t="n"/>
      <c r="GO2" s="234" t="n"/>
      <c r="GP2" s="234" t="n"/>
      <c r="GQ2" s="234" t="n"/>
      <c r="GR2" s="234" t="n"/>
      <c r="GS2" s="234" t="n"/>
      <c r="GT2" s="234" t="n"/>
      <c r="GU2" s="234" t="n"/>
      <c r="GV2" s="234" t="n"/>
      <c r="GW2" s="234" t="n"/>
      <c r="GX2" s="234" t="n"/>
      <c r="GY2" s="234" t="n"/>
      <c r="GZ2" s="234" t="n"/>
      <c r="HA2" s="234" t="n"/>
      <c r="HB2" s="234" t="n"/>
      <c r="HC2" s="234" t="n"/>
      <c r="HD2" s="234" t="n"/>
      <c r="HE2" s="234" t="n"/>
      <c r="HF2" s="234" t="n"/>
      <c r="HG2" s="234" t="n"/>
      <c r="HH2" s="234" t="n"/>
      <c r="HI2" s="234" t="n"/>
      <c r="HJ2" s="234" t="n"/>
      <c r="HK2" s="234" t="n"/>
      <c r="HL2" s="234" t="n"/>
      <c r="HM2" s="234" t="n"/>
      <c r="HN2" s="234" t="n"/>
      <c r="HO2" s="234" t="n"/>
      <c r="HP2" s="234" t="n"/>
      <c r="HQ2" s="234" t="n"/>
      <c r="HR2" s="234" t="n"/>
      <c r="HS2" s="234" t="n"/>
      <c r="HT2" s="234" t="n"/>
      <c r="HU2" s="234" t="n"/>
      <c r="HV2" s="234" t="n"/>
      <c r="HW2" s="234" t="n"/>
      <c r="HX2" s="234" t="n"/>
      <c r="HY2" s="234" t="n"/>
      <c r="HZ2" s="234" t="n"/>
      <c r="IA2" s="234" t="n"/>
      <c r="IB2" s="234" t="n"/>
      <c r="IC2" s="234" t="n"/>
      <c r="ID2" s="234" t="n"/>
      <c r="IE2" s="234" t="n"/>
      <c r="IF2" s="234" t="n"/>
      <c r="IG2" s="234" t="n"/>
    </row>
    <row r="3"/>
    <row r="4"/>
    <row r="5"/>
    <row r="6"/>
    <row r="7">
      <c r="A7" s="27" t="n"/>
      <c r="I7" s="235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7" t="n"/>
      <c r="BD7" s="27" t="n"/>
      <c r="BE7" s="27" t="n"/>
      <c r="BF7" s="27" t="n"/>
      <c r="BG7" s="27" t="n"/>
      <c r="BH7" s="27" t="n"/>
      <c r="BI7" s="27" t="n"/>
      <c r="BJ7" s="27" t="n"/>
      <c r="BK7" s="27" t="n"/>
      <c r="BL7" s="27" t="n"/>
      <c r="BM7" s="27" t="n"/>
      <c r="BN7" s="27" t="n"/>
      <c r="BO7" s="27" t="n"/>
      <c r="BP7" s="27" t="n"/>
      <c r="BQ7" s="27" t="n"/>
      <c r="BR7" s="27" t="n"/>
      <c r="BS7" s="27" t="n"/>
      <c r="BT7" s="27" t="n"/>
      <c r="BU7" s="27" t="n"/>
      <c r="BV7" s="27" t="n"/>
      <c r="BW7" s="27" t="n"/>
      <c r="BX7" s="27" t="n"/>
      <c r="BY7" s="27" t="n"/>
      <c r="BZ7" s="27" t="n"/>
      <c r="CA7" s="27" t="n"/>
      <c r="CB7" s="27" t="n"/>
      <c r="CC7" s="27" t="n"/>
      <c r="CD7" s="27" t="n"/>
      <c r="CE7" s="27" t="n"/>
      <c r="CF7" s="27" t="n"/>
      <c r="CG7" s="27" t="n"/>
      <c r="CH7" s="27" t="n"/>
      <c r="CI7" s="27" t="n"/>
      <c r="CJ7" s="27" t="n"/>
      <c r="CK7" s="27" t="n"/>
      <c r="CL7" s="27" t="n"/>
      <c r="CM7" s="27" t="n"/>
      <c r="CN7" s="27" t="n"/>
      <c r="CO7" s="27" t="n"/>
      <c r="CP7" s="27" t="n"/>
      <c r="CQ7" s="27" t="n"/>
      <c r="CR7" s="27" t="n"/>
      <c r="CS7" s="27" t="n"/>
      <c r="CT7" s="27" t="n"/>
      <c r="CU7" s="27" t="n"/>
      <c r="CV7" s="27" t="n"/>
      <c r="CW7" s="27" t="n"/>
      <c r="CX7" s="27" t="n"/>
      <c r="CY7" s="27" t="n"/>
      <c r="CZ7" s="27" t="n"/>
      <c r="DA7" s="27" t="n"/>
      <c r="DB7" s="27" t="n"/>
      <c r="DC7" s="27" t="n"/>
      <c r="DD7" s="27" t="n"/>
      <c r="DE7" s="27" t="n"/>
      <c r="DF7" s="27" t="n"/>
      <c r="DG7" s="27" t="n"/>
      <c r="DH7" s="27" t="n"/>
      <c r="DI7" s="27" t="n"/>
      <c r="DJ7" s="27" t="n"/>
      <c r="DK7" s="27" t="n"/>
      <c r="DL7" s="27" t="n"/>
      <c r="DM7" s="27" t="n"/>
      <c r="DN7" s="27" t="n"/>
      <c r="DO7" s="27" t="n"/>
      <c r="DP7" s="27" t="n"/>
      <c r="DQ7" s="27" t="n"/>
      <c r="DR7" s="27" t="n"/>
      <c r="DS7" s="27" t="n"/>
      <c r="DT7" s="27" t="n"/>
      <c r="DU7" s="27" t="n"/>
      <c r="DV7" s="27" t="n"/>
      <c r="DW7" s="27" t="n"/>
      <c r="DX7" s="27" t="n"/>
      <c r="DY7" s="27" t="n"/>
      <c r="DZ7" s="27" t="n"/>
      <c r="EA7" s="27" t="n"/>
      <c r="EB7" s="27" t="n"/>
      <c r="EC7" s="27" t="n"/>
      <c r="ED7" s="27" t="n"/>
      <c r="EE7" s="27" t="n"/>
      <c r="EF7" s="27" t="n"/>
      <c r="EG7" s="27" t="n"/>
      <c r="EH7" s="27" t="n"/>
      <c r="EI7" s="27" t="n"/>
      <c r="EJ7" s="27" t="n"/>
      <c r="EK7" s="27" t="n"/>
      <c r="EL7" s="27" t="n"/>
      <c r="EM7" s="27" t="n"/>
      <c r="EN7" s="27" t="n"/>
      <c r="EO7" s="27" t="n"/>
      <c r="EP7" s="27" t="n"/>
      <c r="EQ7" s="27" t="n"/>
      <c r="ER7" s="27" t="n"/>
      <c r="ES7" s="27" t="n"/>
      <c r="ET7" s="27" t="n"/>
      <c r="EU7" s="27" t="n"/>
      <c r="EV7" s="27" t="n"/>
      <c r="EW7" s="27" t="n"/>
      <c r="EX7" s="27" t="n"/>
      <c r="EY7" s="27" t="n"/>
      <c r="EZ7" s="27" t="n"/>
      <c r="FA7" s="27" t="n"/>
      <c r="FB7" s="27" t="n"/>
      <c r="FC7" s="27" t="n"/>
      <c r="FE7" s="27" t="n"/>
      <c r="FF7" s="27" t="n"/>
      <c r="FG7" s="27" t="n"/>
      <c r="FH7" s="27" t="n"/>
      <c r="FI7" s="27" t="n"/>
      <c r="FJ7" s="27" t="n"/>
      <c r="FK7" s="27" t="n"/>
      <c r="FL7" s="27" t="n"/>
      <c r="FM7" s="27" t="n"/>
      <c r="FN7" s="27" t="n"/>
      <c r="FO7" s="27" t="n"/>
      <c r="FP7" s="27" t="n"/>
      <c r="FQ7" s="27" t="n"/>
      <c r="FR7" s="27" t="n"/>
      <c r="FW7" s="27" t="n"/>
      <c r="FX7" s="27" t="n"/>
      <c r="FY7" s="27" t="n"/>
      <c r="FZ7" s="27" t="n"/>
      <c r="GA7" s="27" t="n"/>
      <c r="GB7" s="27" t="n"/>
      <c r="GC7" s="27" t="n"/>
      <c r="GD7" s="27" t="n"/>
      <c r="GE7" s="27" t="n"/>
      <c r="GF7" s="27" t="n"/>
      <c r="GG7" s="27" t="n"/>
      <c r="GH7" s="27" t="n"/>
      <c r="GI7" s="27" t="n"/>
      <c r="GJ7" s="27" t="n"/>
      <c r="GK7" s="27" t="n"/>
      <c r="GL7" s="27" t="n"/>
      <c r="GM7" s="27" t="n"/>
      <c r="GN7" s="27" t="n"/>
      <c r="GO7" s="27" t="n"/>
      <c r="GP7" s="27" t="n"/>
      <c r="GQ7" s="27" t="n"/>
      <c r="GR7" s="27" t="n"/>
      <c r="GS7" s="27" t="n"/>
      <c r="GT7" s="27" t="n"/>
      <c r="GU7" s="27" t="n"/>
      <c r="GV7" s="27" t="n"/>
      <c r="GW7" s="27" t="n"/>
      <c r="GX7" s="27" t="n"/>
      <c r="GY7" s="235" t="n"/>
      <c r="GZ7" s="27" t="n"/>
      <c r="HA7" s="27" t="n"/>
      <c r="HB7" s="27" t="n"/>
      <c r="HC7" s="27" t="n"/>
      <c r="HD7" s="27" t="n"/>
      <c r="HE7" s="27" t="n"/>
      <c r="HF7" s="27" t="n"/>
      <c r="HG7" s="27" t="n"/>
      <c r="HL7" s="27" t="n"/>
      <c r="HM7" s="27" t="n"/>
      <c r="HN7" s="27" t="n"/>
      <c r="HO7" s="27" t="n"/>
      <c r="HP7" s="27" t="n"/>
      <c r="HQ7" s="27" t="n"/>
      <c r="HR7" s="27" t="n"/>
      <c r="HS7" s="27" t="n"/>
      <c r="HT7" s="27" t="n"/>
      <c r="HU7" s="27" t="n"/>
      <c r="HV7" s="27" t="n"/>
      <c r="HW7" s="27" t="n"/>
      <c r="HX7" s="27" t="n"/>
      <c r="HY7" s="27" t="n"/>
      <c r="HZ7" s="27" t="n"/>
      <c r="IA7" s="27" t="n"/>
      <c r="IB7" s="27" t="n"/>
      <c r="IG7" s="27" t="n"/>
    </row>
    <row r="8"/>
    <row r="9"/>
    <row r="10"/>
    <row r="11"/>
    <row r="12"/>
    <row r="13"/>
    <row r="14"/>
    <row r="15"/>
    <row r="16"/>
    <row r="17"/>
    <row r="18"/>
    <row r="19">
      <c r="G19" s="29" t="n"/>
    </row>
    <row r="20" ht="15.75" customHeight="1" s="3"/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21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  <row r="1001" ht="15.75" customHeight="1" s="3"/>
  </sheetData>
  <conditionalFormatting sqref="Z2">
    <cfRule type="expression" priority="1" dxfId="0" stopIfTrue="1">
      <formula>$Z2&gt;73500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2026-07-07T08:20:16Z</dcterms:modified>
  <cp:lastModifiedBy>给我，高高的飞起来啊！！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116d97b9-8c04-419d-8baa-7a189acc6451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8A12126CEA1F49CF865D354A064E7783_13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