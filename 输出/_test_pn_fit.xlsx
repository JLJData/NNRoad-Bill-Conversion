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7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0" fontId="14" fillId="0" borderId="51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43" fontId="14" fillId="0" borderId="0" applyAlignment="1" pivotButton="0" quotePrefix="0" xfId="0">
      <alignment horizontal="left" vertical="center" indent="1"/>
    </xf>
    <xf numFmtId="168" fontId="14" fillId="0" borderId="52" applyAlignment="1" pivotButton="0" quotePrefix="0" xfId="0">
      <alignment horizontal="left" vertical="center"/>
    </xf>
    <xf numFmtId="167" fontId="18" fillId="0" borderId="0" applyAlignment="1" pivotButton="0" quotePrefix="0" xfId="0">
      <alignment horizontal="right" vertical="center"/>
    </xf>
    <xf numFmtId="167" fontId="20" fillId="0" borderId="0" applyAlignment="1" pivotButton="0" quotePrefix="0" xfId="49">
      <alignment horizontal="right" vertical="center"/>
    </xf>
    <xf numFmtId="167" fontId="20" fillId="0" borderId="0" applyAlignment="1" pivotButton="0" quotePrefix="0" xfId="0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8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SUM(E16:E26)</f>
        <v/>
      </c>
      <c r="F15" s="208">
        <f>SUM(F16:F26)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E16/$B$35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E17/$B$35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E18/$B$35</f>
        <v/>
      </c>
      <c r="G18" s="212" t="n"/>
    </row>
    <row r="19" ht="12.75" customHeight="1" s="205">
      <c r="A19" s="213">
        <f>"- Labor cost for "&amp;TW!B12&amp;"  -  "&amp;MONTH(TW!$B$2)&amp;"-"&amp;YEAR(TW!$B$2)</f>
        <v/>
      </c>
      <c r="D19" s="214" t="n"/>
      <c r="E19" s="215">
        <f>TW!J12+TW!Z12</f>
        <v/>
      </c>
      <c r="F19" s="216">
        <f>E19/$B$35</f>
        <v/>
      </c>
      <c r="G19" s="217" t="n"/>
    </row>
    <row r="20" ht="12.75" customHeight="1" s="205">
      <c r="A20" s="213">
        <f>"- Labor cost for "&amp;TW!B13&amp;"  -  "&amp;MONTH(TW!$B$2)&amp;"-"&amp;YEAR(TW!$B$2)</f>
        <v/>
      </c>
      <c r="D20" s="214" t="n"/>
      <c r="E20" s="215">
        <f>TW!J13+TW!Z13</f>
        <v/>
      </c>
      <c r="F20" s="216">
        <f>E20/$B$35</f>
        <v/>
      </c>
      <c r="G20" s="217" t="n"/>
    </row>
    <row r="21" ht="12.75" customHeight="1" s="205">
      <c r="A21" s="151">
        <f>"- Expense claim for "&amp;TW!B9</f>
        <v/>
      </c>
      <c r="D21" s="152" t="n"/>
      <c r="E21" s="210">
        <f>TW!AB9</f>
        <v/>
      </c>
      <c r="F21" s="211">
        <f>E21/$B$35</f>
        <v/>
      </c>
      <c r="G21" s="218" t="n"/>
    </row>
    <row r="22" ht="12.75" customHeight="1" s="205">
      <c r="A22" s="151">
        <f>"- Expense claim for "&amp;TW!B10</f>
        <v/>
      </c>
      <c r="D22" s="152" t="n"/>
      <c r="E22" s="210">
        <f>TW!AB10</f>
        <v/>
      </c>
      <c r="F22" s="211">
        <f>E22/$B$35</f>
        <v/>
      </c>
      <c r="G22" s="218" t="n"/>
    </row>
    <row r="23" ht="12.75" customFormat="1" customHeight="1" s="123">
      <c r="A23" s="151">
        <f>"- Expense claim for "&amp;TW!B11</f>
        <v/>
      </c>
      <c r="D23" s="152" t="n"/>
      <c r="E23" s="210">
        <f>TW!AB11</f>
        <v/>
      </c>
      <c r="F23" s="211">
        <f>E23/$B$35</f>
        <v/>
      </c>
      <c r="G23" s="218" t="n"/>
    </row>
    <row r="24" ht="12.75" customHeight="1" s="205">
      <c r="A24" s="213">
        <f>"- Expense claim for "&amp;TW!B12</f>
        <v/>
      </c>
      <c r="D24" s="214" t="n"/>
      <c r="E24" s="215">
        <f>TW!AB12</f>
        <v/>
      </c>
      <c r="F24" s="216">
        <f>E24/$B$35</f>
        <v/>
      </c>
      <c r="G24" s="219" t="n"/>
    </row>
    <row r="25" ht="12.75" customHeight="1" s="205">
      <c r="A25" s="213">
        <f>"- Expense claim for "&amp;TW!B13</f>
        <v/>
      </c>
      <c r="D25" s="214" t="n"/>
      <c r="E25" s="215">
        <f>TW!AB13</f>
        <v/>
      </c>
      <c r="F25" s="216">
        <f>E25/$B$35</f>
        <v/>
      </c>
      <c r="G25" s="219" t="n"/>
    </row>
    <row r="26" ht="12.75" customHeight="1" s="205">
      <c r="A26" s="158" t="n"/>
      <c r="D26" s="159" t="n"/>
      <c r="E26" s="220" t="n"/>
      <c r="F26" s="211" t="n"/>
      <c r="G26" s="218" t="n"/>
    </row>
    <row r="27" ht="14.25" customHeight="1" s="205">
      <c r="A27" s="146" t="inlineStr">
        <is>
          <t>Service Fee</t>
        </is>
      </c>
      <c r="D27" s="147" t="n"/>
      <c r="E27" s="207">
        <f>SUM(E28:E29)</f>
        <v/>
      </c>
      <c r="F27" s="221">
        <f>SUM(F28:F29)</f>
        <v/>
      </c>
      <c r="G27" s="222" t="n"/>
    </row>
    <row r="28" ht="15" customFormat="1" customHeight="1" s="121">
      <c r="A28" s="163">
        <f>"- Management Fee - "&amp;MONTH(TW!B2)&amp;"-"&amp;YEAR(TW!B2)</f>
        <v/>
      </c>
      <c r="D28" s="164" t="n"/>
      <c r="E28" s="220">
        <f>TW!G6</f>
        <v/>
      </c>
      <c r="F28" s="211">
        <f>E28/$B$35</f>
        <v/>
      </c>
      <c r="G28" s="218" t="n"/>
    </row>
    <row r="29" ht="14.25" customFormat="1" customHeight="1" s="121">
      <c r="A29" s="163" t="n"/>
      <c r="D29" s="164" t="n"/>
      <c r="E29" s="220" t="n"/>
      <c r="F29" s="211" t="n"/>
      <c r="G29" s="218" t="n"/>
    </row>
    <row r="30" ht="15" customFormat="1" customHeight="1" s="121">
      <c r="A30" s="163" t="n"/>
      <c r="D30" s="164" t="n"/>
      <c r="E30" s="220" t="n"/>
      <c r="F30" s="211" t="n"/>
      <c r="G30" s="218" t="n"/>
    </row>
    <row r="31" ht="25.5" customHeight="1" s="205">
      <c r="A31" s="165" t="n"/>
      <c r="D31" s="166" t="n"/>
      <c r="E31" s="223" t="n"/>
      <c r="F31" s="224" t="n"/>
      <c r="G31" s="218" t="n"/>
    </row>
    <row r="32" ht="16" customFormat="1" customHeight="1" s="122">
      <c r="A32" s="169" t="inlineStr">
        <is>
          <t xml:space="preserve">EOR/PEO Service Cost		</t>
        </is>
      </c>
      <c r="B32" s="225" t="n"/>
      <c r="C32" s="225" t="n"/>
      <c r="D32" s="225" t="n"/>
      <c r="E32" s="226">
        <f>E15+E27</f>
        <v/>
      </c>
      <c r="F32" s="227">
        <f>F15+F27</f>
        <v/>
      </c>
      <c r="G32" s="209" t="n"/>
    </row>
    <row r="33" ht="14.25" customFormat="1" customHeight="1" s="122">
      <c r="A33" s="173" t="n"/>
      <c r="B33" s="173" t="n"/>
      <c r="C33" s="174" t="n"/>
      <c r="D33" s="174" t="n"/>
      <c r="E33" s="228" t="n"/>
      <c r="F33" s="229" t="n"/>
      <c r="G33" s="209" t="n"/>
    </row>
    <row r="34" ht="14.25" customHeight="1" s="205">
      <c r="A34" s="177" t="n"/>
      <c r="B34" s="177" t="n"/>
      <c r="C34" s="177" t="n"/>
      <c r="D34" s="177" t="n"/>
      <c r="E34" s="228" t="n"/>
      <c r="F34" s="229" t="n"/>
      <c r="G34" s="209" t="n"/>
    </row>
    <row r="35" ht="15" customHeight="1" s="205">
      <c r="A35" s="178">
        <f>"*FX rate  USD:  "&amp;TW!C6</f>
        <v/>
      </c>
      <c r="B35" s="179" t="n">
        <v>31.2977</v>
      </c>
      <c r="C35" s="228" t="n"/>
      <c r="D35" s="230" t="inlineStr">
        <is>
          <t>EOR/PEO Service Cost</t>
        </is>
      </c>
      <c r="E35" s="231" t="n"/>
      <c r="F35" s="232">
        <f>F32</f>
        <v/>
      </c>
      <c r="G35" s="218" t="n"/>
    </row>
    <row r="36" ht="14.25" customHeight="1" s="205">
      <c r="A36" s="183" t="n"/>
      <c r="B36" s="183" t="n"/>
      <c r="C36" s="228" t="n"/>
      <c r="D36" s="233" t="inlineStr">
        <is>
          <t xml:space="preserve">Outstanding payment </t>
        </is>
      </c>
      <c r="F36" s="234">
        <f>TW!E22</f>
        <v/>
      </c>
      <c r="G36" s="212" t="n"/>
    </row>
    <row r="37" ht="14.25" customHeight="1" s="205">
      <c r="A37" s="183" t="n"/>
      <c r="B37" s="183" t="n"/>
      <c r="C37" s="228" t="n"/>
      <c r="D37" s="233" t="inlineStr">
        <is>
          <t xml:space="preserve">FX difference </t>
        </is>
      </c>
      <c r="F37" s="234">
        <f>TW!E23</f>
        <v/>
      </c>
      <c r="G37" s="212" t="n"/>
    </row>
    <row r="38" ht="15" customHeight="1" s="205">
      <c r="A38" s="183" t="n"/>
      <c r="B38" s="183" t="n"/>
      <c r="C38" s="228" t="n"/>
      <c r="D38" s="233" t="inlineStr">
        <is>
          <t xml:space="preserve">Interests of delay </t>
        </is>
      </c>
      <c r="F38" s="234">
        <f>TW!E24</f>
        <v/>
      </c>
      <c r="G38" s="218" t="n"/>
    </row>
    <row r="39" ht="14.25" customHeight="1" s="205">
      <c r="A39" s="183" t="n"/>
      <c r="B39" s="183" t="n"/>
      <c r="C39" s="187" t="n"/>
      <c r="D39" s="188" t="inlineStr">
        <is>
          <t xml:space="preserve">Bank Charges </t>
        </is>
      </c>
      <c r="E39" s="235" t="n"/>
      <c r="F39" s="236">
        <f>TW!E25</f>
        <v/>
      </c>
      <c r="G39" s="218" t="n"/>
    </row>
    <row r="40" ht="14.25" customHeight="1" s="205">
      <c r="A40" s="183" t="n"/>
      <c r="B40" s="183" t="n"/>
      <c r="C40" s="228" t="n"/>
      <c r="D40" s="237" t="inlineStr">
        <is>
          <t xml:space="preserve">Sub Total (Excluding Tax)		</t>
        </is>
      </c>
      <c r="F40" s="238">
        <f>SUM(F31:F35)</f>
        <v/>
      </c>
      <c r="G40" s="218" t="n"/>
    </row>
    <row r="41">
      <c r="A41" s="183" t="n"/>
      <c r="B41" s="183" t="n"/>
      <c r="C41" s="228" t="n"/>
      <c r="D41" s="239" t="inlineStr">
        <is>
          <t>Tax</t>
        </is>
      </c>
      <c r="F41" s="238">
        <f>ROUNDUP(TW!F6/PN!B31,2)+0.01</f>
        <v/>
      </c>
      <c r="G41" s="218" t="n"/>
    </row>
    <row r="42" ht="19" customHeight="1" s="205">
      <c r="A42" s="196" t="n"/>
      <c r="B42" s="196" t="n"/>
      <c r="C42" s="228" t="n"/>
      <c r="D42" s="240" t="inlineStr">
        <is>
          <t xml:space="preserve">Total		</t>
        </is>
      </c>
      <c r="E42" s="241" t="n"/>
      <c r="F42" s="242">
        <f>SUM(F36:F37)</f>
        <v/>
      </c>
      <c r="G42" s="218" t="n"/>
      <c r="H42" s="243" t="n"/>
    </row>
    <row r="43" ht="61" customHeight="1" s="205">
      <c r="A43" s="166" t="n"/>
      <c r="B43" s="166" t="n"/>
      <c r="C43" s="166" t="n"/>
      <c r="D43" s="166" t="n"/>
      <c r="E43" s="187" t="n"/>
      <c r="F43" s="187" t="n"/>
      <c r="G43" s="218" t="n"/>
    </row>
    <row r="44">
      <c r="A44" s="166" t="n"/>
      <c r="B44" s="166" t="n"/>
      <c r="C44" s="166" t="n"/>
      <c r="D44" s="166" t="n"/>
      <c r="E44" s="187" t="n"/>
      <c r="F44" s="187" t="n"/>
      <c r="G44" s="218" t="n"/>
    </row>
    <row r="45" ht="11" customHeight="1" s="205">
      <c r="G45" s="218" t="n"/>
    </row>
    <row r="46">
      <c r="A46" s="201" t="inlineStr">
        <is>
          <t xml:space="preserve">Please pay the Invoice in FULL AMOUNT </t>
        </is>
      </c>
    </row>
    <row r="47">
      <c r="A47" s="244" t="inlineStr">
        <is>
          <t>Beneficiary: NNROAD, INC.
Bank Name: Chase Bank
Bank Account: 132827913
Bank Add.: 690 River Oaks Parkway Ste A, San Jose, CA 95134, USA</t>
        </is>
      </c>
      <c r="C47" s="245" t="n"/>
      <c r="D47" s="246" t="inlineStr">
        <is>
          <t xml:space="preserve">
SWIFT BIC (international transfer): CHASUS33XXX
Routing Number (domestic wire transfer): 021000021
Routing Number (domestic ACH and direct deposit): 322271627</t>
        </is>
      </c>
    </row>
    <row r="48">
      <c r="A48" s="124" t="inlineStr">
        <is>
          <t>Notes:</t>
        </is>
      </c>
    </row>
    <row r="49">
      <c r="A49" s="121" t="inlineStr">
        <is>
          <t>1. Please ensure that you include the Invoice Number when making your payment. This will help us accurately process and allocate your payment .</t>
        </is>
      </c>
      <c r="B49" s="121" t="n"/>
      <c r="C49" s="121" t="n"/>
      <c r="D49" s="121" t="n"/>
      <c r="E49" s="121" t="n"/>
      <c r="F49" s="121" t="n"/>
    </row>
    <row r="50">
      <c r="A50" s="121" t="inlineStr">
        <is>
          <t>2. This document becomes a Tax Invoice/Receipt upon payment. Please retain a copy for your records.</t>
        </is>
      </c>
    </row>
    <row r="51">
      <c r="A51" s="121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43:C43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7" t="n"/>
      <c r="I3" s="248" t="n"/>
      <c r="J3" s="101" t="inlineStr">
        <is>
          <t>Gross Salary</t>
        </is>
      </c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8" t="n"/>
      <c r="Z3" s="65" t="inlineStr">
        <is>
          <t>Mandatory Contribution</t>
        </is>
      </c>
      <c r="AA3" s="247" t="n"/>
      <c r="AB3" s="101" t="inlineStr">
        <is>
          <t>Expense Claim</t>
        </is>
      </c>
      <c r="AC3" s="248" t="n"/>
    </row>
    <row r="4" ht="57.75" customFormat="1" customHeight="1" s="54">
      <c r="E4" s="249" t="n"/>
      <c r="F4" s="250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51">
        <f>SUM(E9:E17)</f>
        <v/>
      </c>
      <c r="F6" s="252">
        <f>SUM(F9:F17)</f>
        <v/>
      </c>
      <c r="G6" s="252">
        <f>SUM(G9:G17)</f>
        <v/>
      </c>
      <c r="H6" s="252">
        <f>SUM(H9:H17)</f>
        <v/>
      </c>
      <c r="I6" s="252">
        <f>SUM(I9:I17)</f>
        <v/>
      </c>
      <c r="J6" s="252">
        <f>SUM(J9:J17)</f>
        <v/>
      </c>
      <c r="K6" s="252">
        <f>SUM(K9:K17)</f>
        <v/>
      </c>
      <c r="L6" s="252">
        <f>SUM(L9:L17)</f>
        <v/>
      </c>
      <c r="M6" s="252">
        <f>SUM(M9:M17)</f>
        <v/>
      </c>
      <c r="N6" s="252">
        <f>SUM(N9:N17)</f>
        <v/>
      </c>
      <c r="O6" s="252">
        <f>SUM(O9:O17)</f>
        <v/>
      </c>
      <c r="P6" s="252">
        <f>SUM(P9:P17)</f>
        <v/>
      </c>
      <c r="Q6" s="252">
        <f>SUM(Q9:Q17)</f>
        <v/>
      </c>
      <c r="R6" s="252">
        <f>SUM(R9:R17)</f>
        <v/>
      </c>
      <c r="S6" s="252">
        <f>SUM(S9:S17)</f>
        <v/>
      </c>
      <c r="T6" s="252">
        <f>SUM(T9:T17)</f>
        <v/>
      </c>
      <c r="U6" s="252">
        <f>SUM(U9:U17)</f>
        <v/>
      </c>
      <c r="V6" s="252">
        <f>SUM(V9:V17)</f>
        <v/>
      </c>
      <c r="W6" s="252">
        <f>SUM(W9:W17)</f>
        <v/>
      </c>
      <c r="X6" s="252">
        <f>SUM(X9:X17)</f>
        <v/>
      </c>
      <c r="Y6" s="252">
        <f>SUM(Y9:Y17)</f>
        <v/>
      </c>
      <c r="Z6" s="252">
        <f>SUM(Z9:Z17)</f>
        <v/>
      </c>
      <c r="AA6" s="252">
        <f>SUM(AA9:AA17)</f>
        <v/>
      </c>
      <c r="AB6" s="252">
        <f>SUM(AB9:AB17)</f>
        <v/>
      </c>
      <c r="AC6" s="253">
        <f>SUM(AC9:AC17)</f>
        <v/>
      </c>
    </row>
    <row r="7" customFormat="1" s="56">
      <c r="A7" s="84" t="n"/>
      <c r="B7" s="85" t="n"/>
      <c r="C7" s="85" t="n"/>
      <c r="E7" s="251" t="n"/>
      <c r="F7" s="252" t="n"/>
      <c r="G7" s="252" t="n"/>
      <c r="H7" s="252" t="n"/>
      <c r="I7" s="252" t="n"/>
      <c r="J7" s="252" t="n"/>
      <c r="K7" s="252" t="n"/>
      <c r="L7" s="252" t="n"/>
      <c r="M7" s="252" t="n"/>
      <c r="N7" s="252" t="n"/>
      <c r="O7" s="252" t="n"/>
      <c r="P7" s="252" t="n"/>
      <c r="Q7" s="252" t="n"/>
      <c r="R7" s="252" t="n"/>
      <c r="S7" s="252" t="n"/>
      <c r="T7" s="252" t="n"/>
      <c r="U7" s="252" t="n"/>
      <c r="V7" s="252" t="n"/>
      <c r="W7" s="252" t="n"/>
      <c r="X7" s="252" t="n"/>
      <c r="Y7" s="252" t="n"/>
      <c r="Z7" s="252" t="n"/>
      <c r="AA7" s="252" t="n"/>
      <c r="AB7" s="252" t="n"/>
      <c r="AC7" s="253" t="n"/>
    </row>
    <row r="8" customFormat="1" s="56">
      <c r="A8" s="84" t="n"/>
      <c r="E8" s="251" t="n"/>
      <c r="F8" s="252" t="n"/>
      <c r="G8" s="252" t="n"/>
      <c r="H8" s="252" t="n"/>
      <c r="I8" s="252" t="n"/>
      <c r="J8" s="252" t="n"/>
      <c r="K8" s="252" t="n"/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</row>
    <row r="9" customFormat="1" s="56">
      <c r="A9" s="77" t="n"/>
      <c r="B9" s="56">
        <f>'TW-L'!C9</f>
        <v/>
      </c>
      <c r="C9" s="56">
        <f>'TW EE'!D10</f>
        <v/>
      </c>
      <c r="E9" s="251">
        <f>SUM(F9:G9)+J9+Z9+AB9</f>
        <v/>
      </c>
      <c r="F9" s="106" t="n"/>
      <c r="G9" s="252">
        <f>SUM(H9:I9)</f>
        <v/>
      </c>
      <c r="H9" s="252">
        <f>MAX(4500,(J9+Z9)*12%)</f>
        <v/>
      </c>
      <c r="I9" s="252">
        <f>IF(AB9&gt;0,1500,0)</f>
        <v/>
      </c>
      <c r="J9" s="252">
        <f>SUM(K9:Y9)</f>
        <v/>
      </c>
      <c r="K9" s="252">
        <f>'TW-L'!N9</f>
        <v/>
      </c>
      <c r="L9" s="252" t="n">
        <v>0</v>
      </c>
      <c r="M9" s="252">
        <f>'TW-L'!AC9</f>
        <v/>
      </c>
      <c r="N9" s="252">
        <f>'TW-L'!O9</f>
        <v/>
      </c>
      <c r="O9" s="252">
        <f>'TW-L'!P9</f>
        <v/>
      </c>
      <c r="P9" s="252">
        <f>'TW-L'!Q9</f>
        <v/>
      </c>
      <c r="Q9" s="252">
        <f>'TW-L'!R9</f>
        <v/>
      </c>
      <c r="R9" s="252">
        <f>'TW-L'!R9</f>
        <v/>
      </c>
      <c r="S9" s="252">
        <f>'TW-L'!U9</f>
        <v/>
      </c>
      <c r="T9" s="252">
        <f>'TW-L'!V9</f>
        <v/>
      </c>
      <c r="U9" s="252">
        <f>'TW-L'!W9</f>
        <v/>
      </c>
      <c r="V9" s="252">
        <f>'TW-L'!X9</f>
        <v/>
      </c>
      <c r="W9" s="252">
        <f>'TW-L'!Y9</f>
        <v/>
      </c>
      <c r="X9" s="252">
        <f>'TW-L'!AA9</f>
        <v/>
      </c>
      <c r="Y9" s="252">
        <f>'TW-L'!AB9</f>
        <v/>
      </c>
      <c r="Z9" s="252">
        <f>SUM(AA9:AA9)</f>
        <v/>
      </c>
      <c r="AA9" s="252">
        <f>'TW-L'!BL9</f>
        <v/>
      </c>
      <c r="AB9" s="252">
        <f>SUM(AC9:AC9)</f>
        <v/>
      </c>
      <c r="AC9" s="253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51">
        <f>SUM(F10:G10)+J10+Z10+AB10</f>
        <v/>
      </c>
      <c r="F10" s="106" t="n"/>
      <c r="G10" s="252">
        <f>SUM(H10:I10)</f>
        <v/>
      </c>
      <c r="H10" s="252">
        <f>MAX(4500,(J10+Z10)*12%)</f>
        <v/>
      </c>
      <c r="I10" s="252">
        <f>IF(AB10&gt;0,1500,0)</f>
        <v/>
      </c>
      <c r="J10" s="252">
        <f>SUM(K10:Y10)</f>
        <v/>
      </c>
      <c r="K10" s="252">
        <f>'TW-L'!N10</f>
        <v/>
      </c>
      <c r="L10" s="252" t="n">
        <v>0</v>
      </c>
      <c r="M10" s="252">
        <f>'TW-L'!AC10</f>
        <v/>
      </c>
      <c r="N10" s="252">
        <f>'TW-L'!O10</f>
        <v/>
      </c>
      <c r="O10" s="252">
        <f>'TW-L'!P10</f>
        <v/>
      </c>
      <c r="P10" s="252">
        <f>'TW-L'!Q10</f>
        <v/>
      </c>
      <c r="Q10" s="252">
        <f>'TW-L'!R10</f>
        <v/>
      </c>
      <c r="R10" s="252">
        <f>'TW-L'!R10</f>
        <v/>
      </c>
      <c r="S10" s="252">
        <f>'TW-L'!U10</f>
        <v/>
      </c>
      <c r="T10" s="252">
        <f>'TW-L'!V10</f>
        <v/>
      </c>
      <c r="U10" s="252">
        <f>'TW-L'!W10</f>
        <v/>
      </c>
      <c r="V10" s="252">
        <f>'TW-L'!X10</f>
        <v/>
      </c>
      <c r="W10" s="252">
        <f>'TW-L'!Y10</f>
        <v/>
      </c>
      <c r="X10" s="252">
        <f>'TW-L'!AA10</f>
        <v/>
      </c>
      <c r="Y10" s="252">
        <f>'TW-L'!AB10</f>
        <v/>
      </c>
      <c r="Z10" s="252">
        <f>SUM(AA10:AA10)</f>
        <v/>
      </c>
      <c r="AA10" s="252">
        <f>'TW-L'!BL10</f>
        <v/>
      </c>
      <c r="AB10" s="252">
        <f>SUM(AC10:AC10)</f>
        <v/>
      </c>
      <c r="AC10" s="253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51">
        <f>SUM(F11:G11)+J11+Z11+AB11</f>
        <v/>
      </c>
      <c r="F11" s="106" t="n"/>
      <c r="G11" s="252">
        <f>SUM(H11:I11)</f>
        <v/>
      </c>
      <c r="H11" s="252">
        <f>MAX(4500,(J11+Z11)*12%)</f>
        <v/>
      </c>
      <c r="I11" s="252">
        <f>IF(AB11&gt;0,1500,0)</f>
        <v/>
      </c>
      <c r="J11" s="252">
        <f>SUM(K11:Y11)</f>
        <v/>
      </c>
      <c r="K11" s="252">
        <f>'TW-L'!N11</f>
        <v/>
      </c>
      <c r="L11" s="252" t="n">
        <v>0</v>
      </c>
      <c r="M11" s="252">
        <f>'TW-L'!AC11</f>
        <v/>
      </c>
      <c r="N11" s="252">
        <f>'TW-L'!O11</f>
        <v/>
      </c>
      <c r="O11" s="252">
        <f>'TW-L'!P11</f>
        <v/>
      </c>
      <c r="P11" s="252">
        <f>'TW-L'!Q11</f>
        <v/>
      </c>
      <c r="Q11" s="252">
        <f>'TW-L'!R11</f>
        <v/>
      </c>
      <c r="R11" s="252">
        <f>'TW-L'!R11</f>
        <v/>
      </c>
      <c r="S11" s="252">
        <f>'TW-L'!U11</f>
        <v/>
      </c>
      <c r="T11" s="252">
        <f>'TW-L'!V11</f>
        <v/>
      </c>
      <c r="U11" s="252">
        <f>'TW-L'!W11</f>
        <v/>
      </c>
      <c r="V11" s="252">
        <f>'TW-L'!X11</f>
        <v/>
      </c>
      <c r="W11" s="252">
        <f>'TW-L'!Y11</f>
        <v/>
      </c>
      <c r="X11" s="252">
        <f>'TW-L'!AA11</f>
        <v/>
      </c>
      <c r="Y11" s="252">
        <f>'TW-L'!AB11</f>
        <v/>
      </c>
      <c r="Z11" s="252">
        <f>SUM(AA11:AA11)</f>
        <v/>
      </c>
      <c r="AA11" s="252">
        <f>'TW-L'!BL11</f>
        <v/>
      </c>
      <c r="AB11" s="252">
        <f>SUM(AC11:AC11)</f>
        <v/>
      </c>
      <c r="AC11" s="253">
        <f>'TW-L'!Z11</f>
        <v/>
      </c>
    </row>
    <row r="12" customFormat="1" s="56">
      <c r="A12" s="77" t="n"/>
      <c r="B12" s="56">
        <f>'TW-L'!C12</f>
        <v/>
      </c>
      <c r="C12" s="56">
        <f>'TW EE'!D13</f>
        <v/>
      </c>
      <c r="E12" s="251">
        <f>SUM(F12:G12)+J12+Z12+AB12</f>
        <v/>
      </c>
      <c r="F12" s="106" t="n"/>
      <c r="G12" s="252">
        <f>SUM(H12:I12)</f>
        <v/>
      </c>
      <c r="H12" s="252">
        <f>MAX(4500,(J12+Z12)*12%)</f>
        <v/>
      </c>
      <c r="I12" s="252">
        <f>IF(AB12&gt;0,1500,0)</f>
        <v/>
      </c>
      <c r="J12" s="252">
        <f>SUM(K12:Y12)</f>
        <v/>
      </c>
      <c r="K12" s="252">
        <f>'TW-L'!N12</f>
        <v/>
      </c>
      <c r="L12" s="252" t="n">
        <v>0</v>
      </c>
      <c r="M12" s="252">
        <f>'TW-L'!AC12</f>
        <v/>
      </c>
      <c r="N12" s="252">
        <f>'TW-L'!O12</f>
        <v/>
      </c>
      <c r="O12" s="252">
        <f>'TW-L'!P12</f>
        <v/>
      </c>
      <c r="P12" s="252">
        <f>'TW-L'!Q12</f>
        <v/>
      </c>
      <c r="Q12" s="252">
        <f>'TW-L'!R12</f>
        <v/>
      </c>
      <c r="R12" s="252">
        <f>'TW-L'!R12</f>
        <v/>
      </c>
      <c r="S12" s="252">
        <f>'TW-L'!U12</f>
        <v/>
      </c>
      <c r="T12" s="252">
        <f>'TW-L'!V12</f>
        <v/>
      </c>
      <c r="U12" s="252">
        <f>'TW-L'!W12</f>
        <v/>
      </c>
      <c r="V12" s="252">
        <f>'TW-L'!X12</f>
        <v/>
      </c>
      <c r="W12" s="252">
        <f>'TW-L'!Y12</f>
        <v/>
      </c>
      <c r="X12" s="252">
        <f>'TW-L'!AA12</f>
        <v/>
      </c>
      <c r="Y12" s="252">
        <f>'TW-L'!AB12</f>
        <v/>
      </c>
      <c r="Z12" s="252">
        <f>SUM(AA12:AA12)</f>
        <v/>
      </c>
      <c r="AA12" s="252">
        <f>'TW-L'!BL12</f>
        <v/>
      </c>
      <c r="AB12" s="252">
        <f>SUM(AC12:AC12)</f>
        <v/>
      </c>
      <c r="AC12" s="253">
        <f>'TW-L'!Z12</f>
        <v/>
      </c>
    </row>
    <row r="13" customFormat="1" s="56">
      <c r="A13" s="77" t="n"/>
      <c r="B13" s="56">
        <f>'TW-L'!C13</f>
        <v/>
      </c>
      <c r="C13" s="56">
        <f>'TW EE'!D12</f>
        <v/>
      </c>
      <c r="E13" s="251">
        <f>SUM(F13:G13)+J13+Z13+AB13</f>
        <v/>
      </c>
      <c r="F13" s="106" t="n"/>
      <c r="G13" s="252">
        <f>SUM(H13:I13)</f>
        <v/>
      </c>
      <c r="H13" s="252">
        <f>MAX(4500,(J13+Z13)*12%)</f>
        <v/>
      </c>
      <c r="I13" s="252">
        <f>IF(AB13&gt;0,1500,0)</f>
        <v/>
      </c>
      <c r="J13" s="252">
        <f>SUM(K13:Y13)</f>
        <v/>
      </c>
      <c r="K13" s="252">
        <f>'TW-L'!N13</f>
        <v/>
      </c>
      <c r="L13" s="252" t="n">
        <v>0</v>
      </c>
      <c r="M13" s="252">
        <f>'TW-L'!AC13</f>
        <v/>
      </c>
      <c r="N13" s="252">
        <f>'TW-L'!O13</f>
        <v/>
      </c>
      <c r="O13" s="252">
        <f>'TW-L'!P13</f>
        <v/>
      </c>
      <c r="P13" s="252">
        <f>'TW-L'!Q13</f>
        <v/>
      </c>
      <c r="Q13" s="252">
        <f>'TW-L'!R13</f>
        <v/>
      </c>
      <c r="R13" s="252">
        <f>'TW-L'!R13</f>
        <v/>
      </c>
      <c r="S13" s="252">
        <f>'TW-L'!U13</f>
        <v/>
      </c>
      <c r="T13" s="252">
        <f>'TW-L'!V13</f>
        <v/>
      </c>
      <c r="U13" s="252">
        <f>'TW-L'!W13</f>
        <v/>
      </c>
      <c r="V13" s="252">
        <f>'TW-L'!X13</f>
        <v/>
      </c>
      <c r="W13" s="252">
        <f>'TW-L'!Y13</f>
        <v/>
      </c>
      <c r="X13" s="252">
        <f>'TW-L'!AA13</f>
        <v/>
      </c>
      <c r="Y13" s="252">
        <f>'TW-L'!AB13</f>
        <v/>
      </c>
      <c r="Z13" s="252">
        <f>SUM(AA13:AA13)</f>
        <v/>
      </c>
      <c r="AA13" s="252">
        <f>'TW-L'!BL13</f>
        <v/>
      </c>
      <c r="AB13" s="252">
        <f>SUM(AC13:AC13)</f>
        <v/>
      </c>
      <c r="AC13" s="253">
        <f>'TW-L'!Z13</f>
        <v/>
      </c>
    </row>
    <row r="14" customFormat="1" s="56">
      <c r="A14" s="77" t="n"/>
      <c r="E14" s="251" t="n"/>
      <c r="F14" s="252" t="n"/>
      <c r="G14" s="252" t="n"/>
      <c r="H14" s="252" t="n"/>
      <c r="I14" s="252" t="n"/>
      <c r="J14" s="252" t="n"/>
      <c r="K14" s="252" t="n"/>
      <c r="L14" s="252" t="n"/>
      <c r="M14" s="252" t="n"/>
      <c r="N14" s="252" t="n"/>
      <c r="O14" s="252" t="n"/>
      <c r="P14" s="252" t="n"/>
      <c r="Q14" s="252" t="n"/>
      <c r="R14" s="252" t="n"/>
      <c r="S14" s="252" t="n"/>
      <c r="T14" s="252" t="n"/>
      <c r="U14" s="252" t="n"/>
      <c r="V14" s="252" t="n"/>
      <c r="W14" s="252" t="n"/>
      <c r="X14" s="252" t="n"/>
      <c r="Y14" s="252" t="n"/>
      <c r="Z14" s="252" t="n"/>
      <c r="AA14" s="252" t="n"/>
      <c r="AB14" s="252" t="n"/>
      <c r="AC14" s="253" t="n"/>
    </row>
    <row r="15" customFormat="1" s="56">
      <c r="A15" s="77" t="n"/>
      <c r="E15" s="251" t="n"/>
      <c r="F15" s="252" t="n"/>
      <c r="G15" s="252" t="n"/>
      <c r="H15" s="252" t="n"/>
      <c r="I15" s="252" t="n"/>
      <c r="J15" s="252" t="n"/>
      <c r="K15" s="252" t="n"/>
      <c r="L15" s="252" t="n"/>
      <c r="M15" s="252" t="n"/>
      <c r="N15" s="252" t="n"/>
      <c r="O15" s="252" t="n"/>
      <c r="P15" s="252" t="n"/>
      <c r="Q15" s="252" t="n"/>
      <c r="R15" s="252" t="n"/>
      <c r="S15" s="252" t="n"/>
      <c r="T15" s="252" t="n"/>
      <c r="U15" s="252" t="n"/>
      <c r="V15" s="252" t="n"/>
      <c r="W15" s="252" t="n"/>
      <c r="X15" s="252" t="n"/>
      <c r="Y15" s="252" t="n"/>
      <c r="Z15" s="252" t="n"/>
      <c r="AA15" s="252" t="n"/>
      <c r="AB15" s="252" t="n"/>
      <c r="AC15" s="253" t="n"/>
    </row>
    <row r="16" customFormat="1" s="56">
      <c r="A16" s="77" t="n"/>
      <c r="E16" s="251" t="n"/>
      <c r="F16" s="252" t="n"/>
      <c r="G16" s="252" t="n"/>
      <c r="H16" s="252" t="n"/>
      <c r="I16" s="252" t="n"/>
      <c r="J16" s="252" t="n"/>
      <c r="K16" s="252" t="n"/>
      <c r="L16" s="252" t="n"/>
      <c r="M16" s="252" t="n"/>
      <c r="N16" s="252" t="n"/>
      <c r="O16" s="252" t="n"/>
      <c r="P16" s="252" t="n"/>
      <c r="Q16" s="252" t="n"/>
      <c r="R16" s="252" t="n"/>
      <c r="S16" s="252" t="n"/>
      <c r="T16" s="252" t="n"/>
      <c r="U16" s="252" t="n"/>
      <c r="V16" s="252" t="n"/>
      <c r="W16" s="252" t="n"/>
      <c r="X16" s="252" t="n"/>
      <c r="Y16" s="252" t="n"/>
      <c r="Z16" s="252" t="n"/>
      <c r="AA16" s="252" t="n"/>
      <c r="AB16" s="252" t="n"/>
      <c r="AC16" s="253" t="n"/>
    </row>
    <row r="17" ht="15" customFormat="1" customHeight="1" s="56">
      <c r="A17" s="77" t="n"/>
      <c r="E17" s="254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5" t="n"/>
      <c r="O17" s="255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6" t="inlineStr">
        <is>
          <t>Pay Period</t>
        </is>
      </c>
      <c r="G3" s="257" t="n"/>
      <c r="H3" s="62" t="inlineStr">
        <is>
          <t>Net
Income</t>
        </is>
      </c>
      <c r="I3" s="68" t="inlineStr">
        <is>
          <t>Gross Salary</t>
        </is>
      </c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8" t="n"/>
      <c r="Y3" s="68" t="inlineStr">
        <is>
          <t>Expense Claim</t>
        </is>
      </c>
      <c r="Z3" s="248" t="n"/>
      <c r="AA3" s="68" t="inlineStr">
        <is>
          <t>Mandatory Contribution</t>
        </is>
      </c>
      <c r="AB3" s="247" t="n"/>
      <c r="AC3" s="247" t="n"/>
      <c r="AD3" s="247" t="n"/>
      <c r="AE3" s="248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9" t="n"/>
      <c r="C4" s="249" t="n"/>
      <c r="D4" s="249" t="n"/>
      <c r="E4" s="249" t="n"/>
      <c r="F4" s="71" t="inlineStr">
        <is>
          <t>From</t>
        </is>
      </c>
      <c r="G4" s="71" t="inlineStr">
        <is>
          <t>To</t>
        </is>
      </c>
      <c r="H4" s="249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50" t="n"/>
      <c r="AG4" s="258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9" t="n"/>
      <c r="I6" s="260" t="n"/>
      <c r="J6" s="260" t="n"/>
      <c r="K6" s="260" t="n"/>
      <c r="L6" s="260" t="n"/>
      <c r="M6" s="260" t="n"/>
      <c r="N6" s="260" t="n"/>
      <c r="O6" s="260" t="n"/>
      <c r="P6" s="260" t="n"/>
      <c r="Q6" s="260" t="n"/>
      <c r="R6" s="260" t="n"/>
      <c r="S6" s="260" t="n"/>
      <c r="T6" s="260" t="n"/>
      <c r="U6" s="260" t="n"/>
      <c r="V6" s="260" t="n"/>
      <c r="W6" s="260" t="n"/>
      <c r="X6" s="260" t="n"/>
      <c r="Y6" s="260" t="n"/>
      <c r="Z6" s="260" t="n"/>
      <c r="AA6" s="260" t="n"/>
      <c r="AB6" s="260" t="n"/>
      <c r="AC6" s="260" t="n"/>
      <c r="AD6" s="260" t="n"/>
      <c r="AE6" s="260" t="n"/>
      <c r="AF6" s="260" t="n"/>
      <c r="AG6" s="261" t="n"/>
    </row>
    <row r="7" customFormat="1" s="56">
      <c r="A7" s="77" t="n"/>
      <c r="H7" s="251" t="n"/>
      <c r="I7" s="252" t="n"/>
      <c r="J7" s="252" t="n"/>
      <c r="K7" s="252" t="n"/>
      <c r="L7" s="252" t="n"/>
      <c r="M7" s="252" t="n"/>
      <c r="N7" s="252" t="n"/>
      <c r="O7" s="252" t="n"/>
      <c r="P7" s="252" t="n"/>
      <c r="Q7" s="252" t="n"/>
      <c r="R7" s="252" t="n"/>
      <c r="S7" s="252" t="n"/>
      <c r="T7" s="252" t="n"/>
      <c r="U7" s="252" t="n"/>
      <c r="V7" s="252" t="n"/>
      <c r="W7" s="252" t="n"/>
      <c r="X7" s="252" t="n"/>
      <c r="Y7" s="252" t="n"/>
      <c r="Z7" s="252" t="n"/>
      <c r="AA7" s="252" t="n"/>
      <c r="AB7" s="252" t="n"/>
      <c r="AC7" s="252" t="n"/>
      <c r="AD7" s="252" t="n"/>
      <c r="AE7" s="252" t="n"/>
      <c r="AF7" s="252" t="n"/>
      <c r="AG7" s="253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51" t="n"/>
      <c r="I8" s="252" t="n"/>
      <c r="J8" s="252" t="n"/>
      <c r="K8" s="252" t="n"/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2" t="n"/>
      <c r="AD8" s="252" t="n"/>
      <c r="AE8" s="252" t="n"/>
      <c r="AF8" s="252" t="n"/>
      <c r="AG8" s="253" t="n"/>
    </row>
    <row r="9" customFormat="1" s="56">
      <c r="A9" s="84" t="n"/>
      <c r="H9" s="251" t="n"/>
      <c r="I9" s="252" t="n"/>
      <c r="J9" s="252" t="n"/>
      <c r="K9" s="252" t="n"/>
      <c r="L9" s="252" t="n"/>
      <c r="M9" s="252" t="n"/>
      <c r="N9" s="252" t="n"/>
      <c r="O9" s="252" t="n"/>
      <c r="P9" s="252" t="n"/>
      <c r="Q9" s="252" t="n"/>
      <c r="R9" s="252" t="n"/>
      <c r="S9" s="252" t="n"/>
      <c r="T9" s="252" t="n"/>
      <c r="U9" s="252" t="n"/>
      <c r="V9" s="252" t="n"/>
      <c r="W9" s="252" t="n"/>
      <c r="X9" s="252" t="n"/>
      <c r="Y9" s="252" t="n"/>
      <c r="Z9" s="252" t="n"/>
      <c r="AA9" s="252" t="n"/>
      <c r="AB9" s="252" t="n"/>
      <c r="AC9" s="252" t="n"/>
      <c r="AD9" s="252" t="n"/>
      <c r="AE9" s="252" t="n"/>
      <c r="AF9" s="252" t="n"/>
      <c r="AG9" s="253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51">
        <f>I10+Y10+AA10+AF10+AG10</f>
        <v/>
      </c>
      <c r="I10" s="252">
        <f>SUM(J10:X10)</f>
        <v/>
      </c>
      <c r="J10" s="252">
        <f>'TW-L'!N9</f>
        <v/>
      </c>
      <c r="K10" s="252" t="n">
        <v>0</v>
      </c>
      <c r="L10" s="252">
        <f>'TW-L'!AC9</f>
        <v/>
      </c>
      <c r="M10" s="252">
        <f>'TW-L'!O9</f>
        <v/>
      </c>
      <c r="N10" s="252">
        <f>'TW-L'!P9</f>
        <v/>
      </c>
      <c r="O10" s="252">
        <f>'TW-L'!Q9</f>
        <v/>
      </c>
      <c r="P10" s="252">
        <f>'TW-L'!R9</f>
        <v/>
      </c>
      <c r="Q10" s="252">
        <f>'TW-L'!X9+'TW-L'!Y9</f>
        <v/>
      </c>
      <c r="R10" s="252">
        <f>'TW-L'!U9</f>
        <v/>
      </c>
      <c r="S10" s="252">
        <f>'TW-L'!V9</f>
        <v/>
      </c>
      <c r="T10" s="252">
        <f>'TW-L'!W9</f>
        <v/>
      </c>
      <c r="U10" s="252">
        <f>'TW-L'!X9</f>
        <v/>
      </c>
      <c r="V10" s="252">
        <f>'TW-L'!Y9</f>
        <v/>
      </c>
      <c r="W10" s="252">
        <f>'TW-L'!AA9</f>
        <v/>
      </c>
      <c r="X10" s="252">
        <f>'TW-L'!AB9</f>
        <v/>
      </c>
      <c r="Y10" s="252">
        <f>SUM(Z10:Z10)</f>
        <v/>
      </c>
      <c r="Z10" s="252">
        <f>'TW-L'!Z9</f>
        <v/>
      </c>
      <c r="AA10" s="252">
        <f>SUM(AB10:AE10)</f>
        <v/>
      </c>
      <c r="AB10" s="252">
        <f>'TW-L'!AR9+'TW-L'!AS9</f>
        <v/>
      </c>
      <c r="AC10" s="252">
        <f>'TW-L'!AT9+'TW-L'!AU9</f>
        <v/>
      </c>
      <c r="AD10" s="252">
        <f>'TW-L'!AV9+'TW-L'!AW9</f>
        <v/>
      </c>
      <c r="AE10" s="252">
        <f>'TW-L'!AY9</f>
        <v/>
      </c>
      <c r="AF10" s="252" t="n">
        <v>0</v>
      </c>
      <c r="AG10" s="253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51">
        <f>I11+Y11+AA11+AF11+AG11</f>
        <v/>
      </c>
      <c r="I11" s="252">
        <f>SUM(J11:X11)</f>
        <v/>
      </c>
      <c r="J11" s="252">
        <f>'TW-L'!N10</f>
        <v/>
      </c>
      <c r="K11" s="252" t="n">
        <v>0</v>
      </c>
      <c r="L11" s="252">
        <f>'TW-L'!AC10</f>
        <v/>
      </c>
      <c r="M11" s="252">
        <f>'TW-L'!O10</f>
        <v/>
      </c>
      <c r="N11" s="252">
        <f>'TW-L'!P10</f>
        <v/>
      </c>
      <c r="O11" s="252">
        <f>'TW-L'!Q10</f>
        <v/>
      </c>
      <c r="P11" s="252">
        <f>'TW-L'!R10</f>
        <v/>
      </c>
      <c r="Q11" s="252">
        <f>'TW-L'!X10+'TW-L'!Y10</f>
        <v/>
      </c>
      <c r="R11" s="252">
        <f>'TW-L'!U10</f>
        <v/>
      </c>
      <c r="S11" s="252">
        <f>'TW-L'!V10</f>
        <v/>
      </c>
      <c r="T11" s="252">
        <f>'TW-L'!W10</f>
        <v/>
      </c>
      <c r="U11" s="252">
        <f>'TW-L'!X10</f>
        <v/>
      </c>
      <c r="V11" s="252">
        <f>'TW-L'!Y10</f>
        <v/>
      </c>
      <c r="W11" s="252">
        <f>'TW-L'!AA10</f>
        <v/>
      </c>
      <c r="X11" s="252">
        <f>'TW-L'!AB10</f>
        <v/>
      </c>
      <c r="Y11" s="252">
        <f>SUM(Z11:Z11)</f>
        <v/>
      </c>
      <c r="Z11" s="252">
        <f>'TW-L'!Z10</f>
        <v/>
      </c>
      <c r="AA11" s="252">
        <f>SUM(AB11:AE11)</f>
        <v/>
      </c>
      <c r="AB11" s="252">
        <f>'TW-L'!AR10+'TW-L'!AS10</f>
        <v/>
      </c>
      <c r="AC11" s="252">
        <f>'TW-L'!AT10+'TW-L'!AU10</f>
        <v/>
      </c>
      <c r="AD11" s="252">
        <f>'TW-L'!AV10+'TW-L'!AW10</f>
        <v/>
      </c>
      <c r="AE11" s="252">
        <f>'TW-L'!AY10</f>
        <v/>
      </c>
      <c r="AF11" s="252" t="n">
        <v>0</v>
      </c>
      <c r="AG11" s="253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51">
        <f>I12+Y12+AA12+AF12+AG12</f>
        <v/>
      </c>
      <c r="I12" s="252">
        <f>SUM(J12:X12)</f>
        <v/>
      </c>
      <c r="J12" s="252">
        <f>'TW-L'!N11</f>
        <v/>
      </c>
      <c r="K12" s="252" t="n">
        <v>0</v>
      </c>
      <c r="L12" s="252">
        <f>'TW-L'!AC11</f>
        <v/>
      </c>
      <c r="M12" s="252">
        <f>'TW-L'!O11</f>
        <v/>
      </c>
      <c r="N12" s="252">
        <f>'TW-L'!P11</f>
        <v/>
      </c>
      <c r="O12" s="252">
        <f>'TW-L'!Q11</f>
        <v/>
      </c>
      <c r="P12" s="252">
        <f>'TW-L'!R11</f>
        <v/>
      </c>
      <c r="Q12" s="252">
        <f>'TW-L'!X11+'TW-L'!Y11</f>
        <v/>
      </c>
      <c r="R12" s="252">
        <f>'TW-L'!U11</f>
        <v/>
      </c>
      <c r="S12" s="252">
        <f>'TW-L'!V11</f>
        <v/>
      </c>
      <c r="T12" s="252">
        <f>'TW-L'!W11</f>
        <v/>
      </c>
      <c r="U12" s="252">
        <f>'TW-L'!X11</f>
        <v/>
      </c>
      <c r="V12" s="252">
        <f>'TW-L'!Y11</f>
        <v/>
      </c>
      <c r="W12" s="252">
        <f>'TW-L'!AA11</f>
        <v/>
      </c>
      <c r="X12" s="252">
        <f>'TW-L'!AB11</f>
        <v/>
      </c>
      <c r="Y12" s="252">
        <f>SUM(Z12:Z12)</f>
        <v/>
      </c>
      <c r="Z12" s="252">
        <f>'TW-L'!Z11</f>
        <v/>
      </c>
      <c r="AA12" s="252">
        <f>SUM(AB12:AE12)</f>
        <v/>
      </c>
      <c r="AB12" s="252">
        <f>'TW-L'!AR11+'TW-L'!AS11</f>
        <v/>
      </c>
      <c r="AC12" s="252">
        <f>'TW-L'!AT11+'TW-L'!AU11</f>
        <v/>
      </c>
      <c r="AD12" s="252">
        <f>'TW-L'!AV11+'TW-L'!AW11</f>
        <v/>
      </c>
      <c r="AE12" s="252">
        <f>'TW-L'!AY11</f>
        <v/>
      </c>
      <c r="AF12" s="252" t="n">
        <v>0</v>
      </c>
      <c r="AG12" s="253">
        <f>'TW-L'!AQ11</f>
        <v/>
      </c>
    </row>
    <row r="13" customFormat="1" s="56">
      <c r="A13" s="77" t="n"/>
      <c r="B13" s="56">
        <f>PN!$B$9</f>
        <v/>
      </c>
      <c r="C13" s="56">
        <f>PN!B9</f>
        <v/>
      </c>
      <c r="D13" s="56" t="inlineStr">
        <is>
          <t>CUS1516-0004</t>
        </is>
      </c>
      <c r="E13" s="89">
        <f>'TW-L'!C12</f>
        <v/>
      </c>
      <c r="F13" s="85">
        <f>'TW-L'!$C$4</f>
        <v/>
      </c>
      <c r="G13" s="85">
        <f>'TW-L'!$C$5</f>
        <v/>
      </c>
      <c r="H13" s="251">
        <f>I13+Y13+AA13+AF13+AG13</f>
        <v/>
      </c>
      <c r="I13" s="252">
        <f>SUM(J13:X13)</f>
        <v/>
      </c>
      <c r="J13" s="252">
        <f>'TW-L'!N12</f>
        <v/>
      </c>
      <c r="K13" s="252" t="n">
        <v>0</v>
      </c>
      <c r="L13" s="252">
        <f>'TW-L'!AC12</f>
        <v/>
      </c>
      <c r="M13" s="252">
        <f>'TW-L'!O12</f>
        <v/>
      </c>
      <c r="N13" s="252">
        <f>'TW-L'!P12</f>
        <v/>
      </c>
      <c r="O13" s="252">
        <f>'TW-L'!Q12</f>
        <v/>
      </c>
      <c r="P13" s="252">
        <f>'TW-L'!R12</f>
        <v/>
      </c>
      <c r="Q13" s="252">
        <f>'TW-L'!X12+'TW-L'!Y12</f>
        <v/>
      </c>
      <c r="R13" s="252">
        <f>'TW-L'!U12</f>
        <v/>
      </c>
      <c r="S13" s="252">
        <f>'TW-L'!V12</f>
        <v/>
      </c>
      <c r="T13" s="252">
        <f>'TW-L'!W12</f>
        <v/>
      </c>
      <c r="U13" s="252">
        <f>'TW-L'!X12</f>
        <v/>
      </c>
      <c r="V13" s="252">
        <f>'TW-L'!Y12</f>
        <v/>
      </c>
      <c r="W13" s="252">
        <f>'TW-L'!AA12</f>
        <v/>
      </c>
      <c r="X13" s="252">
        <f>'TW-L'!AB12</f>
        <v/>
      </c>
      <c r="Y13" s="252">
        <f>SUM(Z13:Z13)</f>
        <v/>
      </c>
      <c r="Z13" s="252">
        <f>'TW-L'!Z12</f>
        <v/>
      </c>
      <c r="AA13" s="252">
        <f>SUM(AB13:AE13)</f>
        <v/>
      </c>
      <c r="AB13" s="252">
        <f>'TW-L'!AR12+'TW-L'!AS12</f>
        <v/>
      </c>
      <c r="AC13" s="252">
        <f>'TW-L'!AT12+'TW-L'!AU12</f>
        <v/>
      </c>
      <c r="AD13" s="252">
        <f>'TW-L'!AV12+'TW-L'!AW12</f>
        <v/>
      </c>
      <c r="AE13" s="252">
        <f>'TW-L'!AY12</f>
        <v/>
      </c>
      <c r="AF13" s="252" t="n">
        <v>0</v>
      </c>
      <c r="AG13" s="253">
        <f>'TW-L'!AQ12</f>
        <v/>
      </c>
    </row>
    <row r="14" customFormat="1" s="56">
      <c r="A14" s="77" t="n"/>
      <c r="B14" s="56">
        <f>PN!$B$9</f>
        <v/>
      </c>
      <c r="C14" s="56">
        <f>PN!B9</f>
        <v/>
      </c>
      <c r="D14" s="56" t="inlineStr">
        <is>
          <t>CUS1516-0005</t>
        </is>
      </c>
      <c r="E14" s="89">
        <f>'TW-L'!C13</f>
        <v/>
      </c>
      <c r="F14" s="85">
        <f>'TW-L'!$C$4</f>
        <v/>
      </c>
      <c r="G14" s="85">
        <f>'TW-L'!$C$5</f>
        <v/>
      </c>
      <c r="H14" s="251">
        <f>I14+Y14+AA14+AF14+AG14</f>
        <v/>
      </c>
      <c r="I14" s="252">
        <f>SUM(J14:X14)</f>
        <v/>
      </c>
      <c r="J14" s="252">
        <f>'TW-L'!N13</f>
        <v/>
      </c>
      <c r="K14" s="252" t="n">
        <v>0</v>
      </c>
      <c r="L14" s="252">
        <f>'TW-L'!AC13</f>
        <v/>
      </c>
      <c r="M14" s="252">
        <f>'TW-L'!O13</f>
        <v/>
      </c>
      <c r="N14" s="252">
        <f>'TW-L'!P13</f>
        <v/>
      </c>
      <c r="O14" s="252">
        <f>'TW-L'!Q13</f>
        <v/>
      </c>
      <c r="P14" s="252">
        <f>'TW-L'!R13</f>
        <v/>
      </c>
      <c r="Q14" s="252">
        <f>'TW-L'!X13+'TW-L'!Y13</f>
        <v/>
      </c>
      <c r="R14" s="252">
        <f>'TW-L'!U13</f>
        <v/>
      </c>
      <c r="S14" s="252">
        <f>'TW-L'!V13</f>
        <v/>
      </c>
      <c r="T14" s="252">
        <f>'TW-L'!W13</f>
        <v/>
      </c>
      <c r="U14" s="252">
        <f>'TW-L'!X13</f>
        <v/>
      </c>
      <c r="V14" s="252">
        <f>'TW-L'!Y13</f>
        <v/>
      </c>
      <c r="W14" s="252">
        <f>'TW-L'!AA13</f>
        <v/>
      </c>
      <c r="X14" s="252">
        <f>'TW-L'!AB13</f>
        <v/>
      </c>
      <c r="Y14" s="252">
        <f>SUM(Z14:Z14)</f>
        <v/>
      </c>
      <c r="Z14" s="252">
        <f>'TW-L'!Z13</f>
        <v/>
      </c>
      <c r="AA14" s="252">
        <f>SUM(AB14:AE14)</f>
        <v/>
      </c>
      <c r="AB14" s="252">
        <f>'TW-L'!AR13+'TW-L'!AS13</f>
        <v/>
      </c>
      <c r="AC14" s="252">
        <f>'TW-L'!AT13+'TW-L'!AU13</f>
        <v/>
      </c>
      <c r="AD14" s="252">
        <f>'TW-L'!AV13+'TW-L'!AW13</f>
        <v/>
      </c>
      <c r="AE14" s="252">
        <f>'TW-L'!AY13</f>
        <v/>
      </c>
      <c r="AF14" s="252" t="n">
        <v>0</v>
      </c>
      <c r="AG14" s="253">
        <f>'TW-L'!AQ13</f>
        <v/>
      </c>
    </row>
    <row r="15" customFormat="1" s="56">
      <c r="A15" s="77" t="n"/>
      <c r="H15" s="251" t="n"/>
      <c r="I15" s="252" t="n"/>
      <c r="J15" s="252" t="n"/>
      <c r="K15" s="252" t="n"/>
      <c r="L15" s="252" t="n"/>
      <c r="M15" s="252" t="n"/>
      <c r="N15" s="252" t="n"/>
      <c r="O15" s="252" t="n"/>
      <c r="P15" s="252" t="n"/>
      <c r="Q15" s="252" t="n"/>
      <c r="R15" s="252" t="n"/>
      <c r="S15" s="252" t="n"/>
      <c r="T15" s="252" t="n"/>
      <c r="U15" s="252" t="n"/>
      <c r="V15" s="252" t="n"/>
      <c r="W15" s="252" t="n"/>
      <c r="X15" s="252" t="n"/>
      <c r="Y15" s="252" t="n"/>
      <c r="Z15" s="252" t="n"/>
      <c r="AA15" s="252" t="n"/>
      <c r="AB15" s="252" t="n"/>
      <c r="AC15" s="252" t="n"/>
      <c r="AD15" s="252" t="n"/>
      <c r="AE15" s="252" t="n"/>
      <c r="AF15" s="252" t="n"/>
      <c r="AG15" s="253" t="n"/>
    </row>
    <row r="16" customFormat="1" s="56">
      <c r="A16" s="77" t="n"/>
      <c r="H16" s="251" t="n"/>
      <c r="I16" s="252" t="n"/>
      <c r="J16" s="252" t="n"/>
      <c r="K16" s="252" t="n"/>
      <c r="L16" s="252" t="n"/>
      <c r="M16" s="252" t="n"/>
      <c r="N16" s="252" t="n"/>
      <c r="O16" s="252" t="n"/>
      <c r="P16" s="252" t="n"/>
      <c r="Q16" s="252" t="n"/>
      <c r="R16" s="252" t="n"/>
      <c r="S16" s="252" t="n"/>
      <c r="T16" s="252" t="n"/>
      <c r="U16" s="252" t="n"/>
      <c r="V16" s="252" t="n"/>
      <c r="W16" s="252" t="n"/>
      <c r="X16" s="252" t="n"/>
      <c r="Y16" s="252" t="n"/>
      <c r="Z16" s="252" t="n"/>
      <c r="AA16" s="252" t="n"/>
      <c r="AB16" s="252" t="n"/>
      <c r="AC16" s="252" t="n"/>
      <c r="AD16" s="252" t="n"/>
      <c r="AE16" s="252" t="n"/>
      <c r="AF16" s="252" t="n"/>
      <c r="AG16" s="253" t="n"/>
    </row>
    <row r="17" customFormat="1" s="56">
      <c r="A17" s="77" t="n"/>
      <c r="H17" s="251" t="n"/>
      <c r="I17" s="252" t="n"/>
      <c r="J17" s="252" t="n"/>
      <c r="K17" s="252" t="n"/>
      <c r="L17" s="252" t="n"/>
      <c r="M17" s="252" t="n"/>
      <c r="N17" s="252" t="n"/>
      <c r="O17" s="252" t="n"/>
      <c r="P17" s="252" t="n"/>
      <c r="Q17" s="252" t="n"/>
      <c r="R17" s="252" t="n"/>
      <c r="S17" s="252" t="n"/>
      <c r="T17" s="252" t="n"/>
      <c r="U17" s="252" t="n"/>
      <c r="V17" s="252" t="n"/>
      <c r="W17" s="252" t="n"/>
      <c r="X17" s="252" t="n"/>
      <c r="Y17" s="252" t="n"/>
      <c r="Z17" s="252" t="n"/>
      <c r="AA17" s="252" t="n"/>
      <c r="AB17" s="252" t="n"/>
      <c r="AC17" s="252" t="n"/>
      <c r="AD17" s="252" t="n"/>
      <c r="AE17" s="252" t="n"/>
      <c r="AF17" s="252" t="n"/>
      <c r="AG17" s="253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62" min="35" max="35"/>
    <col width="8.449999999999999" customWidth="1" style="262" min="36" max="36"/>
    <col width="10" customWidth="1" style="262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62" min="42" max="42"/>
    <col outlineLevel="1" width="10.3666666666667" customWidth="1" style="3" min="43" max="43"/>
    <col width="8.633333333333329" customWidth="1" style="3" min="44" max="44"/>
    <col outlineLevel="1" width="8.633333333333329" customWidth="1" style="262" min="45" max="45"/>
    <col outlineLevel="1" width="9.18333333333333" customWidth="1" style="3" min="46" max="46"/>
    <col outlineLevel="1" width="11.1833333333333" customWidth="1" style="3" min="47" max="47"/>
    <col width="8.633333333333329" customWidth="1" style="262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62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63" t="n"/>
      <c r="AF3" s="263" t="n"/>
      <c r="AG3" s="263" t="n"/>
      <c r="AH3" s="263" t="n"/>
      <c r="AI3" s="263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4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4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5" t="inlineStr">
        <is>
          <t>Pay Items</t>
        </is>
      </c>
      <c r="N6" s="266" t="n"/>
      <c r="O6" s="266" t="n"/>
      <c r="P6" s="266" t="n"/>
      <c r="Q6" s="266" t="n"/>
      <c r="R6" s="266" t="n"/>
      <c r="S6" s="266" t="n"/>
      <c r="T6" s="266" t="n"/>
      <c r="U6" s="266" t="n"/>
      <c r="V6" s="266" t="n"/>
      <c r="W6" s="266" t="n"/>
      <c r="X6" s="266" t="n"/>
      <c r="Y6" s="266" t="n"/>
      <c r="Z6" s="266" t="n"/>
      <c r="AA6" s="266" t="n"/>
      <c r="AB6" s="266" t="n"/>
      <c r="AC6" s="267" t="n"/>
      <c r="AD6" s="14" t="inlineStr">
        <is>
          <t xml:space="preserve">Overtime Details </t>
        </is>
      </c>
      <c r="AE6" s="266" t="n"/>
      <c r="AF6" s="266" t="n"/>
      <c r="AG6" s="266" t="n"/>
      <c r="AH6" s="266" t="n"/>
      <c r="AI6" s="266" t="n"/>
      <c r="AJ6" s="266" t="n"/>
      <c r="AK6" s="266" t="n"/>
      <c r="AL6" s="17" t="inlineStr">
        <is>
          <t>Social Insurance Grading</t>
        </is>
      </c>
      <c r="AM6" s="268" t="n"/>
      <c r="AN6" s="268" t="n"/>
      <c r="AO6" s="268" t="n"/>
      <c r="AP6" s="269" t="n"/>
      <c r="AQ6" s="265" t="inlineStr">
        <is>
          <t>EE Dedution</t>
        </is>
      </c>
      <c r="AR6" s="266" t="n"/>
      <c r="AS6" s="266" t="n"/>
      <c r="AT6" s="266" t="n"/>
      <c r="AU6" s="266" t="n"/>
      <c r="AV6" s="266" t="n"/>
      <c r="AW6" s="266" t="n"/>
      <c r="AX6" s="266" t="n"/>
      <c r="AY6" s="267" t="n"/>
      <c r="AZ6" s="20" t="n"/>
      <c r="BA6" s="21" t="n"/>
      <c r="BB6" s="270" t="inlineStr">
        <is>
          <t>ER Insurance contribution</t>
        </is>
      </c>
      <c r="BC6" s="266" t="n"/>
      <c r="BD6" s="266" t="n"/>
      <c r="BE6" s="266" t="n"/>
      <c r="BF6" s="266" t="n"/>
      <c r="BG6" s="266" t="n"/>
      <c r="BH6" s="266" t="n"/>
      <c r="BI6" s="266" t="n"/>
      <c r="BJ6" s="267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71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72" t="n"/>
      <c r="AE9" s="49" t="n"/>
      <c r="AF9" s="272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71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72" t="n"/>
      <c r="AE10" s="49" t="n"/>
      <c r="AF10" s="272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71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72" t="n"/>
      <c r="AE11" s="49" t="n"/>
      <c r="AF11" s="272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2026-07-23T09:45:13Z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