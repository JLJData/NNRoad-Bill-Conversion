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SUM(E16:E26)</f>
        <v/>
      </c>
      <c r="F15" s="208">
        <f>SUM(F16:F26)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E16/$B$35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E17/$B$35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E18/$B$35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E19/$B$35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E20/$B$35</f>
        <v/>
      </c>
      <c r="G20" s="217" t="n"/>
    </row>
    <row r="21" ht="12.75" customHeight="1" s="205">
      <c r="A21" s="151">
        <f>"- Expense claim for "&amp;TW!B9</f>
        <v/>
      </c>
      <c r="D21" s="152" t="n"/>
      <c r="E21" s="210">
        <f>TW!AB9</f>
        <v/>
      </c>
      <c r="F21" s="211">
        <f>E21/$B$35</f>
        <v/>
      </c>
      <c r="G21" s="218" t="n"/>
    </row>
    <row r="22" ht="12.75" customHeight="1" s="205">
      <c r="A22" s="151">
        <f>"- Expense claim for "&amp;TW!B10</f>
        <v/>
      </c>
      <c r="D22" s="152" t="n"/>
      <c r="E22" s="210">
        <f>TW!AB10</f>
        <v/>
      </c>
      <c r="F22" s="211">
        <f>E22/$B$35</f>
        <v/>
      </c>
      <c r="G22" s="218" t="n"/>
    </row>
    <row r="23" ht="12.75" customFormat="1" customHeight="1" s="123">
      <c r="A23" s="151">
        <f>"- Expense claim for "&amp;TW!B11</f>
        <v/>
      </c>
      <c r="D23" s="152" t="n"/>
      <c r="E23" s="210">
        <f>TW!AB11</f>
        <v/>
      </c>
      <c r="F23" s="211">
        <f>E23/$B$35</f>
        <v/>
      </c>
      <c r="G23" s="218" t="n"/>
    </row>
    <row r="24" ht="12.75" customHeight="1" s="205">
      <c r="A24" s="213">
        <f>"- Expense claim for "&amp;TW!B12</f>
        <v/>
      </c>
      <c r="D24" s="214" t="n"/>
      <c r="E24" s="215">
        <f>TW!AB12</f>
        <v/>
      </c>
      <c r="F24" s="216">
        <f>E24/$B$35</f>
        <v/>
      </c>
      <c r="G24" s="219" t="n"/>
    </row>
    <row r="25" ht="12.75" customHeight="1" s="205">
      <c r="A25" s="213">
        <f>"- Expense claim for "&amp;TW!B13</f>
        <v/>
      </c>
      <c r="D25" s="214" t="n"/>
      <c r="E25" s="215">
        <f>TW!AB13</f>
        <v/>
      </c>
      <c r="F25" s="216">
        <f>E25/$B$35</f>
        <v/>
      </c>
      <c r="G25" s="219" t="n"/>
    </row>
    <row r="26" ht="12.75" customHeight="1" s="205">
      <c r="A26" s="158" t="n"/>
      <c r="D26" s="159" t="n"/>
      <c r="E26" s="220" t="n"/>
      <c r="F26" s="221" t="n"/>
      <c r="G26" s="218" t="n"/>
    </row>
    <row r="27" ht="16" customHeight="1" s="205">
      <c r="A27" s="146" t="inlineStr">
        <is>
          <t>Service Fee</t>
        </is>
      </c>
      <c r="D27" s="147" t="n"/>
      <c r="E27" s="207">
        <f>SUM(E28:E29)</f>
        <v/>
      </c>
      <c r="F27" s="222">
        <f>SUM(F28:F29)</f>
        <v/>
      </c>
      <c r="G27" s="223" t="n"/>
    </row>
    <row r="28" ht="12.75" customFormat="1" customHeight="1" s="121">
      <c r="A28" s="163">
        <f>"- Management Fee - "&amp;MONTH(TW!B2)&amp;"-"&amp;YEAR(TW!B2)</f>
        <v/>
      </c>
      <c r="D28" s="164" t="n"/>
      <c r="E28" s="224">
        <f>TW!G6</f>
        <v/>
      </c>
      <c r="F28" s="211">
        <f>E28/$B$35</f>
        <v/>
      </c>
      <c r="G28" s="218" t="n"/>
    </row>
    <row r="29" ht="12.75" customFormat="1" customHeight="1" s="121">
      <c r="A29" s="163" t="n"/>
      <c r="D29" s="164" t="n"/>
      <c r="E29" s="220" t="n"/>
      <c r="F29" s="221" t="n"/>
      <c r="G29" s="218" t="n"/>
    </row>
    <row r="30" ht="12.75" customFormat="1" customHeight="1" s="121">
      <c r="A30" s="163" t="n"/>
      <c r="D30" s="164" t="n"/>
      <c r="E30" s="220" t="n"/>
      <c r="F30" s="221" t="n"/>
      <c r="G30" s="218" t="n"/>
    </row>
    <row r="31" ht="14.25" customHeight="1" s="205">
      <c r="A31" s="165" t="n"/>
      <c r="D31" s="166" t="n"/>
      <c r="E31" s="225" t="n"/>
      <c r="F31" s="226" t="n"/>
      <c r="G31" s="218" t="n"/>
    </row>
    <row r="32" ht="15" customFormat="1" customHeight="1" s="122">
      <c r="A32" s="169" t="inlineStr">
        <is>
          <t xml:space="preserve">EOR/PEO Service Cost		</t>
        </is>
      </c>
      <c r="B32" s="227" t="n"/>
      <c r="C32" s="227" t="n"/>
      <c r="D32" s="227" t="n"/>
      <c r="E32" s="228">
        <f>E15+E27</f>
        <v/>
      </c>
      <c r="F32" s="229">
        <f>F15+F27</f>
        <v/>
      </c>
      <c r="G32" s="209" t="n"/>
    </row>
    <row r="33" ht="14.25" customFormat="1" customHeight="1" s="122">
      <c r="A33" s="173" t="n"/>
      <c r="B33" s="173" t="n"/>
      <c r="C33" s="174" t="n"/>
      <c r="D33" s="174" t="n"/>
      <c r="E33" s="230" t="n"/>
      <c r="F33" s="231" t="n"/>
      <c r="G33" s="209" t="n"/>
    </row>
    <row r="34" ht="15" customHeight="1" s="205">
      <c r="A34" s="177" t="n"/>
      <c r="B34" s="177" t="n"/>
      <c r="C34" s="177" t="n"/>
      <c r="D34" s="177" t="n"/>
      <c r="E34" s="230" t="n"/>
      <c r="F34" s="231" t="n"/>
      <c r="G34" s="209" t="n"/>
    </row>
    <row r="35" ht="25.5" customHeight="1" s="205">
      <c r="A35" s="178">
        <f>"*FX rate  USD:  "&amp;TW!C6</f>
        <v/>
      </c>
      <c r="B35" s="179" t="n">
        <v>31.2977</v>
      </c>
      <c r="C35" s="230" t="n"/>
      <c r="D35" s="232" t="inlineStr">
        <is>
          <t>EOR/PEO Service Cost</t>
        </is>
      </c>
      <c r="E35" s="233" t="n"/>
      <c r="F35" s="234">
        <f>F32</f>
        <v/>
      </c>
      <c r="G35" s="218" t="n"/>
    </row>
    <row r="36" ht="16" customHeight="1" s="205">
      <c r="A36" s="183" t="n"/>
      <c r="B36" s="183" t="n"/>
      <c r="C36" s="230" t="n"/>
      <c r="D36" s="235" t="inlineStr">
        <is>
          <t xml:space="preserve">Outstanding payment </t>
        </is>
      </c>
      <c r="F36" s="236">
        <f>TW!E22</f>
        <v/>
      </c>
      <c r="G36" s="212" t="n"/>
    </row>
    <row r="37" ht="14.25" customHeight="1" s="205">
      <c r="A37" s="183" t="n"/>
      <c r="B37" s="183" t="n"/>
      <c r="C37" s="230" t="n"/>
      <c r="D37" s="235" t="inlineStr">
        <is>
          <t xml:space="preserve">FX difference </t>
        </is>
      </c>
      <c r="F37" s="236">
        <f>TW!E23</f>
        <v/>
      </c>
      <c r="G37" s="212" t="n"/>
    </row>
    <row r="38" ht="14.25" customHeight="1" s="205">
      <c r="A38" s="183" t="n"/>
      <c r="B38" s="183" t="n"/>
      <c r="C38" s="230" t="n"/>
      <c r="D38" s="235" t="inlineStr">
        <is>
          <t xml:space="preserve">Interests of delay </t>
        </is>
      </c>
      <c r="F38" s="236">
        <f>TW!E24</f>
        <v/>
      </c>
      <c r="G38" s="218" t="n"/>
    </row>
    <row r="39" ht="15" customHeight="1" s="205">
      <c r="A39" s="183" t="n"/>
      <c r="B39" s="183" t="n"/>
      <c r="C39" s="187" t="n"/>
      <c r="D39" s="188" t="inlineStr">
        <is>
          <t xml:space="preserve">Bank Charges </t>
        </is>
      </c>
      <c r="E39" s="237" t="n"/>
      <c r="F39" s="238">
        <f>TW!E25</f>
        <v/>
      </c>
      <c r="G39" s="218" t="n"/>
    </row>
    <row r="40" ht="14.25" customHeight="1" s="205">
      <c r="A40" s="183" t="n"/>
      <c r="B40" s="183" t="n"/>
      <c r="C40" s="230" t="n"/>
      <c r="D40" s="239" t="inlineStr">
        <is>
          <t xml:space="preserve">Sub Total (Excluding Tax)		</t>
        </is>
      </c>
      <c r="F40" s="240">
        <f>SUM(F35:F39)</f>
        <v/>
      </c>
      <c r="G40" s="218" t="n"/>
    </row>
    <row r="41" ht="14.25" customHeight="1" s="205">
      <c r="A41" s="183" t="n"/>
      <c r="B41" s="183" t="n"/>
      <c r="C41" s="230" t="n"/>
      <c r="D41" s="241" t="inlineStr">
        <is>
          <t>Tax</t>
        </is>
      </c>
      <c r="F41" s="240">
        <f>ROUNDUP(TW!F6/PN!B35,2)+0.01</f>
        <v/>
      </c>
      <c r="G41" s="218" t="n"/>
    </row>
    <row r="42" ht="15" customHeight="1" s="205">
      <c r="A42" s="196" t="n"/>
      <c r="B42" s="196" t="n"/>
      <c r="C42" s="230" t="n"/>
      <c r="D42" s="242" t="inlineStr">
        <is>
          <t xml:space="preserve">Total		</t>
        </is>
      </c>
      <c r="E42" s="243" t="n"/>
      <c r="F42" s="244">
        <f>SUM(F40:F41)</f>
        <v/>
      </c>
      <c r="G42" s="218" t="n"/>
      <c r="H42" s="245" t="n"/>
    </row>
    <row r="43" ht="14.25" customHeight="1" s="205">
      <c r="A43" s="166" t="n"/>
      <c r="B43" s="166" t="n"/>
      <c r="C43" s="166" t="n"/>
      <c r="D43" s="166" t="n"/>
      <c r="E43" s="187" t="n"/>
      <c r="F43" s="187" t="n"/>
      <c r="G43" s="218" t="n"/>
    </row>
    <row r="44" ht="14.25" customHeight="1" s="205">
      <c r="A44" s="166" t="n"/>
      <c r="B44" s="166" t="n"/>
      <c r="C44" s="166" t="n"/>
      <c r="D44" s="166" t="n"/>
      <c r="E44" s="187" t="n"/>
      <c r="F44" s="187" t="n"/>
      <c r="G44" s="218" t="n"/>
    </row>
    <row r="45" s="205">
      <c r="G45" s="218" t="n"/>
    </row>
    <row r="46" ht="19" customHeight="1" s="205">
      <c r="A46" s="201" t="inlineStr">
        <is>
          <t xml:space="preserve">Please pay the Invoice in FULL AMOUNT </t>
        </is>
      </c>
    </row>
    <row r="47" ht="61" customHeight="1" s="205">
      <c r="A47" s="246" t="inlineStr">
        <is>
          <t>Beneficiary: NNROAD, INC.
Bank Name: Chase Bank
Bank Account: 132827913
Bank Add.: 690 River Oaks Parkway Ste A, San Jose, CA 95134, USA</t>
        </is>
      </c>
      <c r="C47" s="247" t="n"/>
      <c r="D47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48">
      <c r="A48" s="124" t="inlineStr">
        <is>
          <t>Notes:</t>
        </is>
      </c>
    </row>
    <row r="49" ht="11" customHeight="1" s="205">
      <c r="A49" s="121" t="inlineStr">
        <is>
          <t>1. Please ensure that you include the Invoice Number when making your payment. This will help us accurately process and allocate your payment .</t>
        </is>
      </c>
      <c r="B49" s="121" t="n"/>
      <c r="C49" s="121" t="n"/>
      <c r="D49" s="121" t="n"/>
      <c r="E49" s="121" t="n"/>
      <c r="F49" s="121" t="n"/>
    </row>
    <row r="50">
      <c r="A50" s="121" t="inlineStr">
        <is>
          <t>2. This document becomes a Tax Invoice/Receipt upon payment. Please retain a copy for your records.</t>
        </is>
      </c>
    </row>
    <row r="51">
      <c r="A51" s="121" t="inlineStr">
        <is>
          <t>3. This is a computer generated document.  No Signature required.</t>
        </is>
      </c>
    </row>
  </sheetData>
  <mergeCells count="35">
    <mergeCell ref="A25:C25"/>
    <mergeCell ref="A46:F46"/>
    <mergeCell ref="B3:F3"/>
    <mergeCell ref="A18:C18"/>
    <mergeCell ref="A27:C27"/>
    <mergeCell ref="A21:C21"/>
    <mergeCell ref="D40:E40"/>
    <mergeCell ref="D47:F47"/>
    <mergeCell ref="A26:C26"/>
    <mergeCell ref="D36:E36"/>
    <mergeCell ref="A47:C47"/>
    <mergeCell ref="B2:F2"/>
    <mergeCell ref="A23:C23"/>
    <mergeCell ref="A14:C14"/>
    <mergeCell ref="A5:F5"/>
    <mergeCell ref="A22:C22"/>
    <mergeCell ref="A17:C17"/>
    <mergeCell ref="B1:F1"/>
    <mergeCell ref="D41:E41"/>
    <mergeCell ref="B10:B11"/>
    <mergeCell ref="A29:C29"/>
    <mergeCell ref="A20:C20"/>
    <mergeCell ref="A28:C28"/>
    <mergeCell ref="A19:C19"/>
    <mergeCell ref="A31:C31"/>
    <mergeCell ref="D37:E37"/>
    <mergeCell ref="A30:C30"/>
    <mergeCell ref="A15:C15"/>
    <mergeCell ref="A24:C24"/>
    <mergeCell ref="D39:E39"/>
    <mergeCell ref="D42:E42"/>
    <mergeCell ref="D38:E38"/>
    <mergeCell ref="A32:D32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E14" s="253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54" t="n"/>
      <c r="O14" s="254" t="n"/>
      <c r="P14" s="254" t="n"/>
      <c r="Q14" s="254" t="n"/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55" t="n"/>
    </row>
    <row r="15" customFormat="1" s="56">
      <c r="A15" s="77" t="n"/>
      <c r="E15" s="253" t="n"/>
      <c r="F15" s="254" t="n"/>
      <c r="G15" s="254" t="n"/>
      <c r="H15" s="254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5" t="n"/>
    </row>
    <row r="16" customFormat="1" s="56">
      <c r="A16" s="77" t="n"/>
      <c r="E16" s="253" t="n"/>
      <c r="F16" s="254" t="n"/>
      <c r="G16" s="254" t="n"/>
      <c r="H16" s="254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5" t="n"/>
    </row>
    <row r="17" ht="15" customFormat="1" customHeight="1" s="56">
      <c r="A17" s="77" t="n"/>
      <c r="E17" s="256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8" t="inlineStr">
        <is>
          <t>Pay Period</t>
        </is>
      </c>
      <c r="G3" s="259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60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61" t="n"/>
      <c r="I6" s="262" t="n"/>
      <c r="J6" s="262" t="n"/>
      <c r="K6" s="262" t="n"/>
      <c r="L6" s="262" t="n"/>
      <c r="M6" s="262" t="n"/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3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H15" s="253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4" t="n"/>
      <c r="AD15" s="254" t="n"/>
      <c r="AE15" s="254" t="n"/>
      <c r="AF15" s="254" t="n"/>
      <c r="AG15" s="255" t="n"/>
    </row>
    <row r="16" customFormat="1" s="56">
      <c r="A16" s="77" t="n"/>
      <c r="H16" s="253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5" t="n"/>
    </row>
    <row r="17" customFormat="1" s="56">
      <c r="A17" s="77" t="n"/>
      <c r="H17" s="253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5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4" min="35" max="35"/>
    <col width="8.449999999999999" customWidth="1" style="264" min="36" max="36"/>
    <col width="10" customWidth="1" style="264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4" min="42" max="42"/>
    <col outlineLevel="1" width="10.3666666666667" customWidth="1" style="3" min="43" max="43"/>
    <col width="8.633333333333329" customWidth="1" style="3" min="44" max="44"/>
    <col outlineLevel="1" width="8.633333333333329" customWidth="1" style="264" min="45" max="45"/>
    <col outlineLevel="1" width="9.18333333333333" customWidth="1" style="3" min="46" max="46"/>
    <col outlineLevel="1" width="11.1833333333333" customWidth="1" style="3" min="47" max="47"/>
    <col width="8.633333333333329" customWidth="1" style="264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4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5" t="n"/>
      <c r="AF3" s="265" t="n"/>
      <c r="AG3" s="265" t="n"/>
      <c r="AH3" s="265" t="n"/>
      <c r="AI3" s="265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6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6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7" t="inlineStr">
        <is>
          <t>Pay Items</t>
        </is>
      </c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9" t="n"/>
      <c r="AD6" s="14" t="inlineStr">
        <is>
          <t xml:space="preserve">Overtime Details </t>
        </is>
      </c>
      <c r="AE6" s="268" t="n"/>
      <c r="AF6" s="268" t="n"/>
      <c r="AG6" s="268" t="n"/>
      <c r="AH6" s="268" t="n"/>
      <c r="AI6" s="268" t="n"/>
      <c r="AJ6" s="268" t="n"/>
      <c r="AK6" s="268" t="n"/>
      <c r="AL6" s="17" t="inlineStr">
        <is>
          <t>Social Insurance Grading</t>
        </is>
      </c>
      <c r="AM6" s="270" t="n"/>
      <c r="AN6" s="270" t="n"/>
      <c r="AO6" s="270" t="n"/>
      <c r="AP6" s="271" t="n"/>
      <c r="AQ6" s="267" t="inlineStr">
        <is>
          <t>EE Dedution</t>
        </is>
      </c>
      <c r="AR6" s="268" t="n"/>
      <c r="AS6" s="268" t="n"/>
      <c r="AT6" s="268" t="n"/>
      <c r="AU6" s="268" t="n"/>
      <c r="AV6" s="268" t="n"/>
      <c r="AW6" s="268" t="n"/>
      <c r="AX6" s="268" t="n"/>
      <c r="AY6" s="269" t="n"/>
      <c r="AZ6" s="20" t="n"/>
      <c r="BA6" s="21" t="n"/>
      <c r="BB6" s="272" t="inlineStr">
        <is>
          <t>ER Insurance contribution</t>
        </is>
      </c>
      <c r="BC6" s="268" t="n"/>
      <c r="BD6" s="268" t="n"/>
      <c r="BE6" s="268" t="n"/>
      <c r="BF6" s="268" t="n"/>
      <c r="BG6" s="268" t="n"/>
      <c r="BH6" s="268" t="n"/>
      <c r="BI6" s="268" t="n"/>
      <c r="BJ6" s="269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3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4" t="n"/>
      <c r="AE9" s="49" t="n"/>
      <c r="AF9" s="274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3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4" t="n"/>
      <c r="AE10" s="49" t="n"/>
      <c r="AF10" s="274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3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4" t="n"/>
      <c r="AE11" s="49" t="n"/>
      <c r="AF11" s="274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2026-07-23T10:18:17Z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