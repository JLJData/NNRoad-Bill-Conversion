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32.08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2152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>
        <f>'TW-L'!C11</f>
        <v/>
      </c>
      <c r="C11" s="3">
        <f>'TW EE'!D12</f>
        <v/>
      </c>
      <c r="E11" s="260">
        <f>SUM(F11:G11)+J11+Z11+AB11</f>
        <v/>
      </c>
      <c r="F11" s="154" t="n">
        <v>2152</v>
      </c>
      <c r="G11" s="263">
        <f>SUM(H11:I11)</f>
        <v/>
      </c>
      <c r="H11" s="261">
        <f>MAX(4500,(J11+Z11)*12%)</f>
        <v/>
      </c>
      <c r="I11" s="261">
        <f>IF(AB11&gt;0,1500,0)</f>
        <v/>
      </c>
      <c r="J11" s="261">
        <f>SUM(K11:Y11)</f>
        <v/>
      </c>
      <c r="K11" s="264">
        <f>'TW-L'!N11</f>
        <v/>
      </c>
      <c r="L11" s="261" t="n">
        <v>0</v>
      </c>
      <c r="M11" s="261">
        <f>'TW-L'!AC11</f>
        <v/>
      </c>
      <c r="N11" s="261">
        <f>'TW-L'!O11</f>
        <v/>
      </c>
      <c r="O11" s="261">
        <f>'TW-L'!P11</f>
        <v/>
      </c>
      <c r="P11" s="261">
        <f>'TW-L'!Q11</f>
        <v/>
      </c>
      <c r="Q11" s="261">
        <f>'TW-L'!R11</f>
        <v/>
      </c>
      <c r="R11" s="261">
        <f>'TW-L'!R11</f>
        <v/>
      </c>
      <c r="S11" s="261">
        <f>'TW-L'!U11</f>
        <v/>
      </c>
      <c r="T11" s="261">
        <f>'TW-L'!V11</f>
        <v/>
      </c>
      <c r="U11" s="261">
        <f>'TW-L'!W11</f>
        <v/>
      </c>
      <c r="V11" s="261">
        <f>'TW-L'!X11</f>
        <v/>
      </c>
      <c r="W11" s="261">
        <f>'TW-L'!Y11</f>
        <v/>
      </c>
      <c r="X11" s="261">
        <f>'TW-L'!AA11</f>
        <v/>
      </c>
      <c r="Y11" s="261">
        <f>'TW-L'!AB11</f>
        <v/>
      </c>
      <c r="Z11" s="261">
        <f>SUM(AA11:AA11)</f>
        <v/>
      </c>
      <c r="AA11" s="261">
        <f>'TW-L'!BL11</f>
        <v/>
      </c>
      <c r="AB11" s="261">
        <f>SUM(AC11:AC11)</f>
        <v/>
      </c>
      <c r="AC11" s="262">
        <f>'TW-L'!Z11</f>
        <v/>
      </c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PN!$B$8</f>
        <v/>
      </c>
      <c r="D11" s="3" t="inlineStr">
        <is>
          <t>CUS1516-0002</t>
        </is>
      </c>
      <c r="E11" s="76">
        <f>'TW-L'!C11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'TW-L'!N11</f>
        <v/>
      </c>
      <c r="K11" s="261" t="n">
        <v>0</v>
      </c>
      <c r="L11" s="261">
        <f>'TW-L'!AC11</f>
        <v/>
      </c>
      <c r="M11" s="261">
        <f>'TW-L'!O11</f>
        <v/>
      </c>
      <c r="N11" s="261">
        <f>'TW-L'!P11</f>
        <v/>
      </c>
      <c r="O11" s="261">
        <f>'TW-L'!Q11</f>
        <v/>
      </c>
      <c r="P11" s="261">
        <f>'TW-L'!R11</f>
        <v/>
      </c>
      <c r="Q11" s="261">
        <f>'TW-L'!X11+'TW-L'!Y11</f>
        <v/>
      </c>
      <c r="R11" s="261">
        <f>'TW-L'!U11</f>
        <v/>
      </c>
      <c r="S11" s="261">
        <f>'TW-L'!V11</f>
        <v/>
      </c>
      <c r="T11" s="261">
        <f>'TW-L'!W11</f>
        <v/>
      </c>
      <c r="U11" s="261">
        <f>'TW-L'!X11</f>
        <v/>
      </c>
      <c r="V11" s="261">
        <f>'TW-L'!Y11</f>
        <v/>
      </c>
      <c r="W11" s="261">
        <f>'TW-L'!AA11</f>
        <v/>
      </c>
      <c r="X11" s="261">
        <f>'TW-L'!AB11</f>
        <v/>
      </c>
      <c r="Y11" s="261">
        <f>SUM(Z11:Z11)</f>
        <v/>
      </c>
      <c r="Z11" s="261">
        <f>'TW-L'!Z11</f>
        <v/>
      </c>
      <c r="AA11" s="261">
        <f>SUM(AB11:AE11)</f>
        <v/>
      </c>
      <c r="AB11" s="261">
        <f>'TW-L'!AR11+'TW-L'!AS11</f>
        <v/>
      </c>
      <c r="AC11" s="261">
        <f>'TW-L'!AT11+'TW-L'!AU11</f>
        <v/>
      </c>
      <c r="AD11" s="261">
        <f>'TW-L'!AV11+'TW-L'!AW11</f>
        <v/>
      </c>
      <c r="AE11" s="261">
        <f>'TW-L'!AY11</f>
        <v/>
      </c>
      <c r="AF11" s="261" t="n">
        <v>0</v>
      </c>
      <c r="AG11" s="262">
        <f>'TW-L'!AQ11</f>
        <v/>
      </c>
    </row>
    <row r="12" customFormat="1" s="3">
      <c r="A12" s="5" t="n"/>
      <c r="B12" s="3">
        <f>PN!$B$9</f>
        <v/>
      </c>
      <c r="C12" s="3">
        <f>PN!$B$8</f>
        <v/>
      </c>
      <c r="D12" s="3" t="inlineStr">
        <is>
          <t>CUS1516-0003</t>
        </is>
      </c>
      <c r="E12" s="76">
        <f>'TW-L'!C11</f>
        <v/>
      </c>
      <c r="F12" s="47">
        <f>'TW-L'!$C$4</f>
        <v/>
      </c>
      <c r="G12" s="47">
        <f>'TW-L'!$C$5</f>
        <v/>
      </c>
      <c r="H12" s="260">
        <f>I12+Y12+AA12+AF12+AG12</f>
        <v/>
      </c>
      <c r="I12" s="261">
        <f>SUM(J12:X12)</f>
        <v/>
      </c>
      <c r="J12" s="261">
        <f>'TW-L'!N11</f>
        <v/>
      </c>
      <c r="K12" s="261" t="n">
        <v>0</v>
      </c>
      <c r="L12" s="261">
        <f>'TW-L'!AC11</f>
        <v/>
      </c>
      <c r="M12" s="261">
        <f>'TW-L'!O11</f>
        <v/>
      </c>
      <c r="N12" s="261">
        <f>'TW-L'!P11</f>
        <v/>
      </c>
      <c r="O12" s="261">
        <f>'TW-L'!Q11</f>
        <v/>
      </c>
      <c r="P12" s="261">
        <f>'TW-L'!R11</f>
        <v/>
      </c>
      <c r="Q12" s="261">
        <f>'TW-L'!X11+'TW-L'!Y11</f>
        <v/>
      </c>
      <c r="R12" s="261">
        <f>'TW-L'!U11</f>
        <v/>
      </c>
      <c r="S12" s="261">
        <f>'TW-L'!V11</f>
        <v/>
      </c>
      <c r="T12" s="261">
        <f>'TW-L'!W11</f>
        <v/>
      </c>
      <c r="U12" s="261">
        <f>'TW-L'!X11</f>
        <v/>
      </c>
      <c r="V12" s="261">
        <f>'TW-L'!Y11</f>
        <v/>
      </c>
      <c r="W12" s="261">
        <f>'TW-L'!AA11</f>
        <v/>
      </c>
      <c r="X12" s="261">
        <f>'TW-L'!AB11</f>
        <v/>
      </c>
      <c r="Y12" s="261">
        <f>SUM(Z12:Z12)</f>
        <v/>
      </c>
      <c r="Z12" s="261">
        <f>'TW-L'!Z11</f>
        <v/>
      </c>
      <c r="AA12" s="261">
        <f>SUM(AB12:AE12)</f>
        <v/>
      </c>
      <c r="AB12" s="261">
        <f>'TW-L'!AR11+'TW-L'!AS11</f>
        <v/>
      </c>
      <c r="AC12" s="261">
        <f>'TW-L'!AT11+'TW-L'!AU11</f>
        <v/>
      </c>
      <c r="AD12" s="261">
        <f>'TW-L'!AV11+'TW-L'!AW11</f>
        <v/>
      </c>
      <c r="AE12" s="261">
        <f>'TW-L'!AY11</f>
        <v/>
      </c>
      <c r="AF12" s="261" t="n">
        <v>0</v>
      </c>
      <c r="AG12" s="262">
        <f>'TW-L'!AQ11</f>
        <v/>
      </c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46082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2026/3/1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2026/3/31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SUM(H9:H11)</f>
        <v/>
      </c>
      <c r="I8" s="69">
        <f>SUM(I9:I11)</f>
        <v/>
      </c>
      <c r="J8" s="69">
        <f>SUM(J9:J11)</f>
        <v/>
      </c>
      <c r="K8" s="69">
        <f>SUM(K9:K11)</f>
        <v/>
      </c>
      <c r="L8" s="69">
        <f>SUM(L9:L11)</f>
        <v/>
      </c>
      <c r="M8" s="69">
        <f>SUM(M9:M11)</f>
        <v/>
      </c>
      <c r="N8" s="69">
        <f>SUM(N9:N11)</f>
        <v/>
      </c>
      <c r="O8" s="69">
        <f>SUM(O9:O11)</f>
        <v/>
      </c>
      <c r="P8" s="69">
        <f>SUM(P9:P11)</f>
        <v/>
      </c>
      <c r="Q8" s="69">
        <f>SUM(Q9:Q11)</f>
        <v/>
      </c>
      <c r="R8" s="70">
        <f>SUM(R9:R11)</f>
        <v/>
      </c>
      <c r="S8" s="70">
        <f>SUM(S9:S11)</f>
        <v/>
      </c>
      <c r="T8" s="70">
        <f>SUM(T9:T11)</f>
        <v/>
      </c>
      <c r="U8" s="70">
        <f>SUM(U9:U11)</f>
        <v/>
      </c>
      <c r="V8" s="70">
        <f>SUM(V9:V11)</f>
        <v/>
      </c>
      <c r="W8" s="70">
        <f>SUM(W9:W11)</f>
        <v/>
      </c>
      <c r="X8" s="70">
        <f>SUM(X9:X11)</f>
        <v/>
      </c>
      <c r="Y8" s="70">
        <f>SUM(Y9:Y11)</f>
        <v/>
      </c>
      <c r="Z8" s="70">
        <f>SUM(Z9:Z11)</f>
        <v/>
      </c>
      <c r="AA8" s="70">
        <f>SUM(AA9:AA11)</f>
        <v/>
      </c>
      <c r="AB8" s="70">
        <f>SUM(AB9:AB11)</f>
        <v/>
      </c>
      <c r="AC8" s="70">
        <f>SUM(AC9:AC11)</f>
        <v/>
      </c>
      <c r="AD8" s="70">
        <f>SUM(AD9:AD11)</f>
        <v/>
      </c>
      <c r="AE8" s="70">
        <f>SUM(AE9:AE11)</f>
        <v/>
      </c>
      <c r="AF8" s="70">
        <f>SUM(AF9:AF11)</f>
        <v/>
      </c>
      <c r="AG8" s="70">
        <f>SUM(AG9:AG11)</f>
        <v/>
      </c>
      <c r="AH8" s="70">
        <f>SUM(AH9:AH11)</f>
        <v/>
      </c>
      <c r="AI8" s="70">
        <f>SUM(AI9:AI11)</f>
        <v/>
      </c>
      <c r="AJ8" s="70">
        <f>SUM(AJ9:AJ11)</f>
        <v/>
      </c>
      <c r="AK8" s="70">
        <f>SUM(AK9:AK11)</f>
        <v/>
      </c>
      <c r="AL8" s="70">
        <f>SUM(AL9:AL11)</f>
        <v/>
      </c>
      <c r="AM8" s="70">
        <f>SUM(AM9:AM11)</f>
        <v/>
      </c>
      <c r="AN8" s="70">
        <f>SUM(AN9:AN11)</f>
        <v/>
      </c>
      <c r="AO8" s="70">
        <f>SUM(AO9:AO11)</f>
        <v/>
      </c>
      <c r="AP8" s="70">
        <f>SUM(AP9:AP11)</f>
        <v/>
      </c>
      <c r="AQ8" s="70">
        <f>SUM(AQ9:AQ11)</f>
        <v/>
      </c>
      <c r="AR8" s="70">
        <f>SUM(AR9:AR11)</f>
        <v/>
      </c>
      <c r="AS8" s="70">
        <f>SUM(AS9:AS11)</f>
        <v/>
      </c>
      <c r="AT8" s="70">
        <f>SUM(AT9:AT11)</f>
        <v/>
      </c>
      <c r="AU8" s="70">
        <f>SUM(AU9:AU11)</f>
        <v/>
      </c>
      <c r="AV8" s="70">
        <f>SUM(AV9:AV11)</f>
        <v/>
      </c>
      <c r="AW8" s="70">
        <f>SUM(AW9:AW11)</f>
        <v/>
      </c>
      <c r="AX8" s="70">
        <f>SUM(AX9:AX11)</f>
        <v/>
      </c>
      <c r="AY8" s="70">
        <f>SUM(AY9:AY11)</f>
        <v/>
      </c>
      <c r="AZ8" s="70">
        <f>SUM(AZ9:AZ11)</f>
        <v/>
      </c>
      <c r="BA8" s="70">
        <f>SUM(BA9:BA11)</f>
        <v/>
      </c>
      <c r="BB8" s="70">
        <f>SUM(BB9:BB11)</f>
        <v/>
      </c>
      <c r="BC8" s="70">
        <f>SUM(BC9:BC11)</f>
        <v/>
      </c>
      <c r="BD8" s="70">
        <f>SUM(BD9:BD11)</f>
        <v/>
      </c>
      <c r="BE8" s="70">
        <f>SUM(BE9:BE11)</f>
        <v/>
      </c>
      <c r="BF8" s="70">
        <f>SUM(BF9:BF11)</f>
        <v/>
      </c>
      <c r="BG8" s="70">
        <f>SUM(BG9:BG11)</f>
        <v/>
      </c>
      <c r="BH8" s="70">
        <f>SUM(BH9:BH11)</f>
        <v/>
      </c>
      <c r="BI8" s="70">
        <f>SUM(BI9:BI11)</f>
        <v/>
      </c>
      <c r="BJ8" s="70">
        <f>SUM(BJ9:BJ11)</f>
        <v/>
      </c>
      <c r="BK8" s="70">
        <f>SUM(BK9:BK11)</f>
        <v/>
      </c>
      <c r="BL8" s="70">
        <f>SUM(BL9:BL11)</f>
        <v/>
      </c>
      <c r="BM8" s="70">
        <f>SUM(BM9:BM11)</f>
        <v/>
      </c>
      <c r="BN8" s="70">
        <f>SUM(BN9:BN11)</f>
        <v/>
      </c>
      <c r="BO8" s="71">
        <f>SUM(BO9:BO11)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55</v>
      </c>
      <c r="N9" s="61" t="n">
        <v>25355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9220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40100</v>
      </c>
      <c r="AM9" s="64" t="n">
        <v>40100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-1002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0</v>
      </c>
      <c r="AZ9" s="61" t="n">
        <v>24202</v>
      </c>
      <c r="BA9" s="61" t="n">
        <v>32420</v>
      </c>
      <c r="BB9" s="64" t="n">
        <v>3563</v>
      </c>
      <c r="BC9" s="64" t="n">
        <v>0</v>
      </c>
      <c r="BD9" s="64" t="n">
        <v>2406</v>
      </c>
      <c r="BE9" s="64" t="n">
        <v>0</v>
      </c>
      <c r="BF9" s="64" t="n">
        <v>0</v>
      </c>
      <c r="BG9" s="64" t="n">
        <v>0</v>
      </c>
      <c r="BH9" s="64" t="n">
        <v>511</v>
      </c>
      <c r="BI9" s="64" t="n">
        <v>0</v>
      </c>
      <c r="BJ9" s="64" t="n">
        <v>133</v>
      </c>
      <c r="BK9" s="64" t="n">
        <v>33422</v>
      </c>
      <c r="BL9" s="64" t="n">
        <v>6613</v>
      </c>
      <c r="BM9" s="64" t="n"/>
      <c r="BN9" s="64" t="n">
        <v>0</v>
      </c>
      <c r="BO9" s="65" t="n">
        <v>43035</v>
      </c>
      <c r="BP9" s="55" t="n"/>
      <c r="BS9" s="12" t="n"/>
    </row>
    <row r="10">
      <c r="A10" s="72" t="inlineStr">
        <is>
          <t>Coral Sea</t>
        </is>
      </c>
      <c r="B10" s="73" t="inlineStr">
        <is>
          <t>洪民翰</t>
        </is>
      </c>
      <c r="C10" s="73" t="inlineStr">
        <is>
          <t>Min Han</t>
        </is>
      </c>
      <c r="D10" s="73" t="inlineStr">
        <is>
          <t>Diver</t>
        </is>
      </c>
      <c r="E10" s="74" t="n">
        <v>45871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15</v>
      </c>
      <c r="N10" s="61" t="n">
        <v>6000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2000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0</v>
      </c>
      <c r="AO10" s="63" t="n">
        <v>0</v>
      </c>
      <c r="AP10" s="64" t="n">
        <v>30</v>
      </c>
      <c r="AQ10" s="61" t="n">
        <v>0</v>
      </c>
      <c r="AR10" s="63" t="n">
        <v>-277</v>
      </c>
      <c r="AS10" s="64" t="n">
        <v>0</v>
      </c>
      <c r="AT10" s="61" t="n">
        <v>0</v>
      </c>
      <c r="AU10" s="61" t="n">
        <v>0</v>
      </c>
      <c r="AV10" s="63" t="n">
        <v>0</v>
      </c>
      <c r="AW10" s="64" t="n">
        <v>0</v>
      </c>
      <c r="AX10" s="64" t="n">
        <v>0</v>
      </c>
      <c r="AY10" s="63" t="n">
        <v>0</v>
      </c>
      <c r="AZ10" s="61" t="n">
        <v>6000</v>
      </c>
      <c r="BA10" s="61" t="n">
        <v>7723</v>
      </c>
      <c r="BB10" s="64" t="n">
        <v>1007</v>
      </c>
      <c r="BC10" s="64" t="n">
        <v>0</v>
      </c>
      <c r="BD10" s="64" t="n">
        <v>522</v>
      </c>
      <c r="BE10" s="64" t="n">
        <v>0</v>
      </c>
      <c r="BF10" s="64" t="n">
        <v>0</v>
      </c>
      <c r="BG10" s="64" t="n">
        <v>0</v>
      </c>
      <c r="BH10" s="64" t="n">
        <v>127</v>
      </c>
      <c r="BI10" s="64" t="n">
        <v>0</v>
      </c>
      <c r="BJ10" s="64" t="n">
        <v>133</v>
      </c>
      <c r="BK10" s="64" t="n">
        <v>8000</v>
      </c>
      <c r="BL10" s="64" t="n">
        <v>1789</v>
      </c>
      <c r="BM10" s="64" t="n"/>
      <c r="BN10" s="64" t="n">
        <v>0</v>
      </c>
      <c r="BO10" s="65" t="n">
        <v>12789</v>
      </c>
      <c r="BP10" s="55" t="n"/>
      <c r="BS10" s="12" t="n"/>
    </row>
    <row r="11">
      <c r="A11" s="72" t="inlineStr">
        <is>
          <t>Coral Sea</t>
        </is>
      </c>
      <c r="B11" s="73" t="inlineStr">
        <is>
          <t>楊文凱</t>
        </is>
      </c>
      <c r="C11" s="73" t="inlineStr">
        <is>
          <t>Wen kai</t>
        </is>
      </c>
      <c r="D11" s="73" t="inlineStr">
        <is>
          <t>Diver</t>
        </is>
      </c>
      <c r="E11" s="74" t="n">
        <v>45962</v>
      </c>
      <c r="F11" s="74" t="n"/>
      <c r="G11" s="73" t="inlineStr">
        <is>
          <t>PT</t>
        </is>
      </c>
      <c r="H11" s="61" t="n">
        <v>400</v>
      </c>
      <c r="I11" s="61" t="n"/>
      <c r="J11" s="61" t="n"/>
      <c r="K11" s="61" t="n"/>
      <c r="L11" s="61" t="n"/>
      <c r="M11" s="285" t="n">
        <v>17</v>
      </c>
      <c r="N11" s="61" t="n">
        <v>6800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/>
      <c r="T11" s="61" t="n">
        <v>0</v>
      </c>
      <c r="U11" s="61" t="n">
        <v>0</v>
      </c>
      <c r="V11" s="61" t="n"/>
      <c r="W11" s="61" t="n"/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2000</v>
      </c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>
        <v>11100</v>
      </c>
      <c r="AM11" s="64" t="n">
        <v>6000</v>
      </c>
      <c r="AN11" s="64" t="n">
        <v>0</v>
      </c>
      <c r="AO11" s="63" t="n">
        <v>0</v>
      </c>
      <c r="AP11" s="64" t="n">
        <v>30</v>
      </c>
      <c r="AQ11" s="61" t="n">
        <v>0</v>
      </c>
      <c r="AR11" s="63" t="n">
        <v>-277</v>
      </c>
      <c r="AS11" s="64" t="n">
        <v>0</v>
      </c>
      <c r="AT11" s="61" t="n">
        <v>0</v>
      </c>
      <c r="AU11" s="61" t="n">
        <v>0</v>
      </c>
      <c r="AV11" s="63" t="n">
        <v>0</v>
      </c>
      <c r="AW11" s="64" t="n">
        <v>0</v>
      </c>
      <c r="AX11" s="64" t="n">
        <v>0</v>
      </c>
      <c r="AY11" s="63" t="n">
        <v>0</v>
      </c>
      <c r="AZ11" s="61" t="n">
        <v>6800</v>
      </c>
      <c r="BA11" s="61" t="n">
        <v>8523</v>
      </c>
      <c r="BB11" s="64" t="n">
        <v>1007</v>
      </c>
      <c r="BC11" s="64" t="n">
        <v>0</v>
      </c>
      <c r="BD11" s="64" t="n">
        <v>360</v>
      </c>
      <c r="BE11" s="64" t="n">
        <v>0</v>
      </c>
      <c r="BF11" s="64" t="n">
        <v>0</v>
      </c>
      <c r="BG11" s="64" t="n">
        <v>0</v>
      </c>
      <c r="BH11" s="64" t="n">
        <v>143</v>
      </c>
      <c r="BI11" s="64" t="n">
        <v>0</v>
      </c>
      <c r="BJ11" s="64" t="n">
        <v>133</v>
      </c>
      <c r="BK11" s="64" t="n">
        <v>8800</v>
      </c>
      <c r="BL11" s="64" t="n">
        <v>1643</v>
      </c>
      <c r="BM11" s="64" t="n"/>
      <c r="BN11" s="64" t="n">
        <v>0</v>
      </c>
      <c r="BO11" s="65" t="n">
        <v>13443</v>
      </c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2026-07-07T10:02:00Z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