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255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_);[Red]\(0.0\)"/>
    <numFmt numFmtId="165" formatCode="[$-409]d\-mmm\-yy;@"/>
    <numFmt numFmtId="166" formatCode="#,##0.0_);[Red]\(#,##0.0\)"/>
    <numFmt numFmtId="167" formatCode="#,##0.00_ "/>
    <numFmt numFmtId="168" formatCode="_(&quot;$&quot;* #,##0.00_);_(&quot;$&quot;* \(#,##0.00\);_(&quot;$&quot;* &quot;-&quot;??_);_(@_)"/>
    <numFmt numFmtId="169" formatCode="$#,##0.00"/>
  </numFmts>
  <fonts count="61">
    <font>
      <name val="等线"/>
      <charset val="134"/>
      <color theme="1"/>
      <sz val="11"/>
      <scheme val="minor"/>
    </font>
    <font>
      <name val="Calibri"/>
      <charset val="134"/>
      <color theme="1"/>
      <sz val="10"/>
    </font>
    <font>
      <name val="Calibri"/>
      <charset val="134"/>
      <sz val="10"/>
    </font>
    <font>
      <name val="Calibri"/>
      <charset val="134"/>
      <color indexed="9"/>
      <sz val="10"/>
    </font>
    <font>
      <name val="Calibri"/>
      <charset val="134"/>
      <sz val="11"/>
    </font>
    <font>
      <name val="Calibri"/>
      <charset val="134"/>
      <b val="1"/>
      <sz val="11"/>
    </font>
    <font>
      <name val="Calibri"/>
      <charset val="134"/>
      <b val="1"/>
      <color theme="1"/>
      <sz val="10"/>
    </font>
    <font>
      <name val="細明體"/>
      <charset val="136"/>
      <color rgb="FFFF0000"/>
      <sz val="10"/>
    </font>
    <font>
      <name val="細明體"/>
      <charset val="136"/>
      <color theme="1"/>
      <sz val="10"/>
    </font>
    <font>
      <name val="Calibri"/>
      <charset val="134"/>
      <color rgb="FFC00000"/>
      <sz val="10"/>
    </font>
    <font>
      <name val="Calibri"/>
      <charset val="134"/>
      <color theme="1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0" tint="-0.499984740745262"/>
      <sz val="8"/>
      <scheme val="minor"/>
    </font>
    <font>
      <name val="等线"/>
      <charset val="134"/>
      <b val="1"/>
      <sz val="11"/>
      <scheme val="minor"/>
    </font>
    <font>
      <name val="等线"/>
      <charset val="134"/>
      <i val="1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b val="1"/>
      <i val="1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rgb="FF0066B3"/>
      <sz val="12"/>
      <scheme val="minor"/>
    </font>
    <font>
      <name val="等线"/>
      <charset val="134"/>
      <sz val="10.5"/>
      <scheme val="minor"/>
    </font>
    <font>
      <name val="等线"/>
      <charset val="134"/>
      <b val="1"/>
      <color theme="1"/>
      <sz val="24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color theme="0" tint="-0.499984740745262"/>
      <sz val="9"/>
      <scheme val="minor"/>
    </font>
    <font>
      <name val="等线"/>
      <charset val="134"/>
      <color rgb="FF000000"/>
      <sz val="9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0.5"/>
      <scheme val="minor"/>
    </font>
    <font>
      <name val="等线"/>
      <charset val="134"/>
      <b val="1"/>
      <sz val="12"/>
      <scheme val="minor"/>
    </font>
    <font>
      <name val="等线"/>
      <charset val="134"/>
      <b val="1"/>
      <i val="1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i val="1"/>
      <color theme="1"/>
      <sz val="11"/>
      <scheme val="minor"/>
    </font>
    <font>
      <name val="等线"/>
      <charset val="134"/>
      <i val="1"/>
      <color theme="1"/>
      <sz val="10"/>
      <scheme val="minor"/>
    </font>
    <font>
      <name val="等线"/>
      <charset val="134"/>
      <b val="1"/>
      <i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新細明體"/>
      <charset val="136"/>
      <sz val="12"/>
    </font>
    <font>
      <name val="Comic Sans MS"/>
      <charset val="134"/>
      <sz val="10"/>
    </font>
    <font>
      <name val="新細明體"/>
      <charset val="136"/>
      <color theme="1"/>
      <sz val="10"/>
    </font>
    <font>
      <name val="等线"/>
      <charset val="134"/>
      <b val="1"/>
      <color rgb="FF8DC63F"/>
      <sz val="12"/>
      <scheme val="minor"/>
    </font>
    <font>
      <name val="Tahoma"/>
      <charset val="134"/>
      <color rgb="FF000000"/>
      <sz val="9"/>
    </font>
    <font>
      <name val="Tahoma"/>
      <charset val="134"/>
      <b val="1"/>
      <color rgb="FF000000"/>
      <sz val="9"/>
    </font>
  </fonts>
  <fills count="38">
    <fill>
      <patternFill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8" tint="0.599963377788629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55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0" fillId="10" borderId="69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70" applyAlignment="1">
      <alignment vertical="center"/>
    </xf>
    <xf numFmtId="0" fontId="42" fillId="0" borderId="70" applyAlignment="1">
      <alignment vertical="center"/>
    </xf>
    <xf numFmtId="0" fontId="43" fillId="0" borderId="71" applyAlignment="1">
      <alignment vertical="center"/>
    </xf>
    <xf numFmtId="0" fontId="43" fillId="0" borderId="0" applyAlignment="1">
      <alignment vertical="center"/>
    </xf>
    <xf numFmtId="0" fontId="44" fillId="11" borderId="72" applyAlignment="1">
      <alignment vertical="center"/>
    </xf>
    <xf numFmtId="0" fontId="45" fillId="12" borderId="73" applyAlignment="1">
      <alignment vertical="center"/>
    </xf>
    <xf numFmtId="0" fontId="46" fillId="12" borderId="72" applyAlignment="1">
      <alignment vertical="center"/>
    </xf>
    <xf numFmtId="0" fontId="47" fillId="13" borderId="74" applyAlignment="1">
      <alignment vertical="center"/>
    </xf>
    <xf numFmtId="0" fontId="48" fillId="0" borderId="75" applyAlignment="1">
      <alignment vertical="center"/>
    </xf>
    <xf numFmtId="0" fontId="49" fillId="0" borderId="76" applyAlignment="1">
      <alignment vertical="center"/>
    </xf>
    <xf numFmtId="0" fontId="50" fillId="14" borderId="0" applyAlignment="1">
      <alignment vertical="center"/>
    </xf>
    <xf numFmtId="0" fontId="51" fillId="15" borderId="0" applyAlignment="1">
      <alignment vertical="center"/>
    </xf>
    <xf numFmtId="0" fontId="52" fillId="16" borderId="0" applyAlignment="1">
      <alignment vertical="center"/>
    </xf>
    <xf numFmtId="0" fontId="53" fillId="17" borderId="0" applyAlignment="1">
      <alignment vertical="center"/>
    </xf>
    <xf numFmtId="0" fontId="54" fillId="18" borderId="0" applyAlignment="1">
      <alignment vertical="center"/>
    </xf>
    <xf numFmtId="0" fontId="54" fillId="19" borderId="0" applyAlignment="1">
      <alignment vertical="center"/>
    </xf>
    <xf numFmtId="0" fontId="53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5" borderId="0" applyAlignment="1">
      <alignment vertical="center"/>
    </xf>
    <xf numFmtId="0" fontId="54" fillId="7" borderId="0" applyAlignment="1">
      <alignment vertical="center"/>
    </xf>
    <xf numFmtId="0" fontId="53" fillId="34" borderId="0" applyAlignment="1">
      <alignment vertical="center"/>
    </xf>
    <xf numFmtId="0" fontId="53" fillId="35" borderId="0" applyAlignment="1">
      <alignment vertical="center"/>
    </xf>
    <xf numFmtId="0" fontId="54" fillId="36" borderId="0" applyAlignment="1">
      <alignment vertical="center"/>
    </xf>
    <xf numFmtId="0" fontId="54" fillId="8" borderId="0" applyAlignment="1">
      <alignment vertical="center"/>
    </xf>
    <xf numFmtId="0" fontId="53" fillId="37" borderId="0" applyAlignment="1">
      <alignment vertical="center"/>
    </xf>
    <xf numFmtId="0" fontId="0" fillId="0" borderId="0"/>
    <xf numFmtId="0" fontId="55" fillId="0" borderId="0" applyAlignment="1">
      <alignment vertical="center"/>
    </xf>
    <xf numFmtId="43" fontId="56" fillId="0" borderId="0"/>
    <xf numFmtId="43" fontId="56" fillId="0" borderId="0"/>
    <xf numFmtId="0" fontId="56" fillId="0" borderId="0"/>
    <xf numFmtId="0" fontId="56" fillId="0" borderId="0"/>
  </cellStyleXfs>
  <cellXfs count="26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2" borderId="0" applyAlignment="1" pivotButton="0" quotePrefix="0" xfId="50">
      <alignment horizontal="center" vertical="center" wrapText="1"/>
    </xf>
    <xf numFmtId="17" fontId="4" fillId="0" borderId="0" applyAlignment="1" pivotButton="0" quotePrefix="0" xfId="53">
      <alignment horizontal="center" vertical="center"/>
    </xf>
    <xf numFmtId="17" fontId="5" fillId="0" borderId="0" applyAlignment="1" pivotButton="0" quotePrefix="0" xfId="53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53">
      <alignment horizontal="right" vertical="center"/>
    </xf>
    <xf numFmtId="49" fontId="2" fillId="0" borderId="0" applyAlignment="1" pivotButton="0" quotePrefix="0" xfId="53">
      <alignment horizontal="center" vertical="center" wrapText="1"/>
    </xf>
    <xf numFmtId="165" fontId="4" fillId="0" borderId="0" applyAlignment="1" pivotButton="0" quotePrefix="0" xfId="53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7" fillId="3" borderId="10" applyAlignment="1" pivotButton="0" quotePrefix="0" xfId="0">
      <alignment vertical="center" wrapText="1"/>
    </xf>
    <xf numFmtId="0" fontId="8" fillId="3" borderId="10" applyAlignment="1" pivotButton="0" quotePrefix="0" xfId="0">
      <alignment vertical="center" wrapText="1"/>
    </xf>
    <xf numFmtId="0" fontId="9" fillId="3" borderId="10" applyAlignment="1" pivotButton="0" quotePrefix="0" xfId="0">
      <alignment vertical="center" wrapText="1"/>
    </xf>
    <xf numFmtId="0" fontId="9" fillId="3" borderId="11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10" fillId="4" borderId="13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 wrapText="1"/>
    </xf>
    <xf numFmtId="38" fontId="10" fillId="4" borderId="14" applyAlignment="1" pivotButton="0" quotePrefix="0" xfId="0">
      <alignment horizontal="center" vertical="center"/>
    </xf>
    <xf numFmtId="38" fontId="10" fillId="4" borderId="14" applyAlignment="1" pivotButton="0" quotePrefix="0" xfId="0">
      <alignment horizontal="center" vertical="center" wrapText="1"/>
    </xf>
    <xf numFmtId="38" fontId="10" fillId="4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14" fontId="1" fillId="0" borderId="17" applyAlignment="1" pivotButton="0" quotePrefix="0" xfId="0">
      <alignment horizontal="center" vertical="center"/>
    </xf>
    <xf numFmtId="38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0">
      <alignment horizontal="center" vertical="center" wrapText="1"/>
    </xf>
    <xf numFmtId="38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49" fontId="0" fillId="5" borderId="0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0" fillId="5" borderId="37" applyAlignment="1" pivotButton="0" quotePrefix="0" xfId="0">
      <alignment vertical="center"/>
    </xf>
    <xf numFmtId="0" fontId="0" fillId="5" borderId="38" applyAlignment="1" pivotButton="0" quotePrefix="0" xfId="0">
      <alignment vertical="center"/>
    </xf>
    <xf numFmtId="0" fontId="0" fillId="5" borderId="39" applyAlignment="1" pivotButton="0" quotePrefix="0" xfId="0">
      <alignment vertical="center"/>
    </xf>
    <xf numFmtId="0" fontId="0" fillId="5" borderId="40" applyAlignment="1" pivotButton="0" quotePrefix="0" xfId="0">
      <alignment vertical="center"/>
    </xf>
    <xf numFmtId="0" fontId="0" fillId="5" borderId="41" applyAlignment="1" pivotButton="0" quotePrefix="0" xfId="0">
      <alignment vertical="center"/>
    </xf>
    <xf numFmtId="0" fontId="0" fillId="5" borderId="42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3" borderId="38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0" fontId="13" fillId="0" borderId="43" applyAlignment="1" pivotButton="0" quotePrefix="0" xfId="0">
      <alignment vertical="center"/>
    </xf>
    <xf numFmtId="40" fontId="13" fillId="0" borderId="44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13" fillId="0" borderId="45" applyAlignment="1" pivotButton="0" quotePrefix="0" xfId="0">
      <alignment vertical="center"/>
    </xf>
    <xf numFmtId="40" fontId="13" fillId="0" borderId="46" applyAlignment="1" pivotButton="0" quotePrefix="0" xfId="0">
      <alignment vertical="center"/>
    </xf>
    <xf numFmtId="40" fontId="13" fillId="0" borderId="8" applyAlignment="1" pivotButton="0" quotePrefix="0" xfId="0">
      <alignment vertical="center"/>
    </xf>
    <xf numFmtId="40" fontId="13" fillId="0" borderId="47" applyAlignment="1" pivotButton="0" quotePrefix="0" xfId="0">
      <alignment vertical="center"/>
    </xf>
    <xf numFmtId="0" fontId="14" fillId="0" borderId="0" applyAlignment="1" pivotButton="0" quotePrefix="0" xfId="49">
      <alignment vertical="center"/>
    </xf>
    <xf numFmtId="0" fontId="15" fillId="0" borderId="0" applyAlignment="1" pivotButton="0" quotePrefix="0" xfId="49">
      <alignment vertical="center"/>
    </xf>
    <xf numFmtId="0" fontId="16" fillId="0" borderId="0" applyAlignment="1" pivotButton="0" quotePrefix="0" xfId="49">
      <alignment vertical="center"/>
    </xf>
    <xf numFmtId="0" fontId="17" fillId="0" borderId="0" applyAlignment="1" pivotButton="0" quotePrefix="0" xfId="49">
      <alignment vertical="center"/>
    </xf>
    <xf numFmtId="0" fontId="18" fillId="0" borderId="0" applyAlignment="1" pivotButton="0" quotePrefix="0" xfId="49">
      <alignment vertical="center"/>
    </xf>
    <xf numFmtId="0" fontId="19" fillId="0" borderId="0" applyAlignment="1" pivotButton="0" quotePrefix="0" xfId="49">
      <alignment vertical="center"/>
    </xf>
    <xf numFmtId="0" fontId="20" fillId="0" borderId="0" applyAlignment="1" pivotButton="0" quotePrefix="0" xfId="49">
      <alignment vertical="center"/>
    </xf>
    <xf numFmtId="0" fontId="20" fillId="0" borderId="0" applyAlignment="1" pivotButton="0" quotePrefix="0" xfId="49">
      <alignment horizontal="right" vertical="center"/>
    </xf>
    <xf numFmtId="0" fontId="21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right" vertical="center"/>
    </xf>
    <xf numFmtId="0" fontId="22" fillId="0" borderId="0" applyAlignment="1" pivotButton="0" quotePrefix="0" xfId="49">
      <alignment horizontal="right" vertical="center"/>
    </xf>
    <xf numFmtId="0" fontId="23" fillId="0" borderId="0" applyAlignment="1" pivotButton="0" quotePrefix="0" xfId="49">
      <alignment horizontal="center" vertical="center"/>
    </xf>
    <xf numFmtId="0" fontId="24" fillId="0" borderId="0" applyAlignment="1" pivotButton="0" quotePrefix="0" xfId="49">
      <alignment horizontal="center" vertical="center"/>
    </xf>
    <xf numFmtId="0" fontId="25" fillId="0" borderId="0" applyAlignment="1" pivotButton="0" quotePrefix="0" xfId="49">
      <alignment vertical="center"/>
    </xf>
    <xf numFmtId="0" fontId="26" fillId="0" borderId="0" applyAlignment="1" pivotButton="0" quotePrefix="0" xfId="49">
      <alignment vertical="center"/>
    </xf>
    <xf numFmtId="0" fontId="27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center"/>
    </xf>
    <xf numFmtId="0" fontId="15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top" wrapText="1"/>
    </xf>
    <xf numFmtId="0" fontId="27" fillId="0" borderId="0" applyAlignment="1" pivotButton="0" quotePrefix="0" xfId="49">
      <alignment horizontal="right" vertical="top" wrapText="1"/>
    </xf>
    <xf numFmtId="14" fontId="27" fillId="0" borderId="0" applyAlignment="1" pivotButton="0" quotePrefix="0" xfId="49">
      <alignment vertical="center"/>
    </xf>
    <xf numFmtId="0" fontId="28" fillId="0" borderId="0" applyAlignment="1" pivotButton="0" quotePrefix="0" xfId="49">
      <alignment horizontal="right" vertical="center"/>
    </xf>
    <xf numFmtId="0" fontId="29" fillId="0" borderId="0" applyAlignment="1" pivotButton="0" quotePrefix="0" xfId="49">
      <alignment vertical="center"/>
    </xf>
    <xf numFmtId="14" fontId="29" fillId="0" borderId="0" applyAlignment="1" pivotButton="0" quotePrefix="0" xfId="49">
      <alignment horizontal="left" vertical="center"/>
    </xf>
    <xf numFmtId="0" fontId="30" fillId="7" borderId="48" applyAlignment="1" pivotButton="0" quotePrefix="0" xfId="49">
      <alignment horizontal="center" vertical="center"/>
    </xf>
    <xf numFmtId="0" fontId="30" fillId="7" borderId="49" applyAlignment="1" pivotButton="0" quotePrefix="0" xfId="49">
      <alignment horizontal="center" vertical="center"/>
    </xf>
    <xf numFmtId="0" fontId="30" fillId="7" borderId="50" applyAlignment="1" pivotButton="0" quotePrefix="0" xfId="49">
      <alignment horizontal="center" vertical="center"/>
    </xf>
    <xf numFmtId="0" fontId="16" fillId="0" borderId="0" applyAlignment="1" pivotButton="0" quotePrefix="0" xfId="49">
      <alignment horizontal="right" vertical="center"/>
    </xf>
    <xf numFmtId="0" fontId="31" fillId="0" borderId="51" applyAlignment="1" pivotButton="0" quotePrefix="0" xfId="49">
      <alignment horizontal="left" vertical="center" indent="1"/>
    </xf>
    <xf numFmtId="0" fontId="31" fillId="0" borderId="0" applyAlignment="1" pivotButton="0" quotePrefix="0" xfId="49">
      <alignment horizontal="left" vertical="center" indent="1"/>
    </xf>
    <xf numFmtId="43" fontId="31" fillId="0" borderId="0" applyAlignment="1" pivotButton="0" quotePrefix="0" xfId="49">
      <alignment horizontal="left" vertical="center"/>
    </xf>
    <xf numFmtId="168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3"/>
    </xf>
    <xf numFmtId="0" fontId="14" fillId="0" borderId="0" applyAlignment="1" pivotButton="0" quotePrefix="0" xfId="49">
      <alignment horizontal="left" vertical="center" indent="3"/>
    </xf>
    <xf numFmtId="43" fontId="14" fillId="0" borderId="0" applyAlignment="1" pivotButton="0" quotePrefix="0" xfId="49">
      <alignment horizontal="left" vertical="center" indent="1"/>
    </xf>
    <xf numFmtId="168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left" vertical="center" indent="1"/>
    </xf>
    <xf numFmtId="0" fontId="14" fillId="0" borderId="51" applyAlignment="1" pivotButton="0" quotePrefix="0" xfId="49">
      <alignment horizontal="center" vertical="center"/>
    </xf>
    <xf numFmtId="0" fontId="14" fillId="0" borderId="0" applyAlignment="1" pivotButton="0" quotePrefix="0" xfId="49">
      <alignment horizontal="center" vertical="center"/>
    </xf>
    <xf numFmtId="43" fontId="14" fillId="0" borderId="0" applyAlignment="1" pivotButton="0" quotePrefix="0" xfId="49">
      <alignment horizontal="left" vertical="center"/>
    </xf>
    <xf numFmtId="168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2"/>
    </xf>
    <xf numFmtId="0" fontId="14" fillId="0" borderId="0" applyAlignment="1" pivotButton="0" quotePrefix="0" xfId="49">
      <alignment horizontal="left" vertical="center" indent="2"/>
    </xf>
    <xf numFmtId="0" fontId="11" fillId="0" borderId="51" applyAlignment="1" pivotButton="0" quotePrefix="0" xfId="49">
      <alignment horizontal="left" vertical="center" indent="1"/>
    </xf>
    <xf numFmtId="0" fontId="11" fillId="0" borderId="0" applyAlignment="1" pivotButton="0" quotePrefix="0" xfId="49">
      <alignment horizontal="left" vertical="center" indent="1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33" fillId="0" borderId="53" applyAlignment="1" pivotButton="0" quotePrefix="0" xfId="49">
      <alignment horizontal="left" vertical="center" indent="1"/>
    </xf>
    <xf numFmtId="0" fontId="33" fillId="0" borderId="54" applyAlignment="1" pivotButton="0" quotePrefix="0" xfId="49">
      <alignment horizontal="left" vertical="center" indent="1"/>
    </xf>
    <xf numFmtId="43" fontId="33" fillId="0" borderId="54" applyAlignment="1" pivotButton="0" quotePrefix="0" xfId="49">
      <alignment horizontal="left" vertical="center"/>
    </xf>
    <xf numFmtId="168" fontId="33" fillId="0" borderId="55" applyAlignment="1" pivotButton="0" quotePrefix="0" xfId="49">
      <alignment horizontal="left" vertical="center"/>
    </xf>
    <xf numFmtId="0" fontId="33" fillId="0" borderId="0" applyAlignment="1" pivotButton="0" quotePrefix="0" xfId="49">
      <alignment vertical="center"/>
    </xf>
    <xf numFmtId="0" fontId="33" fillId="0" borderId="0" applyAlignment="1" pivotButton="0" quotePrefix="0" xfId="49">
      <alignment horizontal="center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0" fontId="33" fillId="0" borderId="0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 wrapText="1"/>
    </xf>
    <xf numFmtId="0" fontId="34" fillId="0" borderId="0" applyAlignment="1" pivotButton="0" quotePrefix="0" xfId="49">
      <alignment horizontal="left" vertical="center" indent="1"/>
    </xf>
    <xf numFmtId="43" fontId="35" fillId="0" borderId="56" applyAlignment="1" pivotButton="0" quotePrefix="0" xfId="49">
      <alignment horizontal="right" vertical="center"/>
    </xf>
    <xf numFmtId="43" fontId="35" fillId="0" borderId="57" applyAlignment="1" pivotButton="0" quotePrefix="0" xfId="49">
      <alignment horizontal="right" vertical="center"/>
    </xf>
    <xf numFmtId="168" fontId="35" fillId="0" borderId="58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/>
    </xf>
    <xf numFmtId="43" fontId="35" fillId="0" borderId="59" applyAlignment="1" pivotButton="0" quotePrefix="0" xfId="49">
      <alignment horizontal="right" vertical="center"/>
    </xf>
    <xf numFmtId="43" fontId="35" fillId="0" borderId="0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40" fontId="33" fillId="0" borderId="0" applyAlignment="1" pivotButton="0" quotePrefix="0" xfId="49">
      <alignment vertical="center"/>
    </xf>
    <xf numFmtId="40" fontId="35" fillId="0" borderId="61" applyAlignment="1" pivotButton="0" quotePrefix="0" xfId="49">
      <alignment horizontal="right" vertical="center"/>
    </xf>
    <xf numFmtId="40" fontId="35" fillId="0" borderId="62" applyAlignment="1" pivotButton="0" quotePrefix="0" xfId="49">
      <alignment horizontal="right" vertical="center"/>
    </xf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43" fontId="11" fillId="0" borderId="0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0" applyAlignment="1" pivotButton="0" quotePrefix="0" xfId="49">
      <alignment horizontal="right" vertical="center" indent="1"/>
    </xf>
    <xf numFmtId="0" fontId="11" fillId="0" borderId="0" applyAlignment="1" pivotButton="0" quotePrefix="0" xfId="49">
      <alignment vertical="center"/>
    </xf>
    <xf numFmtId="43" fontId="11" fillId="0" borderId="64" applyAlignment="1" pivotButton="0" quotePrefix="0" xfId="49">
      <alignment horizontal="right" vertical="center"/>
    </xf>
    <xf numFmtId="43" fontId="11" fillId="0" borderId="65" applyAlignment="1" pivotButton="0" quotePrefix="0" xfId="49">
      <alignment horizontal="right" vertical="center"/>
    </xf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0" fontId="11" fillId="8" borderId="0" applyAlignment="1" pivotButton="0" quotePrefix="0" xfId="49">
      <alignment horizontal="center"/>
    </xf>
    <xf numFmtId="167" fontId="20" fillId="9" borderId="0" applyAlignment="1" pivotButton="0" quotePrefix="0" xfId="49">
      <alignment horizontal="left" vertical="center" wrapText="1" indent="2"/>
    </xf>
    <xf numFmtId="167" fontId="20" fillId="9" borderId="67" applyAlignment="1" pivotButton="0" quotePrefix="0" xfId="49">
      <alignment horizontal="left" vertical="center" wrapText="1" indent="2"/>
    </xf>
    <xf numFmtId="167" fontId="20" fillId="9" borderId="68" applyAlignment="1" pivotButton="0" quotePrefix="0" xfId="49">
      <alignment horizontal="left" vertical="center" wrapText="1" indent="2"/>
    </xf>
    <xf numFmtId="0" fontId="0" fillId="0" borderId="0" pivotButton="0" quotePrefix="0" xfId="0"/>
    <xf numFmtId="0" fontId="0" fillId="0" borderId="49" pivotButton="0" quotePrefix="0" xfId="0"/>
    <xf numFmtId="4" fontId="31" fillId="0" borderId="0" applyAlignment="1" pivotButton="0" quotePrefix="0" xfId="49">
      <alignment horizontal="left" vertical="center"/>
    </xf>
    <xf numFmtId="169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 indent="1"/>
    </xf>
    <xf numFmtId="169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43" fontId="14" fillId="0" borderId="0" applyAlignment="1" pivotButton="0" quotePrefix="0" xfId="49">
      <alignment horizontal="left" vertical="center"/>
    </xf>
    <xf numFmtId="168" fontId="14" fillId="0" borderId="52" applyAlignment="1" pivotButton="0" quotePrefix="0" xfId="49">
      <alignment horizontal="left" vertical="center"/>
    </xf>
    <xf numFmtId="169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0" fillId="0" borderId="54" pivotButton="0" quotePrefix="0" xfId="0"/>
    <xf numFmtId="4" fontId="33" fillId="0" borderId="54" applyAlignment="1" pivotButton="0" quotePrefix="0" xfId="49">
      <alignment horizontal="left" vertical="center"/>
    </xf>
    <xf numFmtId="169" fontId="33" fillId="0" borderId="55" applyAlignment="1" pivotButton="0" quotePrefix="0" xfId="49">
      <alignment horizontal="left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43" fontId="35" fillId="0" borderId="56" applyAlignment="1" pivotButton="0" quotePrefix="0" xfId="49">
      <alignment horizontal="right" vertical="center"/>
    </xf>
    <xf numFmtId="0" fontId="0" fillId="0" borderId="57" pivotButton="0" quotePrefix="0" xfId="0"/>
    <xf numFmtId="169" fontId="35" fillId="0" borderId="58" applyAlignment="1" pivotButton="0" quotePrefix="0" xfId="49">
      <alignment horizontal="right" vertical="center"/>
    </xf>
    <xf numFmtId="43" fontId="35" fillId="0" borderId="59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0" fontId="0" fillId="0" borderId="62" pivotButton="0" quotePrefix="0" xfId="0"/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169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64" applyAlignment="1" pivotButton="0" quotePrefix="0" xfId="49">
      <alignment horizontal="right" vertical="center"/>
    </xf>
    <xf numFmtId="0" fontId="0" fillId="0" borderId="65" pivotButton="0" quotePrefix="0" xfId="0"/>
    <xf numFmtId="169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167" fontId="20" fillId="9" borderId="67" applyAlignment="1" pivotButton="0" quotePrefix="0" xfId="49">
      <alignment horizontal="left" vertical="center" wrapText="1" indent="2"/>
    </xf>
    <xf numFmtId="0" fontId="0" fillId="0" borderId="67" pivotButton="0" quotePrefix="0" xfId="0"/>
    <xf numFmtId="167" fontId="20" fillId="9" borderId="68" applyAlignment="1" pivotButton="0" quotePrefix="0" xfId="49">
      <alignment horizontal="left" vertical="center" wrapText="1" indent="2"/>
    </xf>
    <xf numFmtId="0" fontId="0" fillId="0" borderId="24" pivotButton="0" quotePrefix="0" xfId="0"/>
    <xf numFmtId="0" fontId="0" fillId="0" borderId="25" pivotButton="0" quotePrefix="0" xfId="0"/>
    <xf numFmtId="0" fontId="0" fillId="0" borderId="80" pivotButton="0" quotePrefix="0" xfId="0"/>
    <xf numFmtId="0" fontId="0" fillId="0" borderId="82" pivotButton="0" quotePrefix="0" xfId="0"/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0" fillId="0" borderId="8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84" pivotButton="0" quotePrefix="0" xfId="0"/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0" borderId="1" pivotButton="0" quotePrefix="0" xfId="0"/>
    <xf numFmtId="165" fontId="4" fillId="0" borderId="0" applyAlignment="1" pivotButton="0" quotePrefix="0" xfId="53">
      <alignment vertical="center"/>
    </xf>
    <xf numFmtId="0" fontId="1" fillId="0" borderId="1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8" pivotButton="0" quotePrefix="0" xfId="0"/>
    <xf numFmtId="0" fontId="0" fillId="0" borderId="85" pivotButton="0" quotePrefix="0" xfId="0"/>
    <xf numFmtId="0" fontId="6" fillId="0" borderId="19" applyAlignment="1" pivotButton="0" quotePrefix="0" xfId="0">
      <alignment horizontal="center" vertical="center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MSD payroll 總表" xfId="50"/>
    <cellStyle name="千分位 2" xfId="51"/>
    <cellStyle name="千分位 2 2" xfId="52"/>
    <cellStyle name="一般 2" xfId="53"/>
    <cellStyle name="一般_Sheet1 2" xfId="54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1235" cy="5314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tabSelected="1" topLeftCell="A13" zoomScale="150" zoomScaleNormal="150" workbookViewId="0">
      <selection activeCell="B31" sqref="B31"/>
    </sheetView>
  </sheetViews>
  <sheetFormatPr baseColWidth="8" defaultColWidth="9.18333333333333" defaultRowHeight="11.25"/>
  <cols>
    <col width="15.1833333333333" customWidth="1" style="124" min="1" max="1"/>
    <col width="23.45" customWidth="1" style="124" min="2" max="2"/>
    <col width="4.81666666666667" customWidth="1" style="124" min="3" max="3"/>
    <col width="15.1833333333333" customWidth="1" style="124" min="4" max="4"/>
    <col width="11.8166666666667" customWidth="1" style="124" min="5" max="5"/>
    <col width="15.8333333333333" customWidth="1" style="125" min="6" max="6"/>
    <col width="9.18333333333333" customWidth="1" style="125" min="7" max="7"/>
    <col width="9.18333333333333" customWidth="1" style="124" min="8" max="8"/>
    <col width="9.18333333333333" customWidth="1" style="124" min="9" max="9"/>
    <col width="9.18333333333333" customWidth="1" style="124" min="10" max="16384"/>
  </cols>
  <sheetData>
    <row r="1" ht="19" customHeight="1" s="205">
      <c r="B1" s="126" t="inlineStr">
        <is>
          <t>NNRoad – Employer of Record, Payroll Worldwide</t>
        </is>
      </c>
      <c r="G1" s="127" t="n"/>
      <c r="H1" s="125" t="n"/>
    </row>
    <row r="2" ht="14.25" customHeight="1" s="205">
      <c r="B2" s="128" t="inlineStr">
        <is>
          <t>333 W San Carlos St., Suite 600, San Jose, CA 95113, USA</t>
        </is>
      </c>
      <c r="G2" s="127" t="n"/>
      <c r="H2" s="125" t="n"/>
    </row>
    <row r="3" ht="18" customFormat="1" customHeight="1" s="118">
      <c r="B3" s="128" t="inlineStr">
        <is>
          <t>USA: +1 (669) 377-5080 | www.NNRoad.com</t>
        </is>
      </c>
      <c r="G3" s="127" t="n"/>
      <c r="H3" s="127" t="n"/>
    </row>
    <row r="4" ht="14" customFormat="1" customHeight="1" s="118">
      <c r="G4" s="127" t="n"/>
      <c r="H4" s="127" t="n"/>
    </row>
    <row r="5" ht="32" customFormat="1" customHeight="1" s="118">
      <c r="A5" s="129" t="inlineStr">
        <is>
          <t>INVOICE</t>
        </is>
      </c>
      <c r="G5" s="127" t="n"/>
      <c r="H5" s="127" t="n"/>
    </row>
    <row r="6" ht="12" customFormat="1" customHeight="1" s="118">
      <c r="A6" s="130" t="n"/>
      <c r="B6" s="130" t="n"/>
      <c r="C6" s="130" t="n"/>
      <c r="D6" s="130" t="n"/>
      <c r="E6" s="130" t="n"/>
      <c r="F6" s="130" t="n"/>
      <c r="G6" s="127" t="n"/>
      <c r="H6" s="127" t="n"/>
    </row>
    <row r="7" ht="13" customFormat="1" customHeight="1" s="118">
      <c r="A7" s="131" t="inlineStr">
        <is>
          <t>Bill to:</t>
        </is>
      </c>
      <c r="B7" s="131" t="n"/>
      <c r="C7" s="131" t="n"/>
      <c r="D7" s="131" t="n"/>
      <c r="E7" s="131" t="n"/>
      <c r="G7" s="127" t="n"/>
      <c r="H7" s="127" t="n"/>
    </row>
    <row r="8" ht="13" customFormat="1" customHeight="1" s="119">
      <c r="A8" s="132" t="inlineStr">
        <is>
          <t>Company name:</t>
        </is>
      </c>
      <c r="B8" s="133" t="inlineStr">
        <is>
          <t>Coral Sea</t>
        </is>
      </c>
      <c r="C8" s="134" t="n"/>
      <c r="D8" s="132" t="inlineStr">
        <is>
          <t>Currency</t>
        </is>
      </c>
      <c r="E8" s="132" t="n"/>
      <c r="F8" s="133" t="inlineStr">
        <is>
          <t>USD</t>
        </is>
      </c>
      <c r="G8" s="135" t="n"/>
    </row>
    <row r="9" ht="13" customFormat="1" customHeight="1" s="119">
      <c r="A9" s="132" t="inlineStr">
        <is>
          <t>Client ID:</t>
        </is>
      </c>
      <c r="B9" s="133" t="inlineStr">
        <is>
          <t>CUS1516</t>
        </is>
      </c>
      <c r="C9" s="136" t="n"/>
      <c r="D9" s="132" t="inlineStr">
        <is>
          <t>Invoice number</t>
        </is>
      </c>
      <c r="E9" s="132" t="n"/>
      <c r="F9" s="133" t="inlineStr">
        <is>
          <t>PN-CUS1516-031120261</t>
        </is>
      </c>
      <c r="G9" s="135" t="n"/>
    </row>
    <row r="10" ht="13" customFormat="1" customHeight="1" s="118">
      <c r="A10" s="132" t="inlineStr">
        <is>
          <t>Address:</t>
        </is>
      </c>
      <c r="B10" s="137" t="inlineStr">
        <is>
          <t>4205/41 Williams Esplanade, PALM COVE, QLD, Australia</t>
        </is>
      </c>
      <c r="C10" s="136" t="n"/>
      <c r="D10" s="132" t="inlineStr">
        <is>
          <t>Invoice date</t>
        </is>
      </c>
      <c r="E10" s="132" t="n"/>
      <c r="F10" s="138">
        <f>TODAY()</f>
        <v/>
      </c>
      <c r="G10" s="127" t="n"/>
    </row>
    <row r="11" ht="12" customFormat="1" customHeight="1" s="119">
      <c r="A11" s="139" t="n"/>
      <c r="D11" s="132" t="inlineStr">
        <is>
          <t>Due date</t>
        </is>
      </c>
      <c r="E11" s="132" t="n"/>
      <c r="F11" s="138" t="n">
        <v>46099</v>
      </c>
      <c r="G11" s="135" t="n"/>
    </row>
    <row r="12" ht="12" customFormat="1" customHeight="1" s="118">
      <c r="A12" s="140" t="n"/>
      <c r="B12" s="140" t="n"/>
      <c r="C12" s="140" t="n"/>
      <c r="D12" s="140" t="n"/>
      <c r="E12" s="141" t="n"/>
      <c r="G12" s="127" t="n"/>
    </row>
    <row r="13" ht="12" customHeight="1" s="205"/>
    <row r="14" ht="28" customFormat="1" customHeight="1" s="120">
      <c r="A14" s="142" t="inlineStr">
        <is>
          <t>Description</t>
        </is>
      </c>
      <c r="B14" s="206" t="n"/>
      <c r="C14" s="206" t="n"/>
      <c r="D14" s="143" t="n"/>
      <c r="E14" s="143">
        <f>"Amount "&amp;TW!C6</f>
        <v/>
      </c>
      <c r="F14" s="144" t="inlineStr">
        <is>
          <t>Approx. In USD*</t>
        </is>
      </c>
      <c r="G14" s="145" t="n"/>
    </row>
    <row r="15" ht="16" customFormat="1" customHeight="1" s="121">
      <c r="A15" s="146" t="inlineStr">
        <is>
          <t>EOR/PEO Cost</t>
        </is>
      </c>
      <c r="D15" s="147" t="n"/>
      <c r="E15" s="207">
        <f>SUM(E16:E22)</f>
        <v/>
      </c>
      <c r="F15" s="208">
        <f>SUM(F16:F22)</f>
        <v/>
      </c>
      <c r="G15" s="209" t="n"/>
    </row>
    <row r="16" ht="12.75" customFormat="1" customHeight="1" s="122">
      <c r="A16" s="151">
        <f>"- Labor cost for "&amp;TW!B9&amp;"  -  "&amp;MONTH(TW!$B$2)&amp;"-"&amp;YEAR(TW!$B$2)</f>
        <v/>
      </c>
      <c r="D16" s="152" t="n"/>
      <c r="E16" s="210">
        <f>TW!J9+TW!Z9</f>
        <v/>
      </c>
      <c r="F16" s="211">
        <f>E16/$B$31</f>
        <v/>
      </c>
      <c r="G16" s="212" t="n"/>
    </row>
    <row r="17" ht="12.75" customFormat="1" customHeight="1" s="122">
      <c r="A17" s="151">
        <f>"- Labor cost for "&amp;TW!B10&amp;"  -  "&amp;MONTH(TW!$B$2)&amp;"-"&amp;YEAR(TW!$B$2)</f>
        <v/>
      </c>
      <c r="D17" s="152" t="n"/>
      <c r="E17" s="210">
        <f>TW!J10+TW!Z10</f>
        <v/>
      </c>
      <c r="F17" s="211">
        <f>E17/$B$31</f>
        <v/>
      </c>
      <c r="G17" s="212" t="n"/>
    </row>
    <row r="18" ht="12.75" customFormat="1" customHeight="1" s="122">
      <c r="A18" s="151">
        <f>"- Labor cost for "&amp;TW!B11&amp;"  -  "&amp;MONTH(TW!$B$2)&amp;"-"&amp;YEAR(TW!$B$2)</f>
        <v/>
      </c>
      <c r="D18" s="152" t="n"/>
      <c r="E18" s="210">
        <f>TW!J11+TW!Z11</f>
        <v/>
      </c>
      <c r="F18" s="211">
        <f>E18/$B$31</f>
        <v/>
      </c>
      <c r="G18" s="212" t="n"/>
    </row>
    <row r="19" ht="12.75" customHeight="1" s="205">
      <c r="A19" s="151">
        <f>"- Expense claim for "&amp;TW!B9</f>
        <v/>
      </c>
      <c r="D19" s="152" t="n"/>
      <c r="E19" s="210">
        <f>TW!AB9</f>
        <v/>
      </c>
      <c r="F19" s="211">
        <f>E19/$B$31</f>
        <v/>
      </c>
      <c r="G19" s="213" t="n"/>
    </row>
    <row r="20" ht="12.75" customHeight="1" s="205">
      <c r="A20" s="151">
        <f>"- Expense claim for "&amp;TW!B10</f>
        <v/>
      </c>
      <c r="D20" s="152" t="n"/>
      <c r="E20" s="210">
        <f>TW!AB10</f>
        <v/>
      </c>
      <c r="F20" s="211">
        <f>E20/$B$31</f>
        <v/>
      </c>
      <c r="G20" s="213" t="n"/>
    </row>
    <row r="21" ht="12.75" customHeight="1" s="205">
      <c r="A21" s="151">
        <f>"- Expense claim for "&amp;TW!B11</f>
        <v/>
      </c>
      <c r="D21" s="152" t="n"/>
      <c r="E21" s="210">
        <f>TW!AB11</f>
        <v/>
      </c>
      <c r="F21" s="211">
        <f>E21/$B$31</f>
        <v/>
      </c>
      <c r="G21" s="213" t="n"/>
    </row>
    <row r="22" ht="12.75" customHeight="1" s="205">
      <c r="A22" s="158" t="n"/>
      <c r="D22" s="159" t="n"/>
      <c r="E22" s="214" t="n"/>
      <c r="F22" s="215" t="n"/>
      <c r="G22" s="213" t="n"/>
    </row>
    <row r="23" ht="16" customFormat="1" customHeight="1" s="123">
      <c r="A23" s="146" t="inlineStr">
        <is>
          <t>Service Fee</t>
        </is>
      </c>
      <c r="D23" s="147" t="n"/>
      <c r="E23" s="207">
        <f>SUM(E24:E25)</f>
        <v/>
      </c>
      <c r="F23" s="216">
        <f>SUM(F24:F25)</f>
        <v/>
      </c>
      <c r="G23" s="217" t="n"/>
    </row>
    <row r="24" ht="12.75" customHeight="1" s="205">
      <c r="A24" s="163">
        <f>"- Management Fee - "&amp;MONTH(TW!B2)&amp;"-"&amp;YEAR(TW!B2)</f>
        <v/>
      </c>
      <c r="D24" s="164" t="n"/>
      <c r="E24" s="218">
        <f>TW!G6</f>
        <v/>
      </c>
      <c r="F24" s="211">
        <f>E24/$B$31</f>
        <v/>
      </c>
      <c r="G24" s="213" t="n"/>
    </row>
    <row r="25" ht="12.75" customHeight="1" s="205">
      <c r="A25" s="163" t="n"/>
      <c r="D25" s="164" t="n"/>
      <c r="E25" s="214" t="n"/>
      <c r="F25" s="215" t="n"/>
      <c r="G25" s="213" t="n"/>
    </row>
    <row r="26" ht="12.75" customHeight="1" s="205">
      <c r="A26" s="163" t="n"/>
      <c r="D26" s="164" t="n"/>
      <c r="E26" s="214" t="n"/>
      <c r="F26" s="215" t="n"/>
      <c r="G26" s="213" t="n"/>
    </row>
    <row r="27" ht="14.25" customHeight="1" s="205">
      <c r="A27" s="165" t="n"/>
      <c r="D27" s="166" t="n"/>
      <c r="E27" s="219" t="n"/>
      <c r="F27" s="220" t="n"/>
      <c r="G27" s="213" t="n"/>
    </row>
    <row r="28" ht="15" customFormat="1" customHeight="1" s="121">
      <c r="A28" s="169" t="inlineStr">
        <is>
          <t xml:space="preserve">EOR/PEO Service Cost		</t>
        </is>
      </c>
      <c r="B28" s="221" t="n"/>
      <c r="C28" s="221" t="n"/>
      <c r="D28" s="221" t="n"/>
      <c r="E28" s="222">
        <f>E15+E23</f>
        <v/>
      </c>
      <c r="F28" s="223">
        <f>F15+F23</f>
        <v/>
      </c>
      <c r="G28" s="209" t="n"/>
    </row>
    <row r="29" ht="14.25" customFormat="1" customHeight="1" s="121">
      <c r="A29" s="173" t="n"/>
      <c r="B29" s="173" t="n"/>
      <c r="C29" s="174" t="n"/>
      <c r="D29" s="174" t="n"/>
      <c r="E29" s="224" t="n"/>
      <c r="F29" s="225" t="n"/>
      <c r="G29" s="209" t="n"/>
    </row>
    <row r="30" ht="15" customFormat="1" customHeight="1" s="121">
      <c r="A30" s="177" t="n"/>
      <c r="B30" s="177" t="n"/>
      <c r="C30" s="177" t="n"/>
      <c r="D30" s="177" t="n"/>
      <c r="E30" s="224" t="n"/>
      <c r="F30" s="225" t="n"/>
      <c r="G30" s="209" t="n"/>
    </row>
    <row r="31" ht="25.5" customHeight="1" s="205">
      <c r="A31" s="178">
        <f>"*FX rate  USD:  "&amp;TW!C6</f>
        <v/>
      </c>
      <c r="B31" s="179" t="n">
        <v>31.2977</v>
      </c>
      <c r="C31" s="224" t="n"/>
      <c r="D31" s="226" t="inlineStr">
        <is>
          <t>EOR/PEO Service Cost</t>
        </is>
      </c>
      <c r="E31" s="227" t="n"/>
      <c r="F31" s="228">
        <f>F28</f>
        <v/>
      </c>
      <c r="G31" s="213" t="n"/>
    </row>
    <row r="32" ht="16" customFormat="1" customHeight="1" s="122">
      <c r="A32" s="183" t="n"/>
      <c r="B32" s="183" t="n"/>
      <c r="C32" s="224" t="n"/>
      <c r="D32" s="229" t="inlineStr">
        <is>
          <t xml:space="preserve">Outstanding payment </t>
        </is>
      </c>
      <c r="F32" s="230">
        <f>TW!E22</f>
        <v/>
      </c>
      <c r="G32" s="212" t="n"/>
    </row>
    <row r="33" ht="14.25" customFormat="1" customHeight="1" s="122">
      <c r="A33" s="183" t="n"/>
      <c r="B33" s="183" t="n"/>
      <c r="C33" s="224" t="n"/>
      <c r="D33" s="229" t="inlineStr">
        <is>
          <t xml:space="preserve">FX difference </t>
        </is>
      </c>
      <c r="F33" s="230">
        <f>TW!E23</f>
        <v/>
      </c>
      <c r="G33" s="212" t="n"/>
    </row>
    <row r="34" ht="14.25" customHeight="1" s="205">
      <c r="A34" s="183" t="n"/>
      <c r="B34" s="183" t="n"/>
      <c r="C34" s="224" t="n"/>
      <c r="D34" s="229" t="inlineStr">
        <is>
          <t xml:space="preserve">Interests of delay </t>
        </is>
      </c>
      <c r="F34" s="230">
        <f>TW!E24</f>
        <v/>
      </c>
      <c r="G34" s="213" t="n"/>
    </row>
    <row r="35" ht="15" customHeight="1" s="205">
      <c r="A35" s="183" t="n"/>
      <c r="B35" s="183" t="n"/>
      <c r="C35" s="187" t="n"/>
      <c r="D35" s="188" t="inlineStr">
        <is>
          <t xml:space="preserve">Bank Charges </t>
        </is>
      </c>
      <c r="E35" s="231" t="n"/>
      <c r="F35" s="232">
        <f>TW!E25</f>
        <v/>
      </c>
      <c r="G35" s="213" t="n"/>
    </row>
    <row r="36" ht="14.25" customHeight="1" s="205">
      <c r="A36" s="183" t="n"/>
      <c r="B36" s="183" t="n"/>
      <c r="C36" s="224" t="n"/>
      <c r="D36" s="233" t="inlineStr">
        <is>
          <t xml:space="preserve">Sub Total (Excluding Tax)		</t>
        </is>
      </c>
      <c r="F36" s="234">
        <f>SUM(F31:F35)</f>
        <v/>
      </c>
      <c r="G36" s="213" t="n"/>
    </row>
    <row r="37" ht="14.25" customHeight="1" s="205">
      <c r="A37" s="183" t="n"/>
      <c r="B37" s="183" t="n"/>
      <c r="C37" s="224" t="n"/>
      <c r="D37" s="235" t="inlineStr">
        <is>
          <t>Tax</t>
        </is>
      </c>
      <c r="F37" s="234">
        <f>ROUNDUP(TW!F6/PN!B31,2)+0.01</f>
        <v/>
      </c>
      <c r="G37" s="213" t="n"/>
    </row>
    <row r="38" ht="15" customHeight="1" s="205">
      <c r="A38" s="196" t="n"/>
      <c r="B38" s="196" t="n"/>
      <c r="C38" s="224" t="n"/>
      <c r="D38" s="236" t="inlineStr">
        <is>
          <t xml:space="preserve">Total		</t>
        </is>
      </c>
      <c r="E38" s="237" t="n"/>
      <c r="F38" s="238">
        <f>SUM(F36:F37)</f>
        <v/>
      </c>
      <c r="G38" s="213" t="n"/>
      <c r="H38" s="239" t="n"/>
    </row>
    <row r="39" ht="14.25" customHeight="1" s="205">
      <c r="A39" s="166" t="n"/>
      <c r="B39" s="166" t="n"/>
      <c r="C39" s="166" t="n"/>
      <c r="D39" s="166" t="n"/>
      <c r="E39" s="187" t="n"/>
      <c r="F39" s="187" t="n"/>
      <c r="G39" s="213" t="n"/>
    </row>
    <row r="40" ht="14.25" customHeight="1" s="205">
      <c r="A40" s="166" t="n"/>
      <c r="B40" s="166" t="n"/>
      <c r="C40" s="166" t="n"/>
      <c r="D40" s="166" t="n"/>
      <c r="E40" s="187" t="n"/>
      <c r="F40" s="187" t="n"/>
      <c r="G40" s="213" t="n"/>
    </row>
    <row r="41">
      <c r="G41" s="213" t="n"/>
    </row>
    <row r="42" ht="19" customHeight="1" s="205">
      <c r="A42" s="201" t="inlineStr">
        <is>
          <t xml:space="preserve">Please pay the Invoice in FULL AMOUNT </t>
        </is>
      </c>
    </row>
    <row r="43" ht="61" customHeight="1" s="205">
      <c r="A43" s="240" t="inlineStr">
        <is>
          <t>Beneficiary: NNROAD, INC.
Bank Name: Chase Bank
Bank Account: 132827913
Bank Add.: 690 River Oaks Parkway Ste A, San Jose, CA 95134, USA</t>
        </is>
      </c>
      <c r="C43" s="241" t="n"/>
      <c r="D43" s="242" t="inlineStr">
        <is>
          <t xml:space="preserve">
SWIFT BIC (international transfer): CHASUS33XXX
Routing Number (domestic wire transfer): 021000021
Routing Number (domestic ACH and direct deposit): 322271627</t>
        </is>
      </c>
    </row>
    <row r="44">
      <c r="A44" s="124" t="inlineStr">
        <is>
          <t>Notes:</t>
        </is>
      </c>
    </row>
    <row r="45" ht="11" customHeight="1" s="205">
      <c r="A45" s="121" t="inlineStr">
        <is>
          <t>1. Please ensure that you include the Invoice Number when making your payment. This will help us accurately process and allocate your payment .</t>
        </is>
      </c>
      <c r="B45" s="121" t="n"/>
      <c r="C45" s="121" t="n"/>
      <c r="D45" s="121" t="n"/>
      <c r="E45" s="121" t="n"/>
      <c r="F45" s="121" t="n"/>
    </row>
    <row r="46">
      <c r="A46" s="121" t="inlineStr">
        <is>
          <t>2. This document becomes a Tax Invoice/Receipt upon payment. Please retain a copy for your records.</t>
        </is>
      </c>
    </row>
    <row r="47">
      <c r="A47" s="121" t="inlineStr">
        <is>
          <t>3. This is a computer generated document.  No Signature required.</t>
        </is>
      </c>
    </row>
  </sheetData>
  <mergeCells count="31">
    <mergeCell ref="A25:C25"/>
    <mergeCell ref="D34:E34"/>
    <mergeCell ref="B3:F3"/>
    <mergeCell ref="A18:C18"/>
    <mergeCell ref="A27:C27"/>
    <mergeCell ref="A21:C21"/>
    <mergeCell ref="D36:E36"/>
    <mergeCell ref="D31:E31"/>
    <mergeCell ref="A28:D28"/>
    <mergeCell ref="A26:C26"/>
    <mergeCell ref="D43:F43"/>
    <mergeCell ref="A42:F42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20:C20"/>
    <mergeCell ref="A43:C43"/>
    <mergeCell ref="A19:C19"/>
    <mergeCell ref="D37:E37"/>
    <mergeCell ref="A15:C15"/>
    <mergeCell ref="A24:C24"/>
    <mergeCell ref="D33:E33"/>
    <mergeCell ref="D38:E38"/>
    <mergeCell ref="A16:C16"/>
    <mergeCell ref="D35:E35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87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H9" sqref="H9"/>
    </sheetView>
  </sheetViews>
  <sheetFormatPr baseColWidth="8" defaultColWidth="8.81666666666667" defaultRowHeight="14.25"/>
  <cols>
    <col width="9.725" customWidth="1" style="57" min="1" max="1"/>
    <col width="19.45" customWidth="1" style="205" min="2" max="2"/>
    <col width="13.1833333333333" customWidth="1" style="205" min="3" max="3"/>
    <col width="9.725" customWidth="1" style="205" min="5" max="5"/>
    <col width="8.633333333333329" customWidth="1" style="205" min="6" max="6"/>
    <col width="9.725" customWidth="1" style="205" min="7" max="8"/>
    <col width="7.54166666666667" customWidth="1" style="205" min="9" max="9"/>
    <col width="9.725" customWidth="1" style="205" min="10" max="11"/>
    <col width="9.81666666666667" customWidth="1" style="205" min="12" max="12"/>
    <col width="9.725" customWidth="1" style="205" min="13" max="14"/>
    <col width="12.1833333333333" customWidth="1" style="205" min="15" max="15"/>
    <col width="8" customWidth="1" style="205" min="16" max="16"/>
    <col width="12.3666666666667" customWidth="1" style="205" min="17" max="17"/>
    <col width="7.26666666666667" customWidth="1" style="205" min="18" max="18"/>
    <col width="9.266666666666669" customWidth="1" style="205" min="19" max="19"/>
    <col width="5.81666666666667" customWidth="1" style="205" min="20" max="20"/>
    <col width="6.54166666666667" customWidth="1" style="205" min="21" max="21"/>
    <col width="6" customWidth="1" style="205" min="22" max="22"/>
    <col width="9.18333333333333" customWidth="1" style="205" min="23" max="23"/>
    <col width="10.0916666666667" customWidth="1" style="205" min="24" max="24"/>
    <col width="9.266666666666669" customWidth="1" style="205" min="25" max="25"/>
    <col width="8.633333333333329" customWidth="1" style="205" min="26" max="27"/>
    <col width="7.725" customWidth="1" style="205" min="28" max="28"/>
    <col width="7.54166666666667" customWidth="1" style="205" min="29" max="29"/>
  </cols>
  <sheetData>
    <row r="1" ht="15" customHeight="1" s="205">
      <c r="A1" s="57">
        <f>MID(CELL("filename",A1),FIND("]",CELL("filename",A1))+1,256)</f>
        <v/>
      </c>
    </row>
    <row r="2" ht="15" customHeight="1" s="205">
      <c r="A2" s="57" t="inlineStr">
        <is>
          <t>Pay Period</t>
        </is>
      </c>
      <c r="B2" s="60">
        <f>'TW-L'!C4</f>
        <v/>
      </c>
      <c r="C2" s="96">
        <f>'TW-L'!C5</f>
        <v/>
      </c>
      <c r="E2" s="61" t="inlineStr">
        <is>
          <t>ER</t>
        </is>
      </c>
    </row>
    <row r="3" customFormat="1" s="54">
      <c r="E3" s="97" t="inlineStr">
        <is>
          <t>Sum</t>
        </is>
      </c>
      <c r="F3" s="68" t="inlineStr">
        <is>
          <t>Business
Tax</t>
        </is>
      </c>
      <c r="G3" s="68" t="inlineStr">
        <is>
          <t>Management Fee
Fee</t>
        </is>
      </c>
      <c r="H3" s="243" t="n"/>
      <c r="I3" s="244" t="n"/>
      <c r="J3" s="101" t="inlineStr">
        <is>
          <t>Gross Salary</t>
        </is>
      </c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3" t="n"/>
      <c r="Y3" s="244" t="n"/>
      <c r="Z3" s="65" t="inlineStr">
        <is>
          <t>Mandatory Contribution</t>
        </is>
      </c>
      <c r="AA3" s="243" t="n"/>
      <c r="AB3" s="101" t="inlineStr">
        <is>
          <t>Expense Claim</t>
        </is>
      </c>
      <c r="AC3" s="244" t="n"/>
    </row>
    <row r="4" ht="57.75" customFormat="1" customHeight="1" s="54">
      <c r="E4" s="245" t="n"/>
      <c r="F4" s="246" t="n"/>
      <c r="G4" s="105" t="inlineStr">
        <is>
          <t>Subtotal</t>
        </is>
      </c>
      <c r="H4" s="72" t="inlineStr">
        <is>
          <t>Recurring
Fee</t>
        </is>
      </c>
      <c r="I4" s="72" t="inlineStr">
        <is>
          <t>Expense
Fee</t>
        </is>
      </c>
      <c r="J4" s="104" t="inlineStr">
        <is>
          <t>Subtotal</t>
        </is>
      </c>
      <c r="K4" s="72" t="inlineStr">
        <is>
          <t>Basic
Salary</t>
        </is>
      </c>
      <c r="L4" s="72" t="inlineStr">
        <is>
          <t>Salary
Adjustment</t>
        </is>
      </c>
      <c r="M4" s="72" t="inlineStr">
        <is>
          <t>OT</t>
        </is>
      </c>
      <c r="N4" s="72" t="inlineStr">
        <is>
          <t>Allw- Phone/ Communication</t>
        </is>
      </c>
      <c r="O4" s="72" t="inlineStr">
        <is>
          <t>Allw 
Transportation</t>
        </is>
      </c>
      <c r="P4" s="72" t="inlineStr">
        <is>
          <t>Back Pay</t>
        </is>
      </c>
      <c r="Q4" s="72" t="inlineStr">
        <is>
          <t>伙食津貼Allw Meal</t>
        </is>
      </c>
      <c r="R4" s="72" t="inlineStr">
        <is>
          <t>Remote Stipend</t>
        </is>
      </c>
      <c r="S4" s="72" t="inlineStr">
        <is>
          <t>病假扣薪
Sick Leave
(half pay)</t>
        </is>
      </c>
      <c r="T4" s="72" t="inlineStr">
        <is>
          <t>NPL Hours</t>
        </is>
      </c>
      <c r="U4" s="72" t="inlineStr">
        <is>
          <t>No Pay Leave</t>
        </is>
      </c>
      <c r="V4" s="72" t="inlineStr">
        <is>
          <t>Bonus VB</t>
        </is>
      </c>
      <c r="W4" s="72" t="inlineStr">
        <is>
          <t>Incentives</t>
        </is>
      </c>
      <c r="X4" s="72" t="inlineStr">
        <is>
          <t>特休結算
Untaken AL</t>
        </is>
      </c>
      <c r="Y4" s="72" t="inlineStr">
        <is>
          <t>資遣費
Severance</t>
        </is>
      </c>
      <c r="Z4" s="72" t="inlineStr">
        <is>
          <t>Subtotal</t>
        </is>
      </c>
      <c r="AA4" s="72" t="inlineStr">
        <is>
          <t>ER insurance</t>
        </is>
      </c>
      <c r="AB4" s="104" t="inlineStr">
        <is>
          <t>Subtotal</t>
        </is>
      </c>
      <c r="AC4" s="73" t="inlineStr">
        <is>
          <t>Expense
Claim</t>
        </is>
      </c>
    </row>
    <row r="5" ht="15" customFormat="1" customHeight="1" s="54">
      <c r="A5" s="57" t="n"/>
      <c r="E5" s="74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6" t="n"/>
    </row>
    <row r="6" customFormat="1" s="56">
      <c r="A6" s="77" t="n"/>
      <c r="B6" s="56" t="inlineStr">
        <is>
          <t>Sum</t>
        </is>
      </c>
      <c r="C6" s="56" t="inlineStr">
        <is>
          <t>(NTD)</t>
        </is>
      </c>
      <c r="E6" s="247">
        <f>SUM(E9:E17)</f>
        <v/>
      </c>
      <c r="F6" s="248">
        <f>SUM(F9:F17)</f>
        <v/>
      </c>
      <c r="G6" s="248">
        <f>SUM(G9:G17)</f>
        <v/>
      </c>
      <c r="H6" s="248">
        <f>SUM(H9:H17)</f>
        <v/>
      </c>
      <c r="I6" s="248">
        <f>SUM(I9:I17)</f>
        <v/>
      </c>
      <c r="J6" s="248">
        <f>SUM(J9:J17)</f>
        <v/>
      </c>
      <c r="K6" s="248">
        <f>SUM(K9:K17)</f>
        <v/>
      </c>
      <c r="L6" s="248">
        <f>SUM(L9:L17)</f>
        <v/>
      </c>
      <c r="M6" s="248">
        <f>SUM(M9:M17)</f>
        <v/>
      </c>
      <c r="N6" s="248">
        <f>SUM(N9:N17)</f>
        <v/>
      </c>
      <c r="O6" s="248">
        <f>SUM(O9:O17)</f>
        <v/>
      </c>
      <c r="P6" s="248">
        <f>SUM(P9:P17)</f>
        <v/>
      </c>
      <c r="Q6" s="248">
        <f>SUM(Q9:Q17)</f>
        <v/>
      </c>
      <c r="R6" s="248">
        <f>SUM(R9:R17)</f>
        <v/>
      </c>
      <c r="S6" s="248">
        <f>SUM(S9:S17)</f>
        <v/>
      </c>
      <c r="T6" s="248">
        <f>SUM(T9:T17)</f>
        <v/>
      </c>
      <c r="U6" s="248">
        <f>SUM(U9:U17)</f>
        <v/>
      </c>
      <c r="V6" s="248">
        <f>SUM(V9:V17)</f>
        <v/>
      </c>
      <c r="W6" s="248">
        <f>SUM(W9:W17)</f>
        <v/>
      </c>
      <c r="X6" s="248">
        <f>SUM(X9:X17)</f>
        <v/>
      </c>
      <c r="Y6" s="248">
        <f>SUM(Y9:Y17)</f>
        <v/>
      </c>
      <c r="Z6" s="248">
        <f>SUM(Z9:Z17)</f>
        <v/>
      </c>
      <c r="AA6" s="248">
        <f>SUM(AA9:AA17)</f>
        <v/>
      </c>
      <c r="AB6" s="248">
        <f>SUM(AB9:AB17)</f>
        <v/>
      </c>
      <c r="AC6" s="249">
        <f>SUM(AC9:AC17)</f>
        <v/>
      </c>
    </row>
    <row r="7" customFormat="1" s="56">
      <c r="A7" s="84" t="n"/>
      <c r="B7" s="85" t="n"/>
      <c r="C7" s="85" t="n"/>
      <c r="E7" s="247" t="n"/>
      <c r="F7" s="248" t="n"/>
      <c r="G7" s="248" t="n"/>
      <c r="H7" s="248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9" t="n"/>
    </row>
    <row r="8" customFormat="1" s="56">
      <c r="A8" s="84" t="n"/>
      <c r="E8" s="247" t="n"/>
      <c r="F8" s="248" t="n"/>
      <c r="G8" s="248" t="n"/>
      <c r="H8" s="248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9" t="n"/>
    </row>
    <row r="9" customFormat="1" s="56">
      <c r="A9" s="77" t="n"/>
      <c r="B9" s="56">
        <f>'TW-L'!C9</f>
        <v/>
      </c>
      <c r="C9" s="56">
        <f>'TW EE'!D10</f>
        <v/>
      </c>
      <c r="E9" s="247">
        <f>SUM(F9:G9)+J9+Z9+AB9</f>
        <v/>
      </c>
      <c r="F9" s="106" t="n"/>
      <c r="G9" s="248">
        <f>SUM(H9:I9)</f>
        <v/>
      </c>
      <c r="H9" s="248">
        <f>MAX(4500,(J9+Z9)*12%)</f>
        <v/>
      </c>
      <c r="I9" s="248">
        <f>IF(AB9&gt;0,1500,0)</f>
        <v/>
      </c>
      <c r="J9" s="248">
        <f>SUM(K9:Y9)</f>
        <v/>
      </c>
      <c r="K9" s="248">
        <f>'TW-L'!N9</f>
        <v/>
      </c>
      <c r="L9" s="248" t="n">
        <v>0</v>
      </c>
      <c r="M9" s="248">
        <f>'TW-L'!AC9</f>
        <v/>
      </c>
      <c r="N9" s="248">
        <f>'TW-L'!O9</f>
        <v/>
      </c>
      <c r="O9" s="248">
        <f>'TW-L'!P9</f>
        <v/>
      </c>
      <c r="P9" s="248">
        <f>'TW-L'!Q9</f>
        <v/>
      </c>
      <c r="Q9" s="248">
        <f>'TW-L'!R9</f>
        <v/>
      </c>
      <c r="R9" s="248">
        <f>'TW-L'!R9</f>
        <v/>
      </c>
      <c r="S9" s="248">
        <f>'TW-L'!U9</f>
        <v/>
      </c>
      <c r="T9" s="248">
        <f>'TW-L'!V9</f>
        <v/>
      </c>
      <c r="U9" s="248">
        <f>'TW-L'!W9</f>
        <v/>
      </c>
      <c r="V9" s="248">
        <f>'TW-L'!X9</f>
        <v/>
      </c>
      <c r="W9" s="248">
        <f>'TW-L'!Y9</f>
        <v/>
      </c>
      <c r="X9" s="248">
        <f>'TW-L'!AA9</f>
        <v/>
      </c>
      <c r="Y9" s="248">
        <f>'TW-L'!AB9</f>
        <v/>
      </c>
      <c r="Z9" s="248">
        <f>SUM(AA9:AA9)</f>
        <v/>
      </c>
      <c r="AA9" s="248">
        <f>'TW-L'!BL9</f>
        <v/>
      </c>
      <c r="AB9" s="248">
        <f>SUM(AC9:AC9)</f>
        <v/>
      </c>
      <c r="AC9" s="249">
        <f>'TW-L'!Z9</f>
        <v/>
      </c>
    </row>
    <row r="10" customFormat="1" s="56">
      <c r="A10" s="77" t="n"/>
      <c r="B10" s="56">
        <f>'TW-L'!C10</f>
        <v/>
      </c>
      <c r="C10" s="56">
        <f>'TW EE'!D11</f>
        <v/>
      </c>
      <c r="E10" s="247">
        <f>SUM(F10:G10)+J10+Z10+AB10</f>
        <v/>
      </c>
      <c r="F10" s="106" t="n"/>
      <c r="G10" s="248">
        <f>SUM(H10:I10)</f>
        <v/>
      </c>
      <c r="H10" s="248">
        <f>MAX(4500,(J10+Z10)*12%)</f>
        <v/>
      </c>
      <c r="I10" s="248">
        <f>IF(AB10&gt;0,1500,0)</f>
        <v/>
      </c>
      <c r="J10" s="248">
        <f>SUM(K10:Y10)</f>
        <v/>
      </c>
      <c r="K10" s="248">
        <f>'TW-L'!N10</f>
        <v/>
      </c>
      <c r="L10" s="248" t="n">
        <v>0</v>
      </c>
      <c r="M10" s="248">
        <f>'TW-L'!AC10</f>
        <v/>
      </c>
      <c r="N10" s="248">
        <f>'TW-L'!O10</f>
        <v/>
      </c>
      <c r="O10" s="248">
        <f>'TW-L'!P10</f>
        <v/>
      </c>
      <c r="P10" s="248">
        <f>'TW-L'!Q10</f>
        <v/>
      </c>
      <c r="Q10" s="248">
        <f>'TW-L'!R10</f>
        <v/>
      </c>
      <c r="R10" s="248">
        <f>'TW-L'!R10</f>
        <v/>
      </c>
      <c r="S10" s="248">
        <f>'TW-L'!U10</f>
        <v/>
      </c>
      <c r="T10" s="248">
        <f>'TW-L'!V10</f>
        <v/>
      </c>
      <c r="U10" s="248">
        <f>'TW-L'!W10</f>
        <v/>
      </c>
      <c r="V10" s="248">
        <f>'TW-L'!X10</f>
        <v/>
      </c>
      <c r="W10" s="248">
        <f>'TW-L'!Y10</f>
        <v/>
      </c>
      <c r="X10" s="248">
        <f>'TW-L'!AA10</f>
        <v/>
      </c>
      <c r="Y10" s="248">
        <f>'TW-L'!AB10</f>
        <v/>
      </c>
      <c r="Z10" s="248">
        <f>SUM(AA10:AA10)</f>
        <v/>
      </c>
      <c r="AA10" s="248">
        <f>'TW-L'!BL10</f>
        <v/>
      </c>
      <c r="AB10" s="248">
        <f>SUM(AC10:AC10)</f>
        <v/>
      </c>
      <c r="AC10" s="249">
        <f>'TW-L'!Z10</f>
        <v/>
      </c>
    </row>
    <row r="11" customFormat="1" s="56">
      <c r="A11" s="77" t="n"/>
      <c r="B11" s="56">
        <f>'TW-L'!C11</f>
        <v/>
      </c>
      <c r="C11" s="56">
        <f>'TW EE'!D12</f>
        <v/>
      </c>
      <c r="E11" s="247">
        <f>SUM(F11:G11)+J11+Z11+AB11</f>
        <v/>
      </c>
      <c r="F11" s="106" t="n"/>
      <c r="G11" s="248">
        <f>SUM(H11:I11)</f>
        <v/>
      </c>
      <c r="H11" s="248">
        <f>MAX(4500,(J11+Z11)*12%)</f>
        <v/>
      </c>
      <c r="I11" s="248">
        <f>IF(AB11&gt;0,1500,0)</f>
        <v/>
      </c>
      <c r="J11" s="248">
        <f>SUM(K11:Y11)</f>
        <v/>
      </c>
      <c r="K11" s="248">
        <f>'TW-L'!N11</f>
        <v/>
      </c>
      <c r="L11" s="248" t="n">
        <v>0</v>
      </c>
      <c r="M11" s="248">
        <f>'TW-L'!AC11</f>
        <v/>
      </c>
      <c r="N11" s="248">
        <f>'TW-L'!O11</f>
        <v/>
      </c>
      <c r="O11" s="248">
        <f>'TW-L'!P11</f>
        <v/>
      </c>
      <c r="P11" s="248">
        <f>'TW-L'!Q11</f>
        <v/>
      </c>
      <c r="Q11" s="248">
        <f>'TW-L'!R11</f>
        <v/>
      </c>
      <c r="R11" s="248">
        <f>'TW-L'!R11</f>
        <v/>
      </c>
      <c r="S11" s="248">
        <f>'TW-L'!U11</f>
        <v/>
      </c>
      <c r="T11" s="248">
        <f>'TW-L'!V11</f>
        <v/>
      </c>
      <c r="U11" s="248">
        <f>'TW-L'!W11</f>
        <v/>
      </c>
      <c r="V11" s="248">
        <f>'TW-L'!X11</f>
        <v/>
      </c>
      <c r="W11" s="248">
        <f>'TW-L'!Y11</f>
        <v/>
      </c>
      <c r="X11" s="248">
        <f>'TW-L'!AA11</f>
        <v/>
      </c>
      <c r="Y11" s="248">
        <f>'TW-L'!AB11</f>
        <v/>
      </c>
      <c r="Z11" s="248">
        <f>SUM(AA11:AA11)</f>
        <v/>
      </c>
      <c r="AA11" s="248">
        <f>'TW-L'!BL11</f>
        <v/>
      </c>
      <c r="AB11" s="248">
        <f>SUM(AC11:AC11)</f>
        <v/>
      </c>
      <c r="AC11" s="249">
        <f>'TW-L'!Z11</f>
        <v/>
      </c>
    </row>
    <row r="12" customFormat="1" s="56">
      <c r="A12" s="77" t="n"/>
      <c r="E12" s="247" t="n"/>
      <c r="F12" s="248" t="n"/>
      <c r="G12" s="248" t="n"/>
      <c r="H12" s="248" t="n"/>
      <c r="I12" s="248" t="n"/>
      <c r="J12" s="248" t="n"/>
      <c r="K12" s="248" t="n"/>
      <c r="L12" s="248" t="n"/>
      <c r="M12" s="248" t="n"/>
      <c r="N12" s="248" t="n"/>
      <c r="O12" s="248" t="n"/>
      <c r="P12" s="248" t="n"/>
      <c r="Q12" s="248" t="n"/>
      <c r="R12" s="248" t="n"/>
      <c r="S12" s="248" t="n"/>
      <c r="T12" s="248" t="n"/>
      <c r="U12" s="248" t="n"/>
      <c r="V12" s="248" t="n"/>
      <c r="W12" s="248" t="n"/>
      <c r="X12" s="248" t="n"/>
      <c r="Y12" s="248" t="n"/>
      <c r="Z12" s="248" t="n"/>
      <c r="AA12" s="248" t="n"/>
      <c r="AB12" s="248" t="n"/>
      <c r="AC12" s="249" t="n"/>
    </row>
    <row r="13" customFormat="1" s="56">
      <c r="A13" s="77" t="n"/>
      <c r="E13" s="247" t="n"/>
      <c r="F13" s="248" t="n"/>
      <c r="G13" s="248" t="n"/>
      <c r="H13" s="248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9" t="n"/>
    </row>
    <row r="14" customFormat="1" s="56">
      <c r="A14" s="77" t="n"/>
      <c r="E14" s="247" t="n"/>
      <c r="F14" s="248" t="n"/>
      <c r="G14" s="248" t="n"/>
      <c r="H14" s="248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9" t="n"/>
    </row>
    <row r="15" customFormat="1" s="56">
      <c r="A15" s="77" t="n"/>
      <c r="E15" s="247" t="n"/>
      <c r="F15" s="248" t="n"/>
      <c r="G15" s="248" t="n"/>
      <c r="H15" s="248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9" t="n"/>
    </row>
    <row r="16" customFormat="1" s="56">
      <c r="A16" s="77" t="n"/>
      <c r="E16" s="247" t="n"/>
      <c r="F16" s="248" t="n"/>
      <c r="G16" s="248" t="n"/>
      <c r="H16" s="248" t="n"/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9" t="n"/>
    </row>
    <row r="17" ht="15" customFormat="1" customHeight="1" s="56">
      <c r="A17" s="77" t="n"/>
      <c r="E17" s="250" t="n"/>
      <c r="F17" s="251" t="n"/>
      <c r="G17" s="251" t="n"/>
      <c r="H17" s="251" t="n"/>
      <c r="I17" s="251" t="n"/>
      <c r="J17" s="251" t="n"/>
      <c r="K17" s="251" t="n"/>
      <c r="L17" s="251" t="n"/>
      <c r="M17" s="251" t="n"/>
      <c r="N17" s="251" t="n"/>
      <c r="O17" s="251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5" t="n"/>
    </row>
    <row r="20" ht="15" customHeight="1" s="205"/>
    <row r="21">
      <c r="A21" s="57" t="inlineStr">
        <is>
          <t>Other Fee</t>
        </is>
      </c>
      <c r="B21" s="110" t="n"/>
      <c r="C21" s="110" t="n"/>
      <c r="D21" s="110" t="n"/>
      <c r="E21" s="111">
        <f>SUM(E22:E26)</f>
        <v/>
      </c>
      <c r="F21" s="112" t="n">
        <v>0</v>
      </c>
      <c r="G21" s="113" t="n"/>
    </row>
    <row r="22">
      <c r="B22" s="110" t="inlineStr">
        <is>
          <t xml:space="preserve">Outstanding payment </t>
        </is>
      </c>
      <c r="C22" s="110" t="n"/>
      <c r="D22" s="110" t="n"/>
      <c r="E22" s="114" t="n"/>
      <c r="F22" s="115" t="n"/>
    </row>
    <row r="23">
      <c r="B23" s="110" t="inlineStr">
        <is>
          <t xml:space="preserve">FX difference </t>
        </is>
      </c>
      <c r="C23" s="110" t="n"/>
      <c r="D23" s="110" t="n"/>
      <c r="E23" s="114" t="n"/>
      <c r="F23" s="115" t="n">
        <v>0</v>
      </c>
    </row>
    <row r="24">
      <c r="B24" s="110" t="inlineStr">
        <is>
          <t>Interests of delay</t>
        </is>
      </c>
      <c r="C24" s="110" t="n"/>
      <c r="D24" s="110" t="n"/>
      <c r="E24" s="114" t="n"/>
      <c r="F24" s="115" t="n">
        <v>0</v>
      </c>
    </row>
    <row r="25">
      <c r="B25" s="110" t="inlineStr">
        <is>
          <t>Bank Charges</t>
        </is>
      </c>
      <c r="C25" s="110" t="n"/>
      <c r="D25" s="110" t="n"/>
      <c r="E25" s="114">
        <f>10</f>
        <v/>
      </c>
      <c r="F25" s="115" t="n"/>
    </row>
    <row r="26" ht="15" customHeight="1" s="205">
      <c r="B26" s="110" t="inlineStr">
        <is>
          <t xml:space="preserve">Invoice adjustment </t>
        </is>
      </c>
      <c r="C26" s="110" t="n"/>
      <c r="D26" s="110" t="n"/>
      <c r="E26" s="116" t="n">
        <v>0</v>
      </c>
      <c r="F26" s="117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87" workbookViewId="0">
      <pane xSplit="7" ySplit="6" topLeftCell="H7" activePane="bottomRight" state="frozen"/>
      <selection activeCell="A1" sqref="A1"/>
      <selection pane="topRight" activeCell="A1" sqref="A1"/>
      <selection pane="bottomLeft" activeCell="A1" sqref="A1"/>
      <selection pane="bottomRight" activeCell="E28" sqref="E28"/>
    </sheetView>
  </sheetViews>
  <sheetFormatPr baseColWidth="8" defaultColWidth="8.81666666666667" defaultRowHeight="14.25"/>
  <cols>
    <col width="13.3666666666667" customWidth="1" style="57" min="1" max="1"/>
    <col width="9.81666666666667" customWidth="1" style="205" min="2" max="2"/>
    <col width="10.45" customWidth="1" style="205" min="3" max="3"/>
    <col width="12.6333333333333" customWidth="1" style="205" min="4" max="4"/>
    <col width="8.18333333333333" customWidth="1" style="205" min="5" max="5"/>
    <col width="8.633333333333329" customWidth="1" style="205" min="6" max="6"/>
    <col width="9.449999999999999" customWidth="1" style="205" min="7" max="7"/>
    <col width="9.725" customWidth="1" style="205" min="8" max="10"/>
    <col width="10.1833333333333" customWidth="1" style="205" min="11" max="11"/>
    <col width="9.449999999999999" customWidth="1" style="205" min="12" max="12"/>
    <col width="10.3666666666667" customWidth="1" style="205" min="13" max="13"/>
    <col width="12.45" customWidth="1" style="205" min="14" max="14"/>
    <col width="8.18333333333333" customWidth="1" style="205" min="15" max="15"/>
    <col width="10.1833333333333" customWidth="1" style="205" min="16" max="16"/>
    <col width="13.3666666666667" customWidth="1" style="205" min="17" max="17"/>
    <col width="9.366666666666671" customWidth="1" style="205" min="18" max="18"/>
    <col width="9" customWidth="1" style="205" min="19" max="19"/>
    <col width="11.6333333333333" customWidth="1" style="205" min="20" max="20"/>
    <col width="8.366666666666671" customWidth="1" style="205" min="21" max="21"/>
    <col width="9.18333333333333" customWidth="1" style="205" min="22" max="22"/>
    <col width="10.1833333333333" customWidth="1" style="205" min="23" max="23"/>
    <col width="9.366666666666671" customWidth="1" style="205" min="24" max="24"/>
    <col width="7.63333333333333" customWidth="1" style="205" min="25" max="26"/>
    <col width="9.266666666666669" customWidth="1" style="205" min="27" max="27"/>
    <col width="9" customWidth="1" style="205" min="28" max="28"/>
    <col width="7.36666666666667" customWidth="1" style="205" min="29" max="29"/>
    <col width="7.725" customWidth="1" style="205" min="30" max="31"/>
    <col width="9.18333333333333" customWidth="1" style="205" min="32" max="32"/>
    <col width="7.725" customWidth="1" style="205" min="33" max="33"/>
  </cols>
  <sheetData>
    <row r="1" ht="15" customHeight="1" s="205">
      <c r="A1" s="57">
        <f>MID(CELL("filename",A1),FIND("]",CELL("filename",A1))+1,256)</f>
        <v/>
      </c>
      <c r="H1" s="58" t="n"/>
    </row>
    <row r="2" ht="15" customHeight="1" s="205">
      <c r="A2" s="59" t="n"/>
      <c r="B2" s="60" t="n"/>
      <c r="C2" s="60" t="n"/>
      <c r="D2" s="60" t="n"/>
      <c r="E2" s="60" t="n"/>
      <c r="F2" s="60" t="n"/>
      <c r="H2" s="61" t="inlineStr">
        <is>
          <t>EE</t>
        </is>
      </c>
    </row>
    <row r="3" customFormat="1" s="54">
      <c r="B3" s="62" t="inlineStr">
        <is>
          <t>Client Code</t>
        </is>
      </c>
      <c r="C3" s="62" t="inlineStr">
        <is>
          <t>Client Name</t>
        </is>
      </c>
      <c r="D3" s="62" t="inlineStr">
        <is>
          <t>EE Code</t>
        </is>
      </c>
      <c r="E3" s="62" t="inlineStr">
        <is>
          <t>EE Name</t>
        </is>
      </c>
      <c r="F3" s="252" t="inlineStr">
        <is>
          <t>Pay Period</t>
        </is>
      </c>
      <c r="G3" s="253" t="n"/>
      <c r="H3" s="62" t="inlineStr">
        <is>
          <t>Net
Income</t>
        </is>
      </c>
      <c r="I3" s="68" t="inlineStr">
        <is>
          <t>Gross Salary</t>
        </is>
      </c>
      <c r="J3" s="243" t="n"/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4" t="n"/>
      <c r="Y3" s="68" t="inlineStr">
        <is>
          <t>Expense Claim</t>
        </is>
      </c>
      <c r="Z3" s="244" t="n"/>
      <c r="AA3" s="68" t="inlineStr">
        <is>
          <t>Mandatory Contribution</t>
        </is>
      </c>
      <c r="AB3" s="243" t="n"/>
      <c r="AC3" s="243" t="n"/>
      <c r="AD3" s="243" t="n"/>
      <c r="AE3" s="244" t="n"/>
      <c r="AF3" s="68" t="inlineStr">
        <is>
          <t>Deduction</t>
        </is>
      </c>
      <c r="AG3" s="69" t="inlineStr">
        <is>
          <t>IIT</t>
        </is>
      </c>
    </row>
    <row r="4" ht="57.75" customFormat="1" customHeight="1" s="54">
      <c r="B4" s="245" t="n"/>
      <c r="C4" s="245" t="n"/>
      <c r="D4" s="245" t="n"/>
      <c r="E4" s="245" t="n"/>
      <c r="F4" s="71" t="inlineStr">
        <is>
          <t>From</t>
        </is>
      </c>
      <c r="G4" s="71" t="inlineStr">
        <is>
          <t>To</t>
        </is>
      </c>
      <c r="H4" s="245" t="n"/>
      <c r="I4" s="72" t="inlineStr">
        <is>
          <t>Subtotal</t>
        </is>
      </c>
      <c r="J4" s="72" t="inlineStr">
        <is>
          <t>Basic
Salary</t>
        </is>
      </c>
      <c r="K4" s="72" t="inlineStr">
        <is>
          <t>Salary
Adjustment</t>
        </is>
      </c>
      <c r="L4" s="72" t="inlineStr">
        <is>
          <t>OT</t>
        </is>
      </c>
      <c r="M4" s="72" t="inlineStr">
        <is>
          <t>Allw- Phone/ Communication</t>
        </is>
      </c>
      <c r="N4" s="72" t="inlineStr">
        <is>
          <t>Allw 
Transportation</t>
        </is>
      </c>
      <c r="O4" s="72" t="inlineStr">
        <is>
          <t>Back Pay</t>
        </is>
      </c>
      <c r="P4" s="72" t="inlineStr">
        <is>
          <t>伙食津貼  Allw Meal</t>
        </is>
      </c>
      <c r="Q4" s="72" t="inlineStr">
        <is>
          <t>Remote Stipend</t>
        </is>
      </c>
      <c r="R4" s="72" t="inlineStr">
        <is>
          <t>病假扣薪
Sick Leave
(half pay)</t>
        </is>
      </c>
      <c r="S4" s="72" t="inlineStr">
        <is>
          <t>NPL Hours</t>
        </is>
      </c>
      <c r="T4" s="72" t="inlineStr">
        <is>
          <t>No Pay Leave</t>
        </is>
      </c>
      <c r="U4" s="72" t="inlineStr">
        <is>
          <t>Bonus VB</t>
        </is>
      </c>
      <c r="V4" s="72" t="inlineStr">
        <is>
          <t>Incentives</t>
        </is>
      </c>
      <c r="W4" s="72" t="inlineStr">
        <is>
          <t>特休結算
Untaken AL</t>
        </is>
      </c>
      <c r="X4" s="72" t="inlineStr">
        <is>
          <t>資遣費
Severance</t>
        </is>
      </c>
      <c r="Y4" s="72" t="inlineStr">
        <is>
          <t>Subtotal</t>
        </is>
      </c>
      <c r="Z4" s="72" t="inlineStr">
        <is>
          <t>Expense
Claim</t>
        </is>
      </c>
      <c r="AA4" s="72" t="inlineStr">
        <is>
          <t>Subtotal</t>
        </is>
      </c>
      <c r="AB4" s="72" t="inlineStr">
        <is>
          <t>LI</t>
        </is>
      </c>
      <c r="AC4" s="72" t="inlineStr">
        <is>
          <t>Pension</t>
        </is>
      </c>
      <c r="AD4" s="72" t="inlineStr">
        <is>
          <t>HI</t>
        </is>
      </c>
      <c r="AE4" s="72" t="inlineStr">
        <is>
          <t>2G HI</t>
        </is>
      </c>
      <c r="AF4" s="246" t="n"/>
      <c r="AG4" s="254" t="n"/>
    </row>
    <row r="5" customFormat="1" s="54">
      <c r="A5" s="57" t="n"/>
      <c r="H5" s="74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6" t="n"/>
    </row>
    <row r="6" customFormat="1" s="56">
      <c r="A6" s="77" t="inlineStr">
        <is>
          <t>EOR/PEO(NTD)</t>
        </is>
      </c>
      <c r="H6" s="255" t="n"/>
      <c r="I6" s="256" t="n"/>
      <c r="J6" s="256" t="n"/>
      <c r="K6" s="256" t="n"/>
      <c r="L6" s="256" t="n"/>
      <c r="M6" s="256" t="n"/>
      <c r="N6" s="256" t="n"/>
      <c r="O6" s="256" t="n"/>
      <c r="P6" s="256" t="n"/>
      <c r="Q6" s="256" t="n"/>
      <c r="R6" s="256" t="n"/>
      <c r="S6" s="256" t="n"/>
      <c r="T6" s="256" t="n"/>
      <c r="U6" s="256" t="n"/>
      <c r="V6" s="256" t="n"/>
      <c r="W6" s="256" t="n"/>
      <c r="X6" s="256" t="n"/>
      <c r="Y6" s="256" t="n"/>
      <c r="Z6" s="256" t="n"/>
      <c r="AA6" s="256" t="n"/>
      <c r="AB6" s="256" t="n"/>
      <c r="AC6" s="256" t="n"/>
      <c r="AD6" s="256" t="n"/>
      <c r="AE6" s="256" t="n"/>
      <c r="AF6" s="256" t="n"/>
      <c r="AG6" s="257" t="n"/>
    </row>
    <row r="7" customFormat="1" s="56">
      <c r="A7" s="77" t="n"/>
      <c r="H7" s="247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8" t="n"/>
      <c r="AD7" s="248" t="n"/>
      <c r="AE7" s="248" t="n"/>
      <c r="AF7" s="248" t="n"/>
      <c r="AG7" s="249" t="n"/>
    </row>
    <row r="8" customFormat="1" s="56">
      <c r="A8" s="84" t="n"/>
      <c r="B8" s="85" t="n"/>
      <c r="C8" s="85" t="n"/>
      <c r="D8" s="85" t="n"/>
      <c r="E8" s="85" t="n"/>
      <c r="F8" s="85" t="n"/>
      <c r="G8" s="85" t="n"/>
      <c r="H8" s="247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8" t="n"/>
      <c r="AD8" s="248" t="n"/>
      <c r="AE8" s="248" t="n"/>
      <c r="AF8" s="248" t="n"/>
      <c r="AG8" s="249" t="n"/>
    </row>
    <row r="9" customFormat="1" s="56">
      <c r="A9" s="84" t="n"/>
      <c r="H9" s="247" t="n"/>
      <c r="I9" s="248" t="n"/>
      <c r="J9" s="248" t="n"/>
      <c r="K9" s="248" t="n"/>
      <c r="L9" s="248" t="n"/>
      <c r="M9" s="248" t="n"/>
      <c r="N9" s="248" t="n"/>
      <c r="O9" s="248" t="n"/>
      <c r="P9" s="248" t="n"/>
      <c r="Q9" s="248" t="n"/>
      <c r="R9" s="248" t="n"/>
      <c r="S9" s="248" t="n"/>
      <c r="T9" s="248" t="n"/>
      <c r="U9" s="248" t="n"/>
      <c r="V9" s="248" t="n"/>
      <c r="W9" s="248" t="n"/>
      <c r="X9" s="248" t="n"/>
      <c r="Y9" s="248" t="n"/>
      <c r="Z9" s="248" t="n"/>
      <c r="AA9" s="248" t="n"/>
      <c r="AB9" s="248" t="n"/>
      <c r="AC9" s="248" t="n"/>
      <c r="AD9" s="248" t="n"/>
      <c r="AE9" s="248" t="n"/>
      <c r="AF9" s="248" t="n"/>
      <c r="AG9" s="249" t="n"/>
    </row>
    <row r="10" customFormat="1" s="56">
      <c r="A10" s="77" t="n"/>
      <c r="B10" s="56">
        <f>PN!$B$9</f>
        <v/>
      </c>
      <c r="C10" s="56">
        <f>PN!$B$8</f>
        <v/>
      </c>
      <c r="D10" s="56" t="inlineStr">
        <is>
          <t>CUS1516-0001</t>
        </is>
      </c>
      <c r="E10" s="89">
        <f>'TW-L'!C9</f>
        <v/>
      </c>
      <c r="F10" s="85">
        <f>'TW-L'!$C$4</f>
        <v/>
      </c>
      <c r="G10" s="85">
        <f>'TW-L'!$C$5</f>
        <v/>
      </c>
      <c r="H10" s="247">
        <f>I10+Y10+AA10+AF10+AG10</f>
        <v/>
      </c>
      <c r="I10" s="248">
        <f>SUM(J10:X10)</f>
        <v/>
      </c>
      <c r="J10" s="248">
        <f>'TW-L'!N9</f>
        <v/>
      </c>
      <c r="K10" s="248" t="n">
        <v>0</v>
      </c>
      <c r="L10" s="248">
        <f>'TW-L'!AC9</f>
        <v/>
      </c>
      <c r="M10" s="248">
        <f>'TW-L'!O9</f>
        <v/>
      </c>
      <c r="N10" s="248">
        <f>'TW-L'!P9</f>
        <v/>
      </c>
      <c r="O10" s="248">
        <f>'TW-L'!Q9</f>
        <v/>
      </c>
      <c r="P10" s="248">
        <f>'TW-L'!R9</f>
        <v/>
      </c>
      <c r="Q10" s="248">
        <f>'TW-L'!X9+'TW-L'!Y9</f>
        <v/>
      </c>
      <c r="R10" s="248">
        <f>'TW-L'!U9</f>
        <v/>
      </c>
      <c r="S10" s="248">
        <f>'TW-L'!V9</f>
        <v/>
      </c>
      <c r="T10" s="248">
        <f>'TW-L'!W9</f>
        <v/>
      </c>
      <c r="U10" s="248">
        <f>'TW-L'!X9</f>
        <v/>
      </c>
      <c r="V10" s="248">
        <f>'TW-L'!Y9</f>
        <v/>
      </c>
      <c r="W10" s="248">
        <f>'TW-L'!AA9</f>
        <v/>
      </c>
      <c r="X10" s="248">
        <f>'TW-L'!AB9</f>
        <v/>
      </c>
      <c r="Y10" s="248">
        <f>SUM(Z10:Z10)</f>
        <v/>
      </c>
      <c r="Z10" s="248">
        <f>'TW-L'!Z9</f>
        <v/>
      </c>
      <c r="AA10" s="248">
        <f>SUM(AB10:AE10)</f>
        <v/>
      </c>
      <c r="AB10" s="248">
        <f>'TW-L'!AR9+'TW-L'!AS9</f>
        <v/>
      </c>
      <c r="AC10" s="248">
        <f>'TW-L'!AT9+'TW-L'!AU9</f>
        <v/>
      </c>
      <c r="AD10" s="248">
        <f>'TW-L'!AV9+'TW-L'!AW9</f>
        <v/>
      </c>
      <c r="AE10" s="248">
        <f>'TW-L'!AY9</f>
        <v/>
      </c>
      <c r="AF10" s="248" t="n">
        <v>0</v>
      </c>
      <c r="AG10" s="249">
        <f>'TW-L'!AQ9</f>
        <v/>
      </c>
    </row>
    <row r="11" customFormat="1" s="56">
      <c r="A11" s="77" t="n"/>
      <c r="B11" s="56">
        <f>PN!$B$9</f>
        <v/>
      </c>
      <c r="C11" s="56">
        <f>PN!B8</f>
        <v/>
      </c>
      <c r="D11" s="56" t="inlineStr">
        <is>
          <t>CUS1516-0002</t>
        </is>
      </c>
      <c r="E11" s="89">
        <f>'TW-L'!C10</f>
        <v/>
      </c>
      <c r="F11" s="85">
        <f>'TW-L'!$C$4</f>
        <v/>
      </c>
      <c r="G11" s="85">
        <f>'TW-L'!$C$5</f>
        <v/>
      </c>
      <c r="H11" s="247">
        <f>I11+Y11+AA11+AF11+AG11</f>
        <v/>
      </c>
      <c r="I11" s="248">
        <f>SUM(J11:X11)</f>
        <v/>
      </c>
      <c r="J11" s="248">
        <f>'TW-L'!N10</f>
        <v/>
      </c>
      <c r="K11" s="248" t="n">
        <v>0</v>
      </c>
      <c r="L11" s="248">
        <f>'TW-L'!AC10</f>
        <v/>
      </c>
      <c r="M11" s="248">
        <f>'TW-L'!O10</f>
        <v/>
      </c>
      <c r="N11" s="248">
        <f>'TW-L'!P10</f>
        <v/>
      </c>
      <c r="O11" s="248">
        <f>'TW-L'!Q10</f>
        <v/>
      </c>
      <c r="P11" s="248">
        <f>'TW-L'!R10</f>
        <v/>
      </c>
      <c r="Q11" s="248">
        <f>'TW-L'!X10+'TW-L'!Y10</f>
        <v/>
      </c>
      <c r="R11" s="248">
        <f>'TW-L'!U10</f>
        <v/>
      </c>
      <c r="S11" s="248">
        <f>'TW-L'!V10</f>
        <v/>
      </c>
      <c r="T11" s="248">
        <f>'TW-L'!W10</f>
        <v/>
      </c>
      <c r="U11" s="248">
        <f>'TW-L'!X10</f>
        <v/>
      </c>
      <c r="V11" s="248">
        <f>'TW-L'!Y10</f>
        <v/>
      </c>
      <c r="W11" s="248">
        <f>'TW-L'!AA10</f>
        <v/>
      </c>
      <c r="X11" s="248">
        <f>'TW-L'!AB10</f>
        <v/>
      </c>
      <c r="Y11" s="248">
        <f>SUM(Z11:Z11)</f>
        <v/>
      </c>
      <c r="Z11" s="248">
        <f>'TW-L'!Z10</f>
        <v/>
      </c>
      <c r="AA11" s="248">
        <f>SUM(AB11:AE11)</f>
        <v/>
      </c>
      <c r="AB11" s="248">
        <f>'TW-L'!AR10+'TW-L'!AS10</f>
        <v/>
      </c>
      <c r="AC11" s="248">
        <f>'TW-L'!AT10+'TW-L'!AU10</f>
        <v/>
      </c>
      <c r="AD11" s="248">
        <f>'TW-L'!AV10+'TW-L'!AW10</f>
        <v/>
      </c>
      <c r="AE11" s="248">
        <f>'TW-L'!AY10</f>
        <v/>
      </c>
      <c r="AF11" s="248" t="n">
        <v>0</v>
      </c>
      <c r="AG11" s="249">
        <f>'TW-L'!AQ10</f>
        <v/>
      </c>
    </row>
    <row r="12" customFormat="1" s="56">
      <c r="A12" s="77" t="n"/>
      <c r="B12" s="56">
        <f>PN!$B$9</f>
        <v/>
      </c>
      <c r="C12" s="56">
        <f>PN!B9</f>
        <v/>
      </c>
      <c r="D12" s="56" t="inlineStr">
        <is>
          <t>CUS1516-0003</t>
        </is>
      </c>
      <c r="E12" s="89">
        <f>'TW-L'!C11</f>
        <v/>
      </c>
      <c r="F12" s="85">
        <f>'TW-L'!$C$4</f>
        <v/>
      </c>
      <c r="G12" s="85">
        <f>'TW-L'!$C$5</f>
        <v/>
      </c>
      <c r="H12" s="247">
        <f>I12+Y12+AA12+AF12+AG12</f>
        <v/>
      </c>
      <c r="I12" s="248">
        <f>SUM(J12:X12)</f>
        <v/>
      </c>
      <c r="J12" s="248">
        <f>'TW-L'!N11</f>
        <v/>
      </c>
      <c r="K12" s="248" t="n">
        <v>0</v>
      </c>
      <c r="L12" s="248">
        <f>'TW-L'!AC11</f>
        <v/>
      </c>
      <c r="M12" s="248">
        <f>'TW-L'!O11</f>
        <v/>
      </c>
      <c r="N12" s="248">
        <f>'TW-L'!P11</f>
        <v/>
      </c>
      <c r="O12" s="248">
        <f>'TW-L'!Q11</f>
        <v/>
      </c>
      <c r="P12" s="248">
        <f>'TW-L'!R11</f>
        <v/>
      </c>
      <c r="Q12" s="248">
        <f>'TW-L'!X11+'TW-L'!Y11</f>
        <v/>
      </c>
      <c r="R12" s="248">
        <f>'TW-L'!U11</f>
        <v/>
      </c>
      <c r="S12" s="248">
        <f>'TW-L'!V11</f>
        <v/>
      </c>
      <c r="T12" s="248">
        <f>'TW-L'!W11</f>
        <v/>
      </c>
      <c r="U12" s="248">
        <f>'TW-L'!X11</f>
        <v/>
      </c>
      <c r="V12" s="248">
        <f>'TW-L'!Y11</f>
        <v/>
      </c>
      <c r="W12" s="248">
        <f>'TW-L'!AA11</f>
        <v/>
      </c>
      <c r="X12" s="248">
        <f>'TW-L'!AB11</f>
        <v/>
      </c>
      <c r="Y12" s="248">
        <f>SUM(Z12:Z12)</f>
        <v/>
      </c>
      <c r="Z12" s="248">
        <f>'TW-L'!Z11</f>
        <v/>
      </c>
      <c r="AA12" s="248">
        <f>SUM(AB12:AE12)</f>
        <v/>
      </c>
      <c r="AB12" s="248">
        <f>'TW-L'!AR11+'TW-L'!AS11</f>
        <v/>
      </c>
      <c r="AC12" s="248">
        <f>'TW-L'!AT11+'TW-L'!AU11</f>
        <v/>
      </c>
      <c r="AD12" s="248">
        <f>'TW-L'!AV11+'TW-L'!AW11</f>
        <v/>
      </c>
      <c r="AE12" s="248">
        <f>'TW-L'!AY11</f>
        <v/>
      </c>
      <c r="AF12" s="248" t="n">
        <v>0</v>
      </c>
      <c r="AG12" s="249">
        <f>'TW-L'!AQ11</f>
        <v/>
      </c>
    </row>
    <row r="13" customFormat="1" s="56">
      <c r="A13" s="77" t="n"/>
      <c r="H13" s="247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8" t="n"/>
      <c r="AD13" s="248" t="n"/>
      <c r="AE13" s="248" t="n"/>
      <c r="AF13" s="248" t="n"/>
      <c r="AG13" s="249" t="n"/>
    </row>
    <row r="14" customFormat="1" s="56">
      <c r="A14" s="77" t="n"/>
      <c r="H14" s="247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8" t="n"/>
      <c r="AD14" s="248" t="n"/>
      <c r="AE14" s="248" t="n"/>
      <c r="AF14" s="248" t="n"/>
      <c r="AG14" s="249" t="n"/>
    </row>
    <row r="15" customFormat="1" s="56">
      <c r="A15" s="77" t="n"/>
      <c r="H15" s="247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8" t="n"/>
      <c r="AD15" s="248" t="n"/>
      <c r="AE15" s="248" t="n"/>
      <c r="AF15" s="248" t="n"/>
      <c r="AG15" s="249" t="n"/>
    </row>
    <row r="16" customFormat="1" s="56">
      <c r="A16" s="77" t="n"/>
      <c r="H16" s="247" t="n"/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8" t="n"/>
      <c r="AD16" s="248" t="n"/>
      <c r="AE16" s="248" t="n"/>
      <c r="AF16" s="248" t="n"/>
      <c r="AG16" s="249" t="n"/>
    </row>
    <row r="17" customFormat="1" s="56">
      <c r="A17" s="77" t="n"/>
      <c r="H17" s="247" t="n"/>
      <c r="I17" s="248" t="n"/>
      <c r="J17" s="248" t="n"/>
      <c r="K17" s="248" t="n"/>
      <c r="L17" s="248" t="n"/>
      <c r="M17" s="248" t="n"/>
      <c r="N17" s="248" t="n"/>
      <c r="O17" s="248" t="n"/>
      <c r="P17" s="248" t="n"/>
      <c r="Q17" s="248" t="n"/>
      <c r="R17" s="248" t="n"/>
      <c r="S17" s="248" t="n"/>
      <c r="T17" s="248" t="n"/>
      <c r="U17" s="248" t="n"/>
      <c r="V17" s="248" t="n"/>
      <c r="W17" s="248" t="n"/>
      <c r="X17" s="248" t="n"/>
      <c r="Y17" s="248" t="n"/>
      <c r="Z17" s="248" t="n"/>
      <c r="AA17" s="248" t="n"/>
      <c r="AB17" s="248" t="n"/>
      <c r="AC17" s="248" t="n"/>
      <c r="AD17" s="248" t="n"/>
      <c r="AE17" s="248" t="n"/>
      <c r="AF17" s="248" t="n"/>
      <c r="AG17" s="249" t="n"/>
    </row>
    <row r="18" customFormat="1" s="56">
      <c r="A18" s="77" t="n"/>
      <c r="H18" s="90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  <c r="T18" s="91" t="n"/>
      <c r="U18" s="91" t="n"/>
      <c r="V18" s="91" t="n"/>
      <c r="W18" s="91" t="n"/>
      <c r="X18" s="91" t="n"/>
      <c r="Y18" s="91" t="n"/>
      <c r="Z18" s="91" t="n"/>
      <c r="AA18" s="91" t="n"/>
      <c r="AB18" s="91" t="n"/>
      <c r="AC18" s="91" t="n"/>
      <c r="AD18" s="91" t="n"/>
      <c r="AE18" s="91" t="n"/>
      <c r="AF18" s="91" t="n"/>
      <c r="AG18" s="92" t="n"/>
    </row>
    <row r="19" ht="15" customFormat="1" customHeight="1" s="56">
      <c r="A19" s="77" t="n"/>
      <c r="H19" s="93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4" t="n"/>
      <c r="AD19" s="94" t="n"/>
      <c r="AE19" s="94" t="n"/>
      <c r="AF19" s="94" t="n"/>
      <c r="AG19" s="95" t="n"/>
    </row>
  </sheetData>
  <mergeCells count="11">
    <mergeCell ref="F3:G3"/>
    <mergeCell ref="AA3:AE3"/>
    <mergeCell ref="Y3:Z3"/>
    <mergeCell ref="C3:C4"/>
    <mergeCell ref="B3:B4"/>
    <mergeCell ref="AF3:AF4"/>
    <mergeCell ref="E3:E4"/>
    <mergeCell ref="AG3:AG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D18" sqref="D18"/>
    </sheetView>
  </sheetViews>
  <sheetFormatPr baseColWidth="8" defaultColWidth="10.1833333333333" defaultRowHeight="12.75"/>
  <cols>
    <col width="8.18333333333333" customWidth="1" style="3" min="1" max="1"/>
    <col width="9.81666666666667" customWidth="1" style="3" min="2" max="2"/>
    <col width="10" customWidth="1" style="3" min="3" max="3"/>
    <col width="7.63333333333333" customWidth="1" style="3" min="4" max="4"/>
    <col width="9.18333333333333" customWidth="1" style="3" min="5" max="5"/>
    <col outlineLevel="1" width="8" customWidth="1" style="3" min="6" max="6"/>
    <col outlineLevel="1" width="6" customWidth="1" style="3" min="7" max="7"/>
    <col outlineLevel="1" width="10" customWidth="1" style="3" min="8" max="12"/>
    <col outlineLevel="1" width="7.36666666666667" customWidth="1" style="3" min="13" max="13"/>
    <col outlineLevel="1" width="9.81666666666667" customWidth="1" style="3" min="14" max="14"/>
    <col outlineLevel="1" width="10.45" customWidth="1" style="3" min="15" max="15"/>
    <col outlineLevel="1" width="10.1833333333333" customWidth="1" style="3" min="16" max="16"/>
    <col outlineLevel="1" width="8" customWidth="1" style="3" min="17" max="17"/>
    <col outlineLevel="1" width="8.81666666666667" customWidth="1" style="3" min="18" max="19"/>
    <col outlineLevel="1" width="9" customWidth="1" style="3" min="20" max="23"/>
    <col outlineLevel="1" width="8.18333333333333" customWidth="1" style="3" min="24" max="24"/>
    <col outlineLevel="1" width="8.81666666666667" customWidth="1" style="3" min="25" max="25"/>
    <col width="10.1833333333333" customWidth="1" style="3" min="26" max="26"/>
    <col width="9.633333333333329" customWidth="1" style="3" min="27" max="27"/>
    <col width="9" customWidth="1" style="3" min="28" max="28"/>
    <col width="8.366666666666671" customWidth="1" style="3" min="29" max="29"/>
    <col width="8.449999999999999" customWidth="1" style="3" min="30" max="30"/>
    <col width="10" customWidth="1" style="3" min="31" max="31"/>
    <col width="8.449999999999999" customWidth="1" style="3" min="32" max="32"/>
    <col width="10" customWidth="1" style="3" min="33" max="33"/>
    <col width="6.36666666666667" customWidth="1" style="3" min="34" max="34"/>
    <col width="10" customWidth="1" style="258" min="35" max="35"/>
    <col width="8.449999999999999" customWidth="1" style="258" min="36" max="36"/>
    <col width="10" customWidth="1" style="258" min="37" max="37"/>
    <col width="11.45" customWidth="1" style="3" min="38" max="38"/>
    <col width="11.6333333333333" customWidth="1" style="3" min="39" max="39"/>
    <col width="11.45" customWidth="1" style="3" min="40" max="40"/>
    <col width="11.1833333333333" customWidth="1" style="3" min="41" max="41"/>
    <col outlineLevel="1" width="10" customWidth="1" style="258" min="42" max="42"/>
    <col outlineLevel="1" width="10.3666666666667" customWidth="1" style="3" min="43" max="43"/>
    <col width="8.633333333333329" customWidth="1" style="3" min="44" max="44"/>
    <col outlineLevel="1" width="8.633333333333329" customWidth="1" style="258" min="45" max="45"/>
    <col outlineLevel="1" width="9.18333333333333" customWidth="1" style="3" min="46" max="46"/>
    <col outlineLevel="1" width="11.1833333333333" customWidth="1" style="3" min="47" max="47"/>
    <col width="8.633333333333329" customWidth="1" style="258" min="48" max="48"/>
    <col width="8.633333333333329" customWidth="1" style="3" min="49" max="51"/>
    <col outlineLevel="1" width="7.36666666666667" customWidth="1" style="3" min="52" max="52"/>
    <col width="9.18333333333333" customWidth="1" style="3" min="53" max="53"/>
    <col outlineLevel="1" width="8.633333333333329" customWidth="1" style="3" min="54" max="55"/>
    <col width="9.18333333333333" customWidth="1" style="3" min="56" max="56"/>
    <col width="8.633333333333329" customWidth="1" style="3" min="57" max="57"/>
    <col outlineLevel="1" width="8.633333333333329" customWidth="1" style="3" min="58" max="58"/>
    <col width="8.633333333333329" customWidth="1" style="3" min="59" max="61"/>
    <col outlineLevel="1" width="5.36666666666667" customWidth="1" style="3" min="62" max="62"/>
    <col outlineLevel="1" width="10.1833333333333" customWidth="1" style="3" min="63" max="63"/>
    <col outlineLevel="1" width="8.633333333333329" customWidth="1" style="3" min="64" max="64"/>
    <col outlineLevel="1" width="9.81666666666667" customWidth="1" style="258" min="65" max="65"/>
    <col width="8.81666666666667" customWidth="1" style="3" min="66" max="66"/>
    <col width="6.81666666666667" customWidth="1" style="3" min="67" max="67"/>
    <col width="10.1833333333333" customWidth="1" style="3" min="68" max="89"/>
    <col width="10.1833333333333" customWidth="1" style="5" min="90" max="90"/>
    <col width="10.1833333333333" customWidth="1" style="3" min="91" max="16384"/>
  </cols>
  <sheetData>
    <row r="2">
      <c r="A2" s="6" t="inlineStr">
        <is>
          <t>NNRoad</t>
        </is>
      </c>
      <c r="D2" s="6" t="n"/>
    </row>
    <row r="3" ht="15.75" customHeight="1" s="205">
      <c r="A3" s="7" t="inlineStr">
        <is>
          <t>Payroll for the month of</t>
        </is>
      </c>
      <c r="C3" s="8" t="n"/>
      <c r="D3" s="8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9" t="inlineStr">
        <is>
          <t>Overtime Payment</t>
        </is>
      </c>
      <c r="AE3" s="259" t="n"/>
      <c r="AF3" s="259" t="n"/>
      <c r="AG3" s="259" t="n"/>
      <c r="AH3" s="259" t="n"/>
      <c r="AI3" s="259" t="n"/>
      <c r="AJ3" s="10" t="n"/>
      <c r="AK3" s="1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5" customHeight="1" s="205">
      <c r="A4" s="0" t="n"/>
      <c r="B4" s="11" t="inlineStr">
        <is>
          <t>Start Date&gt;</t>
        </is>
      </c>
      <c r="C4" s="12" t="n"/>
      <c r="D4" s="12" t="n"/>
      <c r="E4" s="260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.75" customHeight="1" s="205">
      <c r="A5" s="0" t="n"/>
      <c r="B5" s="11" t="inlineStr">
        <is>
          <t>End Date&gt;</t>
        </is>
      </c>
      <c r="C5" s="12" t="n"/>
      <c r="D5" s="12" t="n"/>
      <c r="E5" s="260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1">
      <c r="D6" s="3" t="n"/>
      <c r="M6" s="261" t="inlineStr">
        <is>
          <t>Pay Items</t>
        </is>
      </c>
      <c r="N6" s="262" t="n"/>
      <c r="O6" s="262" t="n"/>
      <c r="P6" s="262" t="n"/>
      <c r="Q6" s="262" t="n"/>
      <c r="R6" s="262" t="n"/>
      <c r="S6" s="262" t="n"/>
      <c r="T6" s="262" t="n"/>
      <c r="U6" s="262" t="n"/>
      <c r="V6" s="262" t="n"/>
      <c r="W6" s="262" t="n"/>
      <c r="X6" s="262" t="n"/>
      <c r="Y6" s="262" t="n"/>
      <c r="Z6" s="262" t="n"/>
      <c r="AA6" s="262" t="n"/>
      <c r="AB6" s="262" t="n"/>
      <c r="AC6" s="263" t="n"/>
      <c r="AD6" s="14" t="inlineStr">
        <is>
          <t xml:space="preserve">Overtime Details </t>
        </is>
      </c>
      <c r="AE6" s="262" t="n"/>
      <c r="AF6" s="262" t="n"/>
      <c r="AG6" s="262" t="n"/>
      <c r="AH6" s="262" t="n"/>
      <c r="AI6" s="262" t="n"/>
      <c r="AJ6" s="262" t="n"/>
      <c r="AK6" s="262" t="n"/>
      <c r="AL6" s="17" t="inlineStr">
        <is>
          <t>Social Insurance Grading</t>
        </is>
      </c>
      <c r="AM6" s="264" t="n"/>
      <c r="AN6" s="264" t="n"/>
      <c r="AO6" s="264" t="n"/>
      <c r="AP6" s="265" t="n"/>
      <c r="AQ6" s="261" t="inlineStr">
        <is>
          <t>EE Dedution</t>
        </is>
      </c>
      <c r="AR6" s="262" t="n"/>
      <c r="AS6" s="262" t="n"/>
      <c r="AT6" s="262" t="n"/>
      <c r="AU6" s="262" t="n"/>
      <c r="AV6" s="262" t="n"/>
      <c r="AW6" s="262" t="n"/>
      <c r="AX6" s="262" t="n"/>
      <c r="AY6" s="263" t="n"/>
      <c r="AZ6" s="20" t="n"/>
      <c r="BA6" s="21" t="n"/>
      <c r="BB6" s="266" t="inlineStr">
        <is>
          <t>ER Insurance contribution</t>
        </is>
      </c>
      <c r="BC6" s="262" t="n"/>
      <c r="BD6" s="262" t="n"/>
      <c r="BE6" s="262" t="n"/>
      <c r="BF6" s="262" t="n"/>
      <c r="BG6" s="262" t="n"/>
      <c r="BH6" s="262" t="n"/>
      <c r="BI6" s="262" t="n"/>
      <c r="BJ6" s="263" t="n"/>
      <c r="BK6" s="25" t="n"/>
    </row>
    <row r="7" ht="57.5" customFormat="1" customHeight="1" s="2">
      <c r="A7" s="26" t="inlineStr">
        <is>
          <t>BU</t>
        </is>
      </c>
      <c r="B7" s="27" t="inlineStr">
        <is>
          <t>CN Name</t>
        </is>
      </c>
      <c r="C7" s="27" t="inlineStr">
        <is>
          <t>EN Name</t>
        </is>
      </c>
      <c r="D7" s="28" t="inlineStr">
        <is>
          <t xml:space="preserve">Position </t>
        </is>
      </c>
      <c r="E7" s="27" t="inlineStr">
        <is>
          <t>Start Date</t>
        </is>
      </c>
      <c r="F7" s="27" t="inlineStr">
        <is>
          <t>End Date</t>
        </is>
      </c>
      <c r="G7" s="27" t="inlineStr">
        <is>
          <t>FT/PT</t>
        </is>
      </c>
      <c r="H7" s="29" t="inlineStr">
        <is>
          <t>Full Pay/Hourly Rate</t>
        </is>
      </c>
      <c r="I7" s="30" t="inlineStr">
        <is>
          <t>Monthly
Basic Salary</t>
        </is>
      </c>
      <c r="J7" s="30" t="inlineStr">
        <is>
          <t>Allw- Phone/ Communication</t>
        </is>
      </c>
      <c r="K7" s="30" t="inlineStr">
        <is>
          <t>Allw 
Transportation</t>
        </is>
      </c>
      <c r="L7" s="30" t="inlineStr">
        <is>
          <t>Allw Meal</t>
        </is>
      </c>
      <c r="M7" s="29" t="inlineStr">
        <is>
          <t>Employment day/Hours Worked</t>
        </is>
      </c>
      <c r="N7" s="27" t="inlineStr">
        <is>
          <t>薪資
Basic Salary</t>
        </is>
      </c>
      <c r="O7" s="27" t="inlineStr">
        <is>
          <t>Allw- Phone/ Communication</t>
        </is>
      </c>
      <c r="P7" s="27" t="inlineStr">
        <is>
          <t>Allw 
Transportation</t>
        </is>
      </c>
      <c r="Q7" s="27" t="inlineStr">
        <is>
          <t>Back Pay</t>
        </is>
      </c>
      <c r="R7" s="27" t="inlineStr">
        <is>
          <t>伙食津貼Allw Meal</t>
        </is>
      </c>
      <c r="S7" s="31" t="inlineStr">
        <is>
          <t>Remote Stipend</t>
        </is>
      </c>
      <c r="T7" s="27" t="inlineStr">
        <is>
          <t>病假時數 Sick Leave Hours</t>
        </is>
      </c>
      <c r="U7" s="27" t="inlineStr">
        <is>
          <t>病假扣薪
Sick Leave
(half pay)</t>
        </is>
      </c>
      <c r="V7" s="32" t="inlineStr">
        <is>
          <t>NPL Hours</t>
        </is>
      </c>
      <c r="W7" s="32" t="inlineStr">
        <is>
          <t>No Pay Leave</t>
        </is>
      </c>
      <c r="X7" s="27" t="inlineStr">
        <is>
          <t>Bonus VB</t>
        </is>
      </c>
      <c r="Y7" s="27" t="inlineStr">
        <is>
          <t>Incentives</t>
        </is>
      </c>
      <c r="Z7" s="27" t="inlineStr">
        <is>
          <t>報帳
Reimb Claim</t>
        </is>
      </c>
      <c r="AA7" s="27" t="inlineStr">
        <is>
          <t>特休結算
Untaken AL</t>
        </is>
      </c>
      <c r="AB7" s="27" t="inlineStr">
        <is>
          <t>資遣費
Severance</t>
        </is>
      </c>
      <c r="AC7" s="27" t="inlineStr">
        <is>
          <t>加班費
Overtime Payment</t>
        </is>
      </c>
      <c r="AD7" s="27" t="inlineStr">
        <is>
          <t>Hr (1.34x)</t>
        </is>
      </c>
      <c r="AE7" s="27" t="inlineStr">
        <is>
          <t>OT Payment (1.34x)</t>
        </is>
      </c>
      <c r="AF7" s="27" t="inlineStr">
        <is>
          <t>Hr (1.67x)</t>
        </is>
      </c>
      <c r="AG7" s="27" t="inlineStr">
        <is>
          <t>OT Payment (1.67x)</t>
        </is>
      </c>
      <c r="AH7" s="27" t="inlineStr">
        <is>
          <t>Hr (1x)</t>
        </is>
      </c>
      <c r="AI7" s="27" t="inlineStr">
        <is>
          <t>OT Payment (1x)</t>
        </is>
      </c>
      <c r="AJ7" s="27" t="inlineStr">
        <is>
          <t>Hr (2.67x)</t>
        </is>
      </c>
      <c r="AK7" s="27" t="inlineStr">
        <is>
          <t>OT Payment (2.67x)</t>
        </is>
      </c>
      <c r="AL7" s="27" t="inlineStr">
        <is>
          <t>勞保級距
Insured Salary Grading - LI</t>
        </is>
      </c>
      <c r="AM7" s="27" t="inlineStr">
        <is>
          <t>勞退級距 Pension Salary Grading</t>
        </is>
      </c>
      <c r="AN7" s="27" t="inlineStr">
        <is>
          <t>健保投保級距Insured Salary Grading - HI</t>
        </is>
      </c>
      <c r="AO7" s="27" t="inlineStr">
        <is>
          <t>健保眷屬
HI Dependent (person)</t>
        </is>
      </c>
      <c r="AP7" s="27" t="inlineStr">
        <is>
          <t>勞保投保天數
LI Days</t>
        </is>
      </c>
      <c r="AQ7" s="27" t="inlineStr">
        <is>
          <t>所得稅代扣
Withholding Tax</t>
        </is>
      </c>
      <c r="AR7" s="27" t="inlineStr">
        <is>
          <t>勞保自付
LI EE</t>
        </is>
      </c>
      <c r="AS7" s="27" t="inlineStr">
        <is>
          <t>勞保自付(調整)
LI EE 1T</t>
        </is>
      </c>
      <c r="AT7" s="27" t="inlineStr">
        <is>
          <t>勞退自提
Pension EE</t>
        </is>
      </c>
      <c r="AU7" s="27" t="inlineStr">
        <is>
          <t>勞退自提 (調整)
Pension EE 1T</t>
        </is>
      </c>
      <c r="AV7" s="27" t="inlineStr">
        <is>
          <t>健保自付
HI EE</t>
        </is>
      </c>
      <c r="AW7" s="27" t="inlineStr">
        <is>
          <t>健保自付(調整)
HI EE 1T</t>
        </is>
      </c>
      <c r="AX7" s="33" t="inlineStr">
        <is>
          <t>健保眷屬
HI
Dep</t>
        </is>
      </c>
      <c r="AY7" s="27" t="inlineStr">
        <is>
          <t>二代健保
自付
2G HI EE</t>
        </is>
      </c>
      <c r="AZ7" s="34" t="inlineStr">
        <is>
          <t>Gross Taxable Income</t>
        </is>
      </c>
      <c r="BA7" s="34" t="inlineStr">
        <is>
          <t>Net Salary</t>
        </is>
      </c>
      <c r="BB7" s="27" t="inlineStr">
        <is>
          <t>勞保雇主 
LI ER</t>
        </is>
      </c>
      <c r="BC7" s="27" t="inlineStr">
        <is>
          <t>勞保雇主
LI ER
1T</t>
        </is>
      </c>
      <c r="BD7" s="27" t="inlineStr">
        <is>
          <t>勞退雇主
Pension ER 6%</t>
        </is>
      </c>
      <c r="BE7" s="27" t="inlineStr">
        <is>
          <t>勞退雇主
Pension 
ER 1T</t>
        </is>
      </c>
      <c r="BF7" s="27" t="inlineStr">
        <is>
          <t>健保雇主
HI ER</t>
        </is>
      </c>
      <c r="BG7" s="27" t="inlineStr">
        <is>
          <t>健保雇主
HI ER
1T</t>
        </is>
      </c>
      <c r="BH7" s="27" t="inlineStr">
        <is>
          <t>二代健保
雇主
2G HI ER</t>
        </is>
      </c>
      <c r="BI7" s="27" t="inlineStr">
        <is>
          <t>二代健保
雇主
2G HI ER 
1T</t>
        </is>
      </c>
      <c r="BJ7" s="27" t="inlineStr">
        <is>
          <t>團保
GI</t>
        </is>
      </c>
      <c r="BK7" s="34" t="inlineStr">
        <is>
          <t>Gross Salary
(payable)</t>
        </is>
      </c>
      <c r="BL7" s="34" t="inlineStr">
        <is>
          <t>ER Insurance</t>
        </is>
      </c>
      <c r="BM7" s="34" t="inlineStr">
        <is>
          <t>Service Fee</t>
        </is>
      </c>
      <c r="BN7" s="34" t="inlineStr">
        <is>
          <t>Operation 
Fee</t>
        </is>
      </c>
      <c r="BO7" s="35" t="inlineStr">
        <is>
          <t>Total</t>
        </is>
      </c>
    </row>
    <row r="8" ht="14.25" customHeight="1" s="205">
      <c r="A8" s="36" t="n"/>
      <c r="B8" s="37" t="n"/>
      <c r="C8" s="37" t="n"/>
      <c r="D8" s="37" t="n"/>
      <c r="E8" s="37" t="n"/>
      <c r="F8" s="37" t="n"/>
      <c r="G8" s="38" t="n"/>
      <c r="H8" s="39">
        <f>SUM(H9:H14)</f>
        <v/>
      </c>
      <c r="I8" s="39">
        <f>SUM(I9:I14)</f>
        <v/>
      </c>
      <c r="J8" s="39">
        <f>SUM(J9:J14)</f>
        <v/>
      </c>
      <c r="K8" s="39">
        <f>SUM(K9:K14)</f>
        <v/>
      </c>
      <c r="L8" s="39">
        <f>SUM(L9:L14)</f>
        <v/>
      </c>
      <c r="M8" s="39">
        <f>SUM(M9:M14)</f>
        <v/>
      </c>
      <c r="N8" s="39">
        <f>SUM(N9:N14)</f>
        <v/>
      </c>
      <c r="O8" s="39">
        <f>SUM(O9:O14)</f>
        <v/>
      </c>
      <c r="P8" s="39">
        <f>SUM(P9:P14)</f>
        <v/>
      </c>
      <c r="Q8" s="39">
        <f>SUM(Q9:Q14)</f>
        <v/>
      </c>
      <c r="R8" s="40">
        <f>SUM(R9:R14)</f>
        <v/>
      </c>
      <c r="S8" s="40">
        <f>SUM(S9:S14)</f>
        <v/>
      </c>
      <c r="T8" s="40">
        <f>SUM(T9:T14)</f>
        <v/>
      </c>
      <c r="U8" s="40">
        <f>SUM(U9:U14)</f>
        <v/>
      </c>
      <c r="V8" s="40">
        <f>SUM(V9:V14)</f>
        <v/>
      </c>
      <c r="W8" s="40">
        <f>SUM(W9:W14)</f>
        <v/>
      </c>
      <c r="X8" s="40">
        <f>SUM(X9:X14)</f>
        <v/>
      </c>
      <c r="Y8" s="40">
        <f>SUM(Y9:Y14)</f>
        <v/>
      </c>
      <c r="Z8" s="40">
        <f>SUM(Z9:Z14)</f>
        <v/>
      </c>
      <c r="AA8" s="40">
        <f>SUM(AA9:AA14)</f>
        <v/>
      </c>
      <c r="AB8" s="40">
        <f>SUM(AB9:AB14)</f>
        <v/>
      </c>
      <c r="AC8" s="40">
        <f>SUM(AC9:AC14)</f>
        <v/>
      </c>
      <c r="AD8" s="40">
        <f>SUM(AD9:AD14)</f>
        <v/>
      </c>
      <c r="AE8" s="40">
        <f>SUM(AE9:AE14)</f>
        <v/>
      </c>
      <c r="AF8" s="40">
        <f>SUM(AF9:AF14)</f>
        <v/>
      </c>
      <c r="AG8" s="40">
        <f>SUM(AG9:AG14)</f>
        <v/>
      </c>
      <c r="AH8" s="40">
        <f>SUM(AH9:AH14)</f>
        <v/>
      </c>
      <c r="AI8" s="40">
        <f>SUM(AI9:AI14)</f>
        <v/>
      </c>
      <c r="AJ8" s="40">
        <f>SUM(AJ9:AJ14)</f>
        <v/>
      </c>
      <c r="AK8" s="40">
        <f>SUM(AK9:AK14)</f>
        <v/>
      </c>
      <c r="AL8" s="40">
        <f>SUM(AL9:AL14)</f>
        <v/>
      </c>
      <c r="AM8" s="40">
        <f>SUM(AM9:AM14)</f>
        <v/>
      </c>
      <c r="AN8" s="40">
        <f>SUM(AN9:AN14)</f>
        <v/>
      </c>
      <c r="AO8" s="40">
        <f>SUM(AO9:AO14)</f>
        <v/>
      </c>
      <c r="AP8" s="40">
        <f>SUM(AP9:AP14)</f>
        <v/>
      </c>
      <c r="AQ8" s="40">
        <f>SUM(AQ9:AQ14)</f>
        <v/>
      </c>
      <c r="AR8" s="40">
        <f>SUM(AR9:AR14)</f>
        <v/>
      </c>
      <c r="AS8" s="40">
        <f>SUM(AS9:AS14)</f>
        <v/>
      </c>
      <c r="AT8" s="40">
        <f>SUM(AT9:AT14)</f>
        <v/>
      </c>
      <c r="AU8" s="40">
        <f>SUM(AU9:AU14)</f>
        <v/>
      </c>
      <c r="AV8" s="40">
        <f>SUM(AV9:AV14)</f>
        <v/>
      </c>
      <c r="AW8" s="40">
        <f>SUM(AW9:AW14)</f>
        <v/>
      </c>
      <c r="AX8" s="40">
        <f>SUM(AX9:AX14)</f>
        <v/>
      </c>
      <c r="AY8" s="40">
        <f>SUM(AY9:AY14)</f>
        <v/>
      </c>
      <c r="AZ8" s="40">
        <f>SUM(AZ9:AZ14)</f>
        <v/>
      </c>
      <c r="BA8" s="40">
        <f>SUM(BA9:BA14)</f>
        <v/>
      </c>
      <c r="BB8" s="40">
        <f>SUM(BB9:BB14)</f>
        <v/>
      </c>
      <c r="BC8" s="40">
        <f>SUM(BC9:BC14)</f>
        <v/>
      </c>
      <c r="BD8" s="40">
        <f>SUM(BD9:BD14)</f>
        <v/>
      </c>
      <c r="BE8" s="40">
        <f>SUM(BE9:BE14)</f>
        <v/>
      </c>
      <c r="BF8" s="40">
        <f>SUM(BF9:BF14)</f>
        <v/>
      </c>
      <c r="BG8" s="40">
        <f>SUM(BG9:BG14)</f>
        <v/>
      </c>
      <c r="BH8" s="40">
        <f>SUM(BH9:BH14)</f>
        <v/>
      </c>
      <c r="BI8" s="40">
        <f>SUM(BI9:BI14)</f>
        <v/>
      </c>
      <c r="BJ8" s="40">
        <f>SUM(BJ9:BJ14)</f>
        <v/>
      </c>
      <c r="BK8" s="40">
        <f>SUM(BK9:BK14)</f>
        <v/>
      </c>
      <c r="BL8" s="40">
        <f>SUM(BL9:BL14)</f>
        <v/>
      </c>
      <c r="BM8" s="40">
        <f>SUM(BM9:BM14)</f>
        <v/>
      </c>
      <c r="BN8" s="40">
        <f>SUM(BN9:BN14)</f>
        <v/>
      </c>
      <c r="BO8" s="41">
        <f>SUM(BO9:BO14)</f>
        <v/>
      </c>
      <c r="BP8" s="42" t="n"/>
    </row>
    <row r="9">
      <c r="A9" s="43" t="n"/>
      <c r="B9" s="44" t="n"/>
      <c r="C9" s="44" t="n"/>
      <c r="D9" s="44" t="n"/>
      <c r="E9" s="45" t="n"/>
      <c r="F9" s="45" t="n"/>
      <c r="G9" s="44" t="n"/>
      <c r="H9" s="46" t="n"/>
      <c r="I9" s="46" t="n"/>
      <c r="J9" s="46" t="n"/>
      <c r="K9" s="46" t="n"/>
      <c r="L9" s="46" t="n"/>
      <c r="M9" s="267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268" t="n"/>
      <c r="AE9" s="49" t="n"/>
      <c r="AF9" s="268" t="n"/>
      <c r="AG9" s="49" t="n"/>
      <c r="AH9" s="49" t="n"/>
      <c r="AI9" s="49" t="n"/>
      <c r="AJ9" s="49" t="n"/>
      <c r="AK9" s="49" t="n"/>
      <c r="AL9" s="50" t="n"/>
      <c r="AM9" s="50" t="n"/>
      <c r="AN9" s="50" t="n"/>
      <c r="AO9" s="49" t="n"/>
      <c r="AP9" s="50" t="n"/>
      <c r="AQ9" s="46" t="n"/>
      <c r="AR9" s="49" t="n"/>
      <c r="AS9" s="50" t="n"/>
      <c r="AT9" s="46" t="n"/>
      <c r="AU9" s="46" t="n"/>
      <c r="AV9" s="49" t="n"/>
      <c r="AW9" s="50" t="n"/>
      <c r="AX9" s="50" t="n"/>
      <c r="AY9" s="49" t="n"/>
      <c r="AZ9" s="46" t="n"/>
      <c r="BA9" s="46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1" t="n"/>
      <c r="BP9" s="2" t="n"/>
      <c r="BS9" s="52" t="n"/>
    </row>
    <row r="10">
      <c r="A10" s="43" t="n"/>
      <c r="B10" s="44" t="n"/>
      <c r="C10" s="44" t="n"/>
      <c r="D10" s="44" t="n"/>
      <c r="E10" s="45" t="n"/>
      <c r="F10" s="45" t="n"/>
      <c r="G10" s="44" t="n"/>
      <c r="H10" s="46" t="n"/>
      <c r="I10" s="46" t="n"/>
      <c r="J10" s="46" t="n"/>
      <c r="K10" s="46" t="n"/>
      <c r="L10" s="46" t="n"/>
      <c r="M10" s="267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268" t="n"/>
      <c r="AE10" s="49" t="n"/>
      <c r="AF10" s="268" t="n"/>
      <c r="AG10" s="49" t="n"/>
      <c r="AH10" s="49" t="n"/>
      <c r="AI10" s="49" t="n"/>
      <c r="AJ10" s="49" t="n"/>
      <c r="AK10" s="49" t="n"/>
      <c r="AL10" s="50" t="n"/>
      <c r="AM10" s="50" t="n"/>
      <c r="AN10" s="50" t="n"/>
      <c r="AO10" s="49" t="n"/>
      <c r="AP10" s="50" t="n"/>
      <c r="AQ10" s="46" t="n"/>
      <c r="AR10" s="49" t="n"/>
      <c r="AS10" s="50" t="n"/>
      <c r="AT10" s="46" t="n"/>
      <c r="AU10" s="46" t="n"/>
      <c r="AV10" s="49" t="n"/>
      <c r="AW10" s="50" t="n"/>
      <c r="AX10" s="50" t="n"/>
      <c r="AY10" s="49" t="n"/>
      <c r="AZ10" s="46" t="n"/>
      <c r="BA10" s="46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1" t="n"/>
      <c r="BP10" s="2" t="n"/>
      <c r="BS10" s="52" t="n"/>
    </row>
    <row r="11">
      <c r="A11" s="43" t="n"/>
      <c r="B11" s="44" t="n"/>
      <c r="C11" s="44" t="n"/>
      <c r="D11" s="44" t="n"/>
      <c r="E11" s="45" t="n"/>
      <c r="F11" s="45" t="n"/>
      <c r="G11" s="44" t="n"/>
      <c r="H11" s="46" t="n"/>
      <c r="I11" s="46" t="n"/>
      <c r="J11" s="46" t="n"/>
      <c r="K11" s="46" t="n"/>
      <c r="L11" s="46" t="n"/>
      <c r="M11" s="267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268" t="n"/>
      <c r="AE11" s="49" t="n"/>
      <c r="AF11" s="268" t="n"/>
      <c r="AG11" s="49" t="n"/>
      <c r="AH11" s="49" t="n"/>
      <c r="AI11" s="49" t="n"/>
      <c r="AJ11" s="49" t="n"/>
      <c r="AK11" s="49" t="n"/>
      <c r="AL11" s="50" t="n"/>
      <c r="AM11" s="50" t="n"/>
      <c r="AN11" s="50" t="n"/>
      <c r="AO11" s="49" t="n"/>
      <c r="AP11" s="50" t="n"/>
      <c r="AQ11" s="46" t="n"/>
      <c r="AR11" s="49" t="n"/>
      <c r="AS11" s="50" t="n"/>
      <c r="AT11" s="46" t="n"/>
      <c r="AU11" s="46" t="n"/>
      <c r="AV11" s="49" t="n"/>
      <c r="AW11" s="50" t="n"/>
      <c r="AX11" s="50" t="n"/>
      <c r="AY11" s="49" t="n"/>
      <c r="AZ11" s="46" t="n"/>
      <c r="BA11" s="46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1" t="n"/>
      <c r="BP11" s="2" t="n"/>
      <c r="BS11" s="52" t="n"/>
    </row>
    <row r="12">
      <c r="BS12" s="52" t="n"/>
    </row>
    <row r="13">
      <c r="BS13" s="52" t="n"/>
    </row>
    <row r="14">
      <c r="BS14" s="52" t="n"/>
    </row>
    <row r="15">
      <c r="BS15" s="52" t="n"/>
    </row>
    <row r="16">
      <c r="BS16" s="52" t="n"/>
    </row>
    <row r="17">
      <c r="BG17" s="52" t="n"/>
    </row>
    <row r="18">
      <c r="BT18" s="52" t="n"/>
      <c r="BU18" s="52" t="n"/>
    </row>
  </sheetData>
  <mergeCells count="8">
    <mergeCell ref="AQ6:AY6"/>
    <mergeCell ref="AD6:AK6"/>
    <mergeCell ref="AL6:AP6"/>
    <mergeCell ref="BB6:BJ6"/>
    <mergeCell ref="M6:AC6"/>
    <mergeCell ref="AD3:AI3"/>
    <mergeCell ref="A3:B3"/>
    <mergeCell ref="A2:C2"/>
  </mergeCells>
  <conditionalFormatting sqref="B9:B11">
    <cfRule type="duplicateValues" priority="1" dxfId="0" stopIfTrue="1"/>
    <cfRule type="duplicateValues" priority="2" dxfId="1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2018-12-11T19:06:00Z</dcterms:created>
  <dcterms:modified xmlns:dcterms="http://purl.org/dc/terms/" xmlns:xsi="http://www.w3.org/2001/XMLSchema-instance" xsi:type="dcterms:W3CDTF">2026-07-23T10:17:39Z</dcterms:modified>
  <cp:lastModifiedBy>给我，高高的飞起来啊！！</cp:lastModifiedBy>
  <cp:lastPrinted>2023-02-09T08:40:00Z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  <property name="ICV" fmtid="{D5CDD505-2E9C-101B-9397-08002B2CF9AE}" pid="5">
    <vt:lpwstr xmlns:vt="http://schemas.openxmlformats.org/officeDocument/2006/docPropsVTypes">B3AD604BC5844E8DBE2CC40E892FDFA0_12</vt:lpwstr>
  </property>
  <property name="KSOProductBuildVer" fmtid="{D5CDD505-2E9C-101B-9397-08002B2CF9AE}" pid="6">
    <vt:lpwstr xmlns:vt="http://schemas.openxmlformats.org/officeDocument/2006/docPropsVTypes">2052-12.1.0.26375</vt:lpwstr>
  </property>
  <property name="CalculationRule" fmtid="{D5CDD505-2E9C-101B-9397-08002B2CF9AE}" pid="7">
    <vt:i4 xmlns:vt="http://schemas.openxmlformats.org/officeDocument/2006/docPropsVTypes">0</vt:i4>
  </property>
</Properties>
</file>