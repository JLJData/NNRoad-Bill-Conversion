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PN" sheetId="1" state="visible" r:id="rId1"/>
    <sheet xmlns:r="http://schemas.openxmlformats.org/officeDocument/2006/relationships" name="Hong Kong" sheetId="2" state="visible" r:id="rId2"/>
    <sheet xmlns:r="http://schemas.openxmlformats.org/officeDocument/2006/relationships" name="Hong Kong EE" sheetId="3" state="visible" r:id="rId3"/>
    <sheet xmlns:r="http://schemas.openxmlformats.org/officeDocument/2006/relationships" name="Hong Kong-L" sheetId="4" state="visible" r:id="rId4"/>
    <sheet xmlns:r="http://schemas.openxmlformats.org/officeDocument/2006/relationships" name="FI Report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,##0.00_ "/>
    <numFmt numFmtId="165" formatCode="_(&quot;$&quot;* #,##0.00_);_(&quot;$&quot;* \(#,##0.00\);_(&quot;$&quot;* &quot;-&quot;??_);_(@_)"/>
    <numFmt numFmtId="166" formatCode="0.0000"/>
    <numFmt numFmtId="167" formatCode="#,##0.000_);\(#,##0.000\)"/>
    <numFmt numFmtId="168" formatCode="[$-10409]#,##0.00;\(#,##0.00\)"/>
  </numFmts>
  <fonts count="39">
    <font>
      <name val="Calibri"/>
      <family val="2"/>
      <color theme="1"/>
      <sz val="11"/>
      <scheme val="minor"/>
    </font>
    <font>
      <name val="Calibri"/>
      <charset val="134"/>
      <family val="3"/>
      <b val="1"/>
      <color theme="1"/>
      <sz val="8"/>
      <u val="double"/>
      <scheme val="minor"/>
    </font>
    <font>
      <name val="Calibri"/>
      <charset val="134"/>
      <family val="3"/>
      <b val="1"/>
      <color theme="1"/>
      <sz val="10"/>
      <scheme val="minor"/>
    </font>
    <font>
      <name val="Calibri"/>
      <charset val="134"/>
      <family val="3"/>
      <color theme="1"/>
      <sz val="10"/>
      <scheme val="minor"/>
    </font>
    <font>
      <name val="Calibri"/>
      <charset val="134"/>
      <family val="3"/>
      <sz val="9"/>
      <scheme val="minor"/>
    </font>
    <font>
      <name val="Calibri"/>
      <charset val="134"/>
      <family val="2"/>
      <color theme="1"/>
      <sz val="11"/>
      <scheme val="minor"/>
    </font>
    <font>
      <name val="Calibri"/>
      <charset val="134"/>
      <family val="3"/>
      <b val="1"/>
      <color theme="1"/>
      <sz val="11"/>
      <scheme val="minor"/>
    </font>
    <font>
      <name val="Calibri"/>
      <charset val="134"/>
      <family val="2"/>
      <sz val="9"/>
      <scheme val="minor"/>
    </font>
    <font>
      <name val="Calibri"/>
      <family val="2"/>
      <color rgb="FF000000"/>
      <sz val="11"/>
      <scheme val="minor"/>
    </font>
    <font>
      <name val="Calibri"/>
      <charset val="134"/>
      <family val="3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rgb="FF0066B3"/>
      <sz val="12"/>
      <scheme val="minor"/>
    </font>
    <font>
      <name val="Calibri"/>
      <family val="2"/>
      <b val="1"/>
      <color rgb="FF8DC63F"/>
      <sz val="12"/>
      <scheme val="minor"/>
    </font>
    <font>
      <name val="Calibri"/>
      <family val="2"/>
      <color theme="1"/>
      <sz val="10"/>
      <scheme val="minor"/>
    </font>
    <font>
      <name val="Calibri"/>
      <family val="2"/>
      <sz val="10.5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0" tint="-0.499984740745262"/>
      <sz val="9"/>
      <scheme val="minor"/>
    </font>
    <font>
      <name val="Calibri"/>
      <family val="2"/>
      <color rgb="FF000000"/>
      <sz val="9"/>
      <scheme val="minor"/>
    </font>
    <font>
      <name val="Calibri"/>
      <family val="2"/>
      <color theme="0" tint="-0.499984740745262"/>
      <sz val="8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.5"/>
      <scheme val="minor"/>
    </font>
    <font>
      <name val="Calibri"/>
      <family val="2"/>
      <b val="1"/>
      <sz val="12"/>
      <scheme val="minor"/>
    </font>
    <font>
      <name val="Calibri"/>
      <family val="2"/>
      <b val="1"/>
      <sz val="11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i val="1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i val="1"/>
      <color theme="1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i val="1"/>
      <color theme="1"/>
      <sz val="10"/>
      <scheme val="minor"/>
    </font>
    <font>
      <name val="Calibri"/>
      <charset val="134"/>
      <family val="4"/>
      <color rgb="FF000000"/>
      <sz val="11"/>
      <scheme val="minor"/>
    </font>
    <font>
      <name val="Calibri"/>
      <charset val="134"/>
      <family val="4"/>
      <color rgb="FF000000"/>
      <sz val="10"/>
      <scheme val="minor"/>
    </font>
    <font>
      <name val="Calibri"/>
      <family val="2"/>
      <color rgb="FF000000"/>
      <sz val="11"/>
    </font>
    <font>
      <name val="Calibri"/>
      <charset val="134"/>
      <family val="3"/>
      <color rgb="FF000000"/>
      <sz val="11"/>
      <scheme val="minor"/>
    </font>
    <font>
      <name val="Verdana"/>
      <family val="2"/>
      <color rgb="FF000000"/>
      <sz val="8"/>
    </font>
  </fonts>
  <fills count="8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FFFED"/>
        <bgColor indexed="64"/>
      </patternFill>
    </fill>
    <fill>
      <patternFill patternType="solid">
        <fgColor theme="8" tint="0.3999755851924192"/>
        <bgColor indexed="64"/>
      </patternFill>
    </fill>
  </fills>
  <borders count="69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theme="8" tint="0.5999633777886288"/>
      </left>
      <right/>
      <top style="medium">
        <color theme="8" tint="0.5999633777886288"/>
      </top>
      <bottom/>
      <diagonal/>
    </border>
    <border>
      <left/>
      <right/>
      <top style="medium">
        <color theme="8" tint="0.5999633777886288"/>
      </top>
      <bottom/>
      <diagonal/>
    </border>
    <border>
      <left/>
      <right style="medium">
        <color theme="8" tint="0.5999633777886288"/>
      </right>
      <top style="medium">
        <color theme="8" tint="0.5999633777886288"/>
      </top>
      <bottom/>
      <diagonal/>
    </border>
    <border>
      <left style="medium">
        <color theme="8" tint="0.5999633777886288"/>
      </left>
      <right/>
      <top/>
      <bottom/>
      <diagonal/>
    </border>
    <border>
      <left/>
      <right style="medium">
        <color theme="8" tint="0.5999633777886288"/>
      </right>
      <top/>
      <bottom/>
      <diagonal/>
    </border>
    <border>
      <left style="medium">
        <color theme="8" tint="0.5999633777886288"/>
      </left>
      <right/>
      <top style="hair">
        <color theme="8" tint="0.5999633777886288"/>
      </top>
      <bottom style="medium">
        <color theme="8" tint="0.5999633777886288"/>
      </bottom>
      <diagonal/>
    </border>
    <border>
      <left/>
      <right/>
      <top style="hair">
        <color theme="8" tint="0.5999633777886288"/>
      </top>
      <bottom style="medium">
        <color theme="8" tint="0.5999633777886288"/>
      </bottom>
      <diagonal/>
    </border>
    <border>
      <left/>
      <right style="medium">
        <color theme="8" tint="0.5999633777886288"/>
      </right>
      <top style="hair">
        <color theme="8" tint="0.5999633777886288"/>
      </top>
      <bottom style="medium">
        <color theme="8" tint="0.5999633777886288"/>
      </bottom>
      <diagonal/>
    </border>
    <border>
      <left style="medium">
        <color rgb="FFBED8EE"/>
      </left>
      <right/>
      <top style="medium">
        <color rgb="FFBED8EE"/>
      </top>
      <bottom/>
      <diagonal/>
    </border>
    <border>
      <left/>
      <right/>
      <top style="medium">
        <color rgb="FFBED8EE"/>
      </top>
      <bottom/>
      <diagonal/>
    </border>
    <border>
      <left/>
      <right style="medium">
        <color rgb="FFBED8EE"/>
      </right>
      <top style="medium">
        <color rgb="FFBED8EE"/>
      </top>
      <bottom/>
      <diagonal/>
    </border>
    <border>
      <left style="medium">
        <color rgb="FFBED8EE"/>
      </left>
      <right/>
      <top/>
      <bottom/>
      <diagonal/>
    </border>
    <border>
      <left/>
      <right style="medium">
        <color rgb="FFBED8EE"/>
      </right>
      <top/>
      <bottom/>
      <diagonal/>
    </border>
    <border>
      <left style="medium">
        <color rgb="FFBED8EE"/>
      </left>
      <right/>
      <top/>
      <bottom style="medium">
        <color rgb="FF9BC2E7"/>
      </bottom>
      <diagonal/>
    </border>
    <border>
      <left/>
      <right/>
      <top/>
      <bottom style="medium">
        <color rgb="FF9BC2E7"/>
      </bottom>
      <diagonal/>
    </border>
    <border>
      <left/>
      <right style="medium">
        <color rgb="FFBED8EE"/>
      </right>
      <top/>
      <bottom style="medium">
        <color rgb="FF9BC2E7"/>
      </bottom>
      <diagonal/>
    </border>
    <border>
      <left style="medium">
        <color rgb="FFBED8EE"/>
      </left>
      <right/>
      <top/>
      <bottom style="medium">
        <color rgb="FFBED8EE"/>
      </bottom>
      <diagonal/>
    </border>
    <border>
      <left/>
      <right/>
      <top/>
      <bottom style="medium">
        <color rgb="FFBED8EE"/>
      </bottom>
      <diagonal/>
    </border>
    <border>
      <left/>
      <right style="medium">
        <color rgb="FFBED8EE"/>
      </right>
      <top/>
      <bottom style="medium">
        <color rgb="FFBED8EE"/>
      </bottom>
      <diagonal/>
    </border>
    <border>
      <left/>
      <right style="dashDot">
        <color theme="9" tint="-0.249946592608417"/>
      </right>
      <top/>
      <bottom/>
      <diagonal/>
    </border>
    <border>
      <left style="dashDot">
        <color theme="9" tint="-0.249946592608417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theme="8" tint="0.5999633777886288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</borders>
  <cellStyleXfs count="3">
    <xf numFmtId="0" fontId="0" fillId="0" borderId="0"/>
    <xf numFmtId="0" fontId="5" fillId="0" borderId="0" applyAlignment="1">
      <alignment vertical="center"/>
    </xf>
    <xf numFmtId="0" fontId="8" fillId="0" borderId="0"/>
  </cellStyleXfs>
  <cellXfs count="227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vertical="center"/>
    </xf>
    <xf numFmtId="40" fontId="3" fillId="2" borderId="7" applyAlignment="1" pivotButton="0" quotePrefix="0" xfId="0">
      <alignment vertical="center"/>
    </xf>
    <xf numFmtId="40" fontId="3" fillId="2" borderId="16" applyAlignment="1" pivotButton="0" quotePrefix="0" xfId="0">
      <alignment vertical="center"/>
    </xf>
    <xf numFmtId="40" fontId="3" fillId="2" borderId="8" applyAlignment="1" pivotButton="0" quotePrefix="0" xfId="0">
      <alignment vertical="center"/>
    </xf>
    <xf numFmtId="40" fontId="3" fillId="2" borderId="0" applyAlignment="1" pivotButton="0" quotePrefix="0" xfId="0">
      <alignment vertical="center"/>
    </xf>
    <xf numFmtId="40" fontId="3" fillId="2" borderId="9" applyAlignment="1" pivotButton="0" quotePrefix="0" xfId="0">
      <alignment vertical="center"/>
    </xf>
    <xf numFmtId="40" fontId="3" fillId="2" borderId="17" applyAlignment="1" pivotButton="0" quotePrefix="0" xfId="0">
      <alignment vertical="center"/>
    </xf>
    <xf numFmtId="40" fontId="3" fillId="2" borderId="10" applyAlignment="1" pivotButton="0" quotePrefix="0" xfId="0">
      <alignment vertical="center"/>
    </xf>
    <xf numFmtId="0" fontId="3" fillId="2" borderId="0" applyAlignment="1" pivotButton="0" quotePrefix="0" xfId="0">
      <alignment horizontal="left" vertical="center"/>
    </xf>
    <xf numFmtId="40" fontId="3" fillId="2" borderId="11" applyAlignment="1" pivotButton="0" quotePrefix="0" xfId="0">
      <alignment vertical="center"/>
    </xf>
    <xf numFmtId="40" fontId="3" fillId="2" borderId="18" applyAlignment="1" pivotButton="0" quotePrefix="0" xfId="0">
      <alignment vertical="center"/>
    </xf>
    <xf numFmtId="40" fontId="3" fillId="2" borderId="12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3" fillId="0" borderId="6" applyAlignment="1" pivotButton="0" quotePrefix="0" xfId="0">
      <alignment horizontal="center" vertical="center"/>
    </xf>
    <xf numFmtId="0" fontId="2" fillId="0" borderId="21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6" fillId="2" borderId="0" applyAlignment="1" pivotButton="0" quotePrefix="0" xfId="0">
      <alignment horizontal="left" vertical="center"/>
    </xf>
    <xf numFmtId="0" fontId="0" fillId="2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0" fontId="5" fillId="0" borderId="0" applyAlignment="1" pivotButton="0" quotePrefix="0" xfId="1">
      <alignment vertical="center"/>
    </xf>
    <xf numFmtId="0" fontId="0" fillId="0" borderId="0" applyAlignment="1" pivotButton="0" quotePrefix="0" xfId="0">
      <alignment horizontal="center" vertical="center"/>
    </xf>
    <xf numFmtId="49" fontId="3" fillId="2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9" fillId="2" borderId="0" applyAlignment="1" pivotButton="0" quotePrefix="0" xfId="0">
      <alignment vertical="center"/>
    </xf>
    <xf numFmtId="0" fontId="9" fillId="2" borderId="0" applyAlignment="1" pivotButton="0" quotePrefix="0" xfId="0">
      <alignment horizontal="left" vertical="center"/>
    </xf>
    <xf numFmtId="49" fontId="0" fillId="2" borderId="0" applyAlignment="1" pivotButton="0" quotePrefix="0" xfId="0">
      <alignment vertical="center"/>
    </xf>
    <xf numFmtId="14" fontId="3" fillId="2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vertical="center"/>
    </xf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right" vertical="center"/>
    </xf>
    <xf numFmtId="0" fontId="21" fillId="0" borderId="0" applyAlignment="1" pivotButton="0" quotePrefix="0" xfId="0">
      <alignment vertical="center"/>
    </xf>
    <xf numFmtId="0" fontId="20" fillId="0" borderId="0" applyAlignment="1" pivotButton="0" quotePrefix="0" xfId="0">
      <alignment vertical="top" wrapText="1"/>
    </xf>
    <xf numFmtId="14" fontId="20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right" vertical="center"/>
    </xf>
    <xf numFmtId="0" fontId="23" fillId="0" borderId="0" applyAlignment="1" pivotButton="0" quotePrefix="0" xfId="0">
      <alignment vertical="center"/>
    </xf>
    <xf numFmtId="14" fontId="23" fillId="0" borderId="0" applyAlignment="1" pivotButton="0" quotePrefix="0" xfId="0">
      <alignment horizontal="left" vertical="center"/>
    </xf>
    <xf numFmtId="0" fontId="24" fillId="4" borderId="33" applyAlignment="1" pivotButton="0" quotePrefix="0" xfId="0">
      <alignment horizontal="center" vertical="center"/>
    </xf>
    <xf numFmtId="0" fontId="24" fillId="4" borderId="34" applyAlignment="1" pivotButton="0" quotePrefix="0" xfId="0">
      <alignment horizontal="center" vertical="center"/>
    </xf>
    <xf numFmtId="0" fontId="25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left" vertical="center" indent="1"/>
    </xf>
    <xf numFmtId="43" fontId="26" fillId="0" borderId="0" applyAlignment="1" pivotButton="0" quotePrefix="0" xfId="0">
      <alignment horizontal="left" vertical="center"/>
    </xf>
    <xf numFmtId="165" fontId="10" fillId="0" borderId="36" applyAlignment="1" pivotButton="0" quotePrefix="0" xfId="0">
      <alignment horizontal="left" vertical="center"/>
    </xf>
    <xf numFmtId="164" fontId="27" fillId="0" borderId="0" applyAlignment="1" pivotButton="0" quotePrefix="0" xfId="0">
      <alignment horizontal="right" vertical="center"/>
    </xf>
    <xf numFmtId="0" fontId="27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 indent="3"/>
    </xf>
    <xf numFmtId="43" fontId="14" fillId="0" borderId="0" applyAlignment="1" pivotButton="0" quotePrefix="0" xfId="0">
      <alignment horizontal="left" vertical="center" indent="1"/>
    </xf>
    <xf numFmtId="165" fontId="14" fillId="0" borderId="36" applyAlignment="1" pivotButton="0" quotePrefix="0" xfId="0">
      <alignment horizontal="left" vertical="center"/>
    </xf>
    <xf numFmtId="164" fontId="28" fillId="0" borderId="0" applyAlignment="1" pivotButton="0" quotePrefix="0" xfId="0">
      <alignment horizontal="right" vertical="center"/>
    </xf>
    <xf numFmtId="0" fontId="28" fillId="0" borderId="0" applyAlignment="1" pivotButton="0" quotePrefix="0" xfId="0">
      <alignment vertical="center"/>
    </xf>
    <xf numFmtId="164" fontId="11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center" vertical="center"/>
    </xf>
    <xf numFmtId="43" fontId="14" fillId="0" borderId="0" applyAlignment="1" pivotButton="0" quotePrefix="0" xfId="0">
      <alignment horizontal="left" vertical="center"/>
    </xf>
    <xf numFmtId="165" fontId="26" fillId="0" borderId="36" applyAlignment="1" pivotButton="0" quotePrefix="0" xfId="0">
      <alignment horizontal="left" vertical="center"/>
    </xf>
    <xf numFmtId="164" fontId="29" fillId="0" borderId="0" applyAlignment="1" pivotButton="0" quotePrefix="0" xfId="0">
      <alignment horizontal="right" vertical="center"/>
    </xf>
    <xf numFmtId="0" fontId="29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 indent="2"/>
    </xf>
    <xf numFmtId="0" fontId="30" fillId="0" borderId="0" applyAlignment="1" pivotButton="0" quotePrefix="0" xfId="0">
      <alignment horizontal="left" vertical="center" indent="1"/>
    </xf>
    <xf numFmtId="43" fontId="11" fillId="0" borderId="0" applyAlignment="1" pivotButton="0" quotePrefix="0" xfId="0">
      <alignment horizontal="left" vertical="center"/>
    </xf>
    <xf numFmtId="165" fontId="11" fillId="0" borderId="36" applyAlignment="1" pivotButton="0" quotePrefix="0" xfId="0">
      <alignment horizontal="left" vertical="center"/>
    </xf>
    <xf numFmtId="43" fontId="31" fillId="0" borderId="38" applyAlignment="1" pivotButton="0" quotePrefix="0" xfId="0">
      <alignment horizontal="left" vertical="center"/>
    </xf>
    <xf numFmtId="165" fontId="31" fillId="0" borderId="39" applyAlignment="1" pivotButton="0" quotePrefix="0" xfId="0">
      <alignment horizontal="left" vertical="center"/>
    </xf>
    <xf numFmtId="0" fontId="31" fillId="0" borderId="0" applyAlignment="1" pivotButton="0" quotePrefix="0" xfId="0">
      <alignment vertical="center"/>
    </xf>
    <xf numFmtId="0" fontId="31" fillId="0" borderId="0" applyAlignment="1" pivotButton="0" quotePrefix="0" xfId="0">
      <alignment horizontal="center" vertical="center"/>
    </xf>
    <xf numFmtId="43" fontId="31" fillId="0" borderId="0" applyAlignment="1" pivotButton="0" quotePrefix="0" xfId="0">
      <alignment vertical="center"/>
    </xf>
    <xf numFmtId="165" fontId="31" fillId="0" borderId="0" applyAlignment="1" pivotButton="0" quotePrefix="0" xfId="0">
      <alignment horizontal="right" vertical="center"/>
    </xf>
    <xf numFmtId="0" fontId="31" fillId="0" borderId="0" applyAlignment="1" pivotButton="0" quotePrefix="0" xfId="0">
      <alignment horizontal="right" vertical="center"/>
    </xf>
    <xf numFmtId="0" fontId="32" fillId="0" borderId="0" applyAlignment="1" pivotButton="0" quotePrefix="0" xfId="0">
      <alignment vertical="center" wrapText="1"/>
    </xf>
    <xf numFmtId="166" fontId="32" fillId="0" borderId="0" applyAlignment="1" pivotButton="0" quotePrefix="0" xfId="0">
      <alignment horizontal="left" vertical="center" indent="1"/>
    </xf>
    <xf numFmtId="165" fontId="33" fillId="0" borderId="42" applyAlignment="1" pivotButton="0" quotePrefix="0" xfId="0">
      <alignment horizontal="right" vertical="center"/>
    </xf>
    <xf numFmtId="0" fontId="32" fillId="0" borderId="0" applyAlignment="1" pivotButton="0" quotePrefix="0" xfId="0">
      <alignment vertical="center"/>
    </xf>
    <xf numFmtId="165" fontId="33" fillId="0" borderId="44" applyAlignment="1" pivotButton="0" quotePrefix="0" xfId="0">
      <alignment horizontal="right" vertical="center"/>
    </xf>
    <xf numFmtId="40" fontId="31" fillId="0" borderId="0" applyAlignment="1" pivotButton="0" quotePrefix="0" xfId="0">
      <alignment vertical="center"/>
    </xf>
    <xf numFmtId="165" fontId="33" fillId="0" borderId="47" applyAlignment="1" pivotButton="0" quotePrefix="0" xfId="0">
      <alignment horizontal="right" vertical="center"/>
    </xf>
    <xf numFmtId="165" fontId="30" fillId="0" borderId="44" applyAlignment="1" pivotButton="0" quotePrefix="0" xfId="0">
      <alignment horizontal="right" vertical="center"/>
    </xf>
    <xf numFmtId="0" fontId="30" fillId="0" borderId="0" applyAlignment="1" pivotButton="0" quotePrefix="0" xfId="0">
      <alignment vertical="center"/>
    </xf>
    <xf numFmtId="165" fontId="30" fillId="0" borderId="50" applyAlignment="1" pivotButton="0" quotePrefix="0" xfId="0">
      <alignment horizontal="right" vertical="center"/>
    </xf>
    <xf numFmtId="165" fontId="11" fillId="0" borderId="0" applyAlignment="1" pivotButton="0" quotePrefix="0" xfId="0">
      <alignment vertical="center"/>
    </xf>
    <xf numFmtId="0" fontId="34" fillId="0" borderId="0" applyAlignment="1" pivotButton="0" quotePrefix="0" xfId="0">
      <alignment vertical="center"/>
    </xf>
    <xf numFmtId="40" fontId="35" fillId="0" borderId="26" applyAlignment="1" pivotButton="0" quotePrefix="0" xfId="0">
      <alignment vertical="center"/>
    </xf>
    <xf numFmtId="40" fontId="35" fillId="0" borderId="27" applyAlignment="1" pivotButton="0" quotePrefix="0" xfId="0">
      <alignment vertical="center"/>
    </xf>
    <xf numFmtId="40" fontId="35" fillId="0" borderId="28" applyAlignment="1" pivotButton="0" quotePrefix="0" xfId="0">
      <alignment vertical="center"/>
    </xf>
    <xf numFmtId="40" fontId="35" fillId="0" borderId="29" applyAlignment="1" pivotButton="0" quotePrefix="0" xfId="0">
      <alignment vertical="center"/>
    </xf>
    <xf numFmtId="40" fontId="35" fillId="0" borderId="30" applyAlignment="1" pivotButton="0" quotePrefix="0" xfId="0">
      <alignment vertical="center"/>
    </xf>
    <xf numFmtId="40" fontId="35" fillId="0" borderId="31" applyAlignment="1" pivotButton="0" quotePrefix="0" xfId="0">
      <alignment vertical="center"/>
    </xf>
    <xf numFmtId="0" fontId="3" fillId="0" borderId="4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9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7" borderId="53" applyAlignment="1" pivotButton="0" quotePrefix="0" xfId="0">
      <alignment vertical="center" wrapText="1"/>
    </xf>
    <xf numFmtId="0" fontId="0" fillId="7" borderId="54" applyAlignment="1" pivotButton="0" quotePrefix="0" xfId="0">
      <alignment horizontal="center" vertical="center" wrapText="1"/>
    </xf>
    <xf numFmtId="0" fontId="0" fillId="7" borderId="55" applyAlignment="1" pivotButton="0" quotePrefix="0" xfId="0">
      <alignment horizontal="center" vertical="center" wrapText="1"/>
    </xf>
    <xf numFmtId="0" fontId="8" fillId="0" borderId="56" pivotButton="0" quotePrefix="0" xfId="0"/>
    <xf numFmtId="0" fontId="8" fillId="0" borderId="57" pivotButton="0" quotePrefix="0" xfId="0"/>
    <xf numFmtId="2" fontId="0" fillId="0" borderId="57" pivotButton="0" quotePrefix="0" xfId="0"/>
    <xf numFmtId="167" fontId="0" fillId="0" borderId="58" pivotButton="0" quotePrefix="0" xfId="0"/>
    <xf numFmtId="2" fontId="0" fillId="0" borderId="0" pivotButton="0" quotePrefix="0" xfId="0"/>
    <xf numFmtId="0" fontId="36" fillId="0" borderId="59" pivotButton="0" quotePrefix="0" xfId="0"/>
    <xf numFmtId="0" fontId="2" fillId="0" borderId="6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37" fillId="0" borderId="61" applyAlignment="1" pivotButton="0" quotePrefix="0" xfId="0">
      <alignment vertical="center" wrapText="1" readingOrder="1"/>
    </xf>
    <xf numFmtId="0" fontId="9" fillId="0" borderId="61" pivotButton="0" quotePrefix="0" xfId="0"/>
    <xf numFmtId="0" fontId="0" fillId="0" borderId="61" pivotButton="0" quotePrefix="0" xfId="0"/>
    <xf numFmtId="168" fontId="38" fillId="0" borderId="61" applyAlignment="1" pivotButton="0" quotePrefix="0" xfId="0">
      <alignment vertical="center" wrapText="1" readingOrder="1"/>
    </xf>
    <xf numFmtId="43" fontId="30" fillId="0" borderId="48" applyAlignment="1" pivotButton="0" quotePrefix="0" xfId="0">
      <alignment horizontal="right" vertical="center"/>
    </xf>
    <xf numFmtId="43" fontId="30" fillId="0" borderId="49" applyAlignment="1" pivotButton="0" quotePrefix="0" xfId="0">
      <alignment horizontal="right" vertical="center"/>
    </xf>
    <xf numFmtId="0" fontId="30" fillId="5" borderId="0" applyAlignment="1" pivotButton="0" quotePrefix="0" xfId="0">
      <alignment horizontal="center"/>
    </xf>
    <xf numFmtId="164" fontId="11" fillId="6" borderId="0" applyAlignment="1" pivotButton="0" quotePrefix="0" xfId="0">
      <alignment horizontal="left" vertical="center" wrapText="1" indent="2"/>
    </xf>
    <xf numFmtId="164" fontId="11" fillId="6" borderId="51" applyAlignment="1" pivotButton="0" quotePrefix="0" xfId="0">
      <alignment horizontal="left" vertical="center" wrapText="1" indent="2"/>
    </xf>
    <xf numFmtId="164" fontId="11" fillId="6" borderId="52" applyAlignment="1" pivotButton="0" quotePrefix="0" xfId="0">
      <alignment horizontal="left" vertical="center" wrapText="1" indent="2"/>
    </xf>
    <xf numFmtId="43" fontId="33" fillId="0" borderId="43" applyAlignment="1" pivotButton="0" quotePrefix="0" xfId="0">
      <alignment horizontal="right" vertical="center"/>
    </xf>
    <xf numFmtId="43" fontId="33" fillId="0" borderId="0" applyAlignment="1" pivotButton="0" quotePrefix="0" xfId="0">
      <alignment horizontal="right" vertical="center"/>
    </xf>
    <xf numFmtId="40" fontId="33" fillId="0" borderId="45" applyAlignment="1" pivotButton="0" quotePrefix="0" xfId="0">
      <alignment horizontal="right" vertical="center"/>
    </xf>
    <xf numFmtId="40" fontId="33" fillId="0" borderId="46" applyAlignment="1" pivotButton="0" quotePrefix="0" xfId="0">
      <alignment horizontal="right" vertical="center"/>
    </xf>
    <xf numFmtId="43" fontId="30" fillId="0" borderId="43" applyAlignment="1" pivotButton="0" quotePrefix="0" xfId="0">
      <alignment horizontal="right" vertical="center"/>
    </xf>
    <xf numFmtId="43" fontId="30" fillId="0" borderId="0" applyAlignment="1" pivotButton="0" quotePrefix="0" xfId="0">
      <alignment horizontal="right" vertical="center"/>
    </xf>
    <xf numFmtId="43" fontId="30" fillId="0" borderId="43" applyAlignment="1" pivotButton="0" quotePrefix="0" xfId="0">
      <alignment horizontal="right" vertical="center" indent="1"/>
    </xf>
    <xf numFmtId="43" fontId="30" fillId="0" borderId="0" applyAlignment="1" pivotButton="0" quotePrefix="0" xfId="0">
      <alignment horizontal="right" vertical="center" indent="1"/>
    </xf>
    <xf numFmtId="43" fontId="33" fillId="0" borderId="40" applyAlignment="1" pivotButton="0" quotePrefix="0" xfId="0">
      <alignment horizontal="right" vertical="center"/>
    </xf>
    <xf numFmtId="43" fontId="33" fillId="0" borderId="41" applyAlignment="1" pivotButton="0" quotePrefix="0" xfId="0">
      <alignment horizontal="right" vertical="center"/>
    </xf>
    <xf numFmtId="0" fontId="26" fillId="0" borderId="35" applyAlignment="1" pivotButton="0" quotePrefix="0" xfId="0">
      <alignment horizontal="left" vertical="center" indent="1"/>
    </xf>
    <xf numFmtId="0" fontId="26" fillId="0" borderId="0" applyAlignment="1" pivotButton="0" quotePrefix="0" xfId="0">
      <alignment horizontal="left" vertical="center" indent="1"/>
    </xf>
    <xf numFmtId="0" fontId="14" fillId="0" borderId="35" applyAlignment="1" pivotButton="0" quotePrefix="0" xfId="0">
      <alignment horizontal="left" vertical="center" indent="3"/>
    </xf>
    <xf numFmtId="0" fontId="14" fillId="0" borderId="0" applyAlignment="1" pivotButton="0" quotePrefix="0" xfId="0">
      <alignment horizontal="left" vertical="center" indent="3"/>
    </xf>
    <xf numFmtId="0" fontId="14" fillId="0" borderId="35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35" applyAlignment="1" pivotButton="0" quotePrefix="0" xfId="0">
      <alignment horizontal="left" vertical="center" indent="2"/>
    </xf>
    <xf numFmtId="0" fontId="14" fillId="0" borderId="0" applyAlignment="1" pivotButton="0" quotePrefix="0" xfId="0">
      <alignment horizontal="left" vertical="center" indent="2"/>
    </xf>
    <xf numFmtId="0" fontId="30" fillId="0" borderId="35" applyAlignment="1" pivotButton="0" quotePrefix="0" xfId="0">
      <alignment horizontal="left" vertical="center" indent="1"/>
    </xf>
    <xf numFmtId="0" fontId="30" fillId="0" borderId="0" applyAlignment="1" pivotButton="0" quotePrefix="0" xfId="0">
      <alignment horizontal="left" vertical="center" indent="1"/>
    </xf>
    <xf numFmtId="0" fontId="31" fillId="0" borderId="37" applyAlignment="1" pivotButton="0" quotePrefix="0" xfId="0">
      <alignment horizontal="left" vertical="center" indent="1"/>
    </xf>
    <xf numFmtId="0" fontId="31" fillId="0" borderId="38" applyAlignment="1" pivotButton="0" quotePrefix="0" xfId="0">
      <alignment horizontal="left" vertical="center" indent="1"/>
    </xf>
    <xf numFmtId="0" fontId="24" fillId="4" borderId="32" applyAlignment="1" pivotButton="0" quotePrefix="0" xfId="0">
      <alignment horizontal="center" vertical="center"/>
    </xf>
    <xf numFmtId="0" fontId="24" fillId="4" borderId="33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right" vertical="top" wrapText="1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 wrapText="1"/>
    </xf>
    <xf numFmtId="0" fontId="3" fillId="0" borderId="20" applyAlignment="1" pivotButton="0" quotePrefix="0" xfId="0">
      <alignment horizontal="center" vertical="center" wrapText="1"/>
    </xf>
    <xf numFmtId="0" fontId="3" fillId="0" borderId="19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/>
    </xf>
    <xf numFmtId="0" fontId="9" fillId="0" borderId="24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33" pivotButton="0" quotePrefix="0" xfId="0"/>
    <xf numFmtId="43" fontId="26" fillId="0" borderId="0" applyAlignment="1" pivotButton="0" quotePrefix="0" xfId="0">
      <alignment horizontal="left" vertical="center"/>
    </xf>
    <xf numFmtId="165" fontId="10" fillId="0" borderId="36" applyAlignment="1" pivotButton="0" quotePrefix="0" xfId="0">
      <alignment horizontal="left" vertical="center"/>
    </xf>
    <xf numFmtId="164" fontId="27" fillId="0" borderId="0" applyAlignment="1" pivotButton="0" quotePrefix="0" xfId="0">
      <alignment horizontal="right" vertical="center"/>
    </xf>
    <xf numFmtId="43" fontId="14" fillId="0" borderId="0" applyAlignment="1" pivotButton="0" quotePrefix="0" xfId="0">
      <alignment horizontal="left" vertical="center" indent="1"/>
    </xf>
    <xf numFmtId="165" fontId="14" fillId="0" borderId="36" applyAlignment="1" pivotButton="0" quotePrefix="0" xfId="0">
      <alignment horizontal="left" vertical="center"/>
    </xf>
    <xf numFmtId="164" fontId="28" fillId="0" borderId="0" applyAlignment="1" pivotButton="0" quotePrefix="0" xfId="0">
      <alignment horizontal="right" vertical="center"/>
    </xf>
    <xf numFmtId="164" fontId="11" fillId="0" borderId="0" applyAlignment="1" pivotButton="0" quotePrefix="0" xfId="0">
      <alignment horizontal="right" vertical="center"/>
    </xf>
    <xf numFmtId="43" fontId="14" fillId="0" borderId="0" applyAlignment="1" pivotButton="0" quotePrefix="0" xfId="0">
      <alignment horizontal="left" vertical="center"/>
    </xf>
    <xf numFmtId="165" fontId="26" fillId="0" borderId="36" applyAlignment="1" pivotButton="0" quotePrefix="0" xfId="0">
      <alignment horizontal="left" vertical="center"/>
    </xf>
    <xf numFmtId="164" fontId="29" fillId="0" borderId="0" applyAlignment="1" pivotButton="0" quotePrefix="0" xfId="0">
      <alignment horizontal="right" vertical="center"/>
    </xf>
    <xf numFmtId="43" fontId="11" fillId="0" borderId="0" applyAlignment="1" pivotButton="0" quotePrefix="0" xfId="0">
      <alignment horizontal="left" vertical="center"/>
    </xf>
    <xf numFmtId="165" fontId="11" fillId="0" borderId="36" applyAlignment="1" pivotButton="0" quotePrefix="0" xfId="0">
      <alignment horizontal="left" vertical="center"/>
    </xf>
    <xf numFmtId="0" fontId="0" fillId="0" borderId="38" pivotButton="0" quotePrefix="0" xfId="0"/>
    <xf numFmtId="43" fontId="31" fillId="0" borderId="38" applyAlignment="1" pivotButton="0" quotePrefix="0" xfId="0">
      <alignment horizontal="left" vertical="center"/>
    </xf>
    <xf numFmtId="165" fontId="31" fillId="0" borderId="39" applyAlignment="1" pivotButton="0" quotePrefix="0" xfId="0">
      <alignment horizontal="left" vertical="center"/>
    </xf>
    <xf numFmtId="43" fontId="31" fillId="0" borderId="0" applyAlignment="1" pivotButton="0" quotePrefix="0" xfId="0">
      <alignment vertical="center"/>
    </xf>
    <xf numFmtId="165" fontId="31" fillId="0" borderId="0" applyAlignment="1" pivotButton="0" quotePrefix="0" xfId="0">
      <alignment horizontal="right" vertical="center"/>
    </xf>
    <xf numFmtId="166" fontId="32" fillId="0" borderId="0" applyAlignment="1" pivotButton="0" quotePrefix="0" xfId="0">
      <alignment horizontal="left" vertical="center" indent="1"/>
    </xf>
    <xf numFmtId="43" fontId="33" fillId="0" borderId="40" applyAlignment="1" pivotButton="0" quotePrefix="0" xfId="0">
      <alignment horizontal="right" vertical="center"/>
    </xf>
    <xf numFmtId="0" fontId="0" fillId="0" borderId="41" pivotButton="0" quotePrefix="0" xfId="0"/>
    <xf numFmtId="165" fontId="33" fillId="0" borderId="42" applyAlignment="1" pivotButton="0" quotePrefix="0" xfId="0">
      <alignment horizontal="right" vertical="center"/>
    </xf>
    <xf numFmtId="43" fontId="33" fillId="0" borderId="43" applyAlignment="1" pivotButton="0" quotePrefix="0" xfId="0">
      <alignment horizontal="right" vertical="center"/>
    </xf>
    <xf numFmtId="165" fontId="33" fillId="0" borderId="44" applyAlignment="1" pivotButton="0" quotePrefix="0" xfId="0">
      <alignment horizontal="right" vertical="center"/>
    </xf>
    <xf numFmtId="0" fontId="0" fillId="0" borderId="46" pivotButton="0" quotePrefix="0" xfId="0"/>
    <xf numFmtId="165" fontId="33" fillId="0" borderId="47" applyAlignment="1" pivotButton="0" quotePrefix="0" xfId="0">
      <alignment horizontal="right" vertical="center"/>
    </xf>
    <xf numFmtId="43" fontId="30" fillId="0" borderId="43" applyAlignment="1" pivotButton="0" quotePrefix="0" xfId="0">
      <alignment horizontal="right" vertical="center"/>
    </xf>
    <xf numFmtId="165" fontId="30" fillId="0" borderId="44" applyAlignment="1" pivotButton="0" quotePrefix="0" xfId="0">
      <alignment horizontal="right" vertical="center"/>
    </xf>
    <xf numFmtId="43" fontId="30" fillId="0" borderId="43" applyAlignment="1" pivotButton="0" quotePrefix="0" xfId="0">
      <alignment horizontal="right" vertical="center" indent="1"/>
    </xf>
    <xf numFmtId="43" fontId="30" fillId="0" borderId="48" applyAlignment="1" pivotButton="0" quotePrefix="0" xfId="0">
      <alignment horizontal="right" vertical="center"/>
    </xf>
    <xf numFmtId="0" fontId="0" fillId="0" borderId="49" pivotButton="0" quotePrefix="0" xfId="0"/>
    <xf numFmtId="165" fontId="30" fillId="0" borderId="50" applyAlignment="1" pivotButton="0" quotePrefix="0" xfId="0">
      <alignment horizontal="right" vertical="center"/>
    </xf>
    <xf numFmtId="165" fontId="11" fillId="0" borderId="0" applyAlignment="1" pivotButton="0" quotePrefix="0" xfId="0">
      <alignment vertical="center"/>
    </xf>
    <xf numFmtId="164" fontId="11" fillId="6" borderId="51" applyAlignment="1" pivotButton="0" quotePrefix="0" xfId="0">
      <alignment horizontal="left" vertical="center" wrapText="1" indent="2"/>
    </xf>
    <xf numFmtId="0" fontId="0" fillId="0" borderId="51" pivotButton="0" quotePrefix="0" xfId="0"/>
    <xf numFmtId="164" fontId="11" fillId="6" borderId="52" applyAlignment="1" pivotButton="0" quotePrefix="0" xfId="0">
      <alignment horizontal="left" vertical="center" wrapText="1" indent="2"/>
    </xf>
    <xf numFmtId="164" fontId="3" fillId="0" borderId="0" applyAlignment="1" pivotButton="0" quotePrefix="0" xfId="0">
      <alignment vertical="center"/>
    </xf>
    <xf numFmtId="0" fontId="0" fillId="0" borderId="20" pivotButton="0" quotePrefix="0" xfId="0"/>
    <xf numFmtId="0" fontId="0" fillId="0" borderId="23" pivotButton="0" quotePrefix="0" xfId="0"/>
    <xf numFmtId="0" fontId="0" fillId="0" borderId="65" pivotButton="0" quotePrefix="0" xfId="0"/>
    <xf numFmtId="0" fontId="0" fillId="0" borderId="67" pivotButton="0" quotePrefix="0" xfId="0"/>
    <xf numFmtId="0" fontId="9" fillId="0" borderId="68" applyAlignment="1" pivotButton="0" quotePrefix="0" xfId="0">
      <alignment horizontal="center" vertical="center" wrapText="1"/>
    </xf>
    <xf numFmtId="0" fontId="0" fillId="0" borderId="25" pivotButton="0" quotePrefix="0" xfId="0"/>
    <xf numFmtId="168" fontId="37" fillId="0" borderId="61" applyAlignment="1" pivotButton="0" quotePrefix="0" xfId="0">
      <alignment vertical="center" wrapText="1" readingOrder="1"/>
    </xf>
    <xf numFmtId="168" fontId="38" fillId="0" borderId="61" applyAlignment="1" pivotButton="0" quotePrefix="0" xfId="0">
      <alignment vertical="center" wrapText="1" readingOrder="1"/>
    </xf>
    <xf numFmtId="167" fontId="0" fillId="0" borderId="58" pivotButton="0" quotePrefix="0" xfId="0"/>
    <xf numFmtId="165" fontId="0" fillId="0" borderId="0" applyAlignment="1" pivotButton="0" quotePrefix="0" xfId="0">
      <alignment vertical="center"/>
    </xf>
  </cellXfs>
  <cellStyles count="3">
    <cellStyle name="Normal" xfId="0" builtinId="0"/>
    <cellStyle name="常规 2" xfId="1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1095828</colOff>
      <row>2</row>
      <rowOff>109286</rowOff>
    </to>
    <pic>
      <nvPicPr>
        <cNvPr id="2" name="图片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259995" cy="52838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tabSelected="1" topLeftCell="A15" zoomScale="150" zoomScaleNormal="150" workbookViewId="0">
      <selection activeCell="H29" sqref="H29"/>
    </sheetView>
  </sheetViews>
  <sheetFormatPr baseColWidth="8" defaultColWidth="9.1796875" defaultRowHeight="10.5"/>
  <cols>
    <col width="15.36328125" customWidth="1" style="41" min="1" max="1"/>
    <col width="23.453125" customWidth="1" style="41" min="2" max="2"/>
    <col width="4.453125" customWidth="1" style="41" min="3" max="3"/>
    <col width="15.1796875" customWidth="1" style="41" min="4" max="4"/>
    <col width="12.54296875" customWidth="1" style="41" min="5" max="5"/>
    <col width="14.36328125" customWidth="1" style="43" min="6" max="6"/>
    <col width="9.1796875" customWidth="1" style="43" min="7" max="7"/>
    <col width="9.1796875" customWidth="1" style="41" min="8" max="8"/>
    <col width="9.1796875" customWidth="1" style="41" min="9" max="9"/>
    <col width="9.1796875" customWidth="1" style="41" min="10" max="16384"/>
  </cols>
  <sheetData>
    <row r="1" ht="19" customHeight="1">
      <c r="B1" s="159" t="inlineStr">
        <is>
          <t>NNRoad – Employer of Record, Payroll Worldwide</t>
        </is>
      </c>
      <c r="G1" s="42" t="n"/>
      <c r="H1" s="43" t="n"/>
    </row>
    <row r="2" ht="14.25" customHeight="1">
      <c r="B2" s="160" t="inlineStr">
        <is>
          <t>333 W San Carlos St., Suite 600, San Jose, CA 95113, USA</t>
        </is>
      </c>
      <c r="G2" s="42" t="n"/>
      <c r="H2" s="43" t="n"/>
    </row>
    <row r="3" ht="18" customFormat="1" customHeight="1" s="44">
      <c r="B3" s="160" t="inlineStr">
        <is>
          <t>USA: +1 (669) 377-5080 | www.NNRoad.com</t>
        </is>
      </c>
      <c r="G3" s="42" t="n"/>
      <c r="H3" s="42" t="n"/>
    </row>
    <row r="4" ht="14" customFormat="1" customHeight="1" s="44">
      <c r="G4" s="42" t="n"/>
      <c r="H4" s="42" t="n"/>
    </row>
    <row r="5" ht="32" customFormat="1" customHeight="1" s="44">
      <c r="A5" s="161" t="inlineStr">
        <is>
          <t>INVOICE</t>
        </is>
      </c>
      <c r="G5" s="42" t="n"/>
      <c r="H5" s="42" t="n"/>
    </row>
    <row r="6" ht="12" customFormat="1" customHeight="1" s="44">
      <c r="A6" s="45" t="n"/>
      <c r="B6" s="45" t="n"/>
      <c r="C6" s="45" t="n"/>
      <c r="D6" s="45" t="n"/>
      <c r="E6" s="45" t="n"/>
      <c r="F6" s="45" t="n"/>
      <c r="G6" s="42" t="n"/>
      <c r="H6" s="42" t="n"/>
    </row>
    <row r="7" ht="13" customFormat="1" customHeight="1" s="44">
      <c r="A7" s="46" t="inlineStr">
        <is>
          <t>Bill to:</t>
        </is>
      </c>
      <c r="B7" s="46" t="n"/>
      <c r="C7" s="46" t="n"/>
      <c r="D7" s="46" t="n"/>
      <c r="E7" s="46" t="n"/>
      <c r="G7" s="42" t="n"/>
      <c r="H7" s="42" t="n"/>
    </row>
    <row r="8" ht="13" customFormat="1" customHeight="1" s="51">
      <c r="A8" s="47" t="inlineStr">
        <is>
          <t>Company name:</t>
        </is>
      </c>
      <c r="B8" s="48" t="inlineStr">
        <is>
          <t>UE Corp</t>
        </is>
      </c>
      <c r="C8" s="49" t="n"/>
      <c r="D8" s="47" t="inlineStr">
        <is>
          <t>Currency</t>
        </is>
      </c>
      <c r="E8" s="47" t="n"/>
      <c r="F8" s="48" t="inlineStr">
        <is>
          <t>USD</t>
        </is>
      </c>
      <c r="G8" s="50" t="n"/>
    </row>
    <row r="9" ht="13" customFormat="1" customHeight="1" s="51">
      <c r="A9" s="47" t="inlineStr">
        <is>
          <t>Client ID:</t>
        </is>
      </c>
      <c r="B9" s="48" t="inlineStr">
        <is>
          <t>CUS1503</t>
        </is>
      </c>
      <c r="C9" s="52" t="n"/>
      <c r="D9" s="47" t="inlineStr">
        <is>
          <t>Invoice number</t>
        </is>
      </c>
      <c r="E9" s="47" t="n"/>
      <c r="F9" s="48" t="inlineStr">
        <is>
          <t>PN-CUS1503-031820261</t>
        </is>
      </c>
      <c r="G9" s="50" t="n"/>
    </row>
    <row r="10" ht="13" customFormat="1" customHeight="1" s="44">
      <c r="A10" s="47" t="inlineStr">
        <is>
          <t>Address:</t>
        </is>
      </c>
      <c r="B10" s="162" t="inlineStr">
        <is>
          <t>168 Georgetown Rd., Canonsburg, Pennsylvanis, USA</t>
        </is>
      </c>
      <c r="C10" s="52" t="n"/>
      <c r="D10" s="47" t="inlineStr">
        <is>
          <t>Invoice date</t>
        </is>
      </c>
      <c r="E10" s="47" t="n"/>
      <c r="F10" s="53">
        <f>TODAY()</f>
        <v/>
      </c>
      <c r="G10" s="42" t="n"/>
    </row>
    <row r="11" ht="12" customFormat="1" customHeight="1" s="51">
      <c r="A11" s="54" t="n"/>
      <c r="D11" s="47" t="inlineStr">
        <is>
          <t>Due date</t>
        </is>
      </c>
      <c r="E11" s="47" t="n"/>
      <c r="F11" s="53" t="n">
        <v>46104</v>
      </c>
      <c r="G11" s="50" t="n"/>
    </row>
    <row r="12" ht="12" customFormat="1" customHeight="1" s="44">
      <c r="A12" s="55" t="n"/>
      <c r="B12" s="55" t="n"/>
      <c r="C12" s="55" t="n"/>
      <c r="D12" s="55" t="n"/>
      <c r="E12" s="56" t="n"/>
      <c r="G12" s="42" t="n"/>
    </row>
    <row r="13" ht="11" customHeight="1" thickBot="1"/>
    <row r="14" ht="28" customFormat="1" customHeight="1" s="60">
      <c r="A14" s="157" t="inlineStr">
        <is>
          <t>Description</t>
        </is>
      </c>
      <c r="B14" s="180" t="n"/>
      <c r="C14" s="180" t="n"/>
      <c r="D14" s="158" t="n"/>
      <c r="E14" s="158">
        <f>"Amount "&amp;'Hong Kong'!C6</f>
        <v/>
      </c>
      <c r="F14" s="58" t="inlineStr">
        <is>
          <t>Approx. In USD*</t>
        </is>
      </c>
      <c r="G14" s="59" t="n"/>
    </row>
    <row r="15" ht="16" customFormat="1" customHeight="1" s="65">
      <c r="A15" s="145" t="inlineStr">
        <is>
          <t>EOR/PEO Cost</t>
        </is>
      </c>
      <c r="D15" s="146" t="n"/>
      <c r="E15" s="181">
        <f>SUM(E16:E18)</f>
        <v/>
      </c>
      <c r="F15" s="182">
        <f>SUM(F16:F18)</f>
        <v/>
      </c>
      <c r="G15" s="183" t="n"/>
    </row>
    <row r="16" ht="13" customFormat="1" customHeight="1" s="70">
      <c r="A16" s="147">
        <f>"- Labor cost for "&amp;'Hong Kong'!B9&amp;"  -  "&amp;MONTH('Hong Kong'!B2) &amp;"-"&amp; YEAR('Hong Kong'!C2)</f>
        <v/>
      </c>
      <c r="D16" s="148" t="n"/>
      <c r="E16" s="184">
        <f>'Hong Kong'!I9+'Hong Kong'!R9-'Hong Kong'!P9</f>
        <v/>
      </c>
      <c r="F16" s="185">
        <f>E16/$B$28</f>
        <v/>
      </c>
      <c r="G16" s="186" t="n"/>
    </row>
    <row r="17" ht="13" customHeight="1">
      <c r="A17" s="147">
        <f>"- "&amp;+"Expense claim for "&amp;'Hong Kong'!B9&amp;"  -  "&amp;MONTH('Hong Kong'!B2) &amp;"-"&amp; YEAR('Hong Kong'!C2)</f>
        <v/>
      </c>
      <c r="D17" s="148" t="n"/>
      <c r="E17" s="184">
        <f>'Hong Kong'!V9</f>
        <v/>
      </c>
      <c r="F17" s="185">
        <f>E17/$B$28</f>
        <v/>
      </c>
      <c r="G17" s="187" t="n"/>
    </row>
    <row r="18" ht="13" customHeight="1">
      <c r="A18" s="147">
        <f>"- Office Rental"</f>
        <v/>
      </c>
      <c r="D18" s="72" t="n"/>
      <c r="E18" s="184">
        <f>'Hong Kong'!P6</f>
        <v/>
      </c>
      <c r="F18" s="185">
        <f>E18/$B$28</f>
        <v/>
      </c>
      <c r="G18" s="187" t="n"/>
    </row>
    <row r="19" ht="13" customHeight="1">
      <c r="A19" s="149" t="n"/>
      <c r="D19" s="150" t="n"/>
      <c r="E19" s="188" t="n"/>
      <c r="F19" s="185" t="n"/>
      <c r="G19" s="187" t="n"/>
    </row>
    <row r="20" ht="16" customFormat="1" customHeight="1" s="77">
      <c r="A20" s="145" t="inlineStr">
        <is>
          <t>Service Fee</t>
        </is>
      </c>
      <c r="D20" s="146" t="n"/>
      <c r="E20" s="181">
        <f>SUM(E21:E22)</f>
        <v/>
      </c>
      <c r="F20" s="189">
        <f>SUM(F21:F22)</f>
        <v/>
      </c>
      <c r="G20" s="190" t="n"/>
    </row>
    <row r="21" ht="13" customHeight="1">
      <c r="A21" s="151">
        <f>"- "&amp;+"Management Fee - "&amp;MONTH('Hong Kong'!B2) &amp;"-"&amp; YEAR('Hong Kong'!B2)</f>
        <v/>
      </c>
      <c r="D21" s="152" t="n"/>
      <c r="E21" s="188">
        <f>'Hong Kong'!G9</f>
        <v/>
      </c>
      <c r="F21" s="185">
        <f>E21/$B$28</f>
        <v/>
      </c>
      <c r="G21" s="187" t="n"/>
    </row>
    <row r="22" ht="13" customHeight="1">
      <c r="A22" s="151" t="n"/>
      <c r="D22" s="152" t="n"/>
      <c r="E22" s="188" t="inlineStr">
        <is>
          <t xml:space="preserve"> </t>
        </is>
      </c>
      <c r="F22" s="185" t="n"/>
      <c r="G22" s="187" t="n"/>
    </row>
    <row r="23" ht="13" customHeight="1">
      <c r="A23" s="151" t="n"/>
      <c r="D23" s="152" t="n"/>
      <c r="E23" s="188" t="n"/>
      <c r="F23" s="185" t="n"/>
      <c r="G23" s="187" t="n"/>
    </row>
    <row r="24" ht="14.5" customHeight="1">
      <c r="A24" s="153" t="n"/>
      <c r="D24" s="154" t="n"/>
      <c r="E24" s="191" t="n"/>
      <c r="F24" s="192" t="n"/>
      <c r="G24" s="187" t="n"/>
    </row>
    <row r="25" ht="15" customFormat="1" customHeight="1" s="65" thickBot="1">
      <c r="A25" s="155" t="inlineStr">
        <is>
          <t xml:space="preserve">EOR/PEO Service Cost		</t>
        </is>
      </c>
      <c r="B25" s="193" t="n"/>
      <c r="C25" s="193" t="n"/>
      <c r="D25" s="193" t="n"/>
      <c r="E25" s="194">
        <f>E15+E20</f>
        <v/>
      </c>
      <c r="F25" s="195">
        <f>F15+F20</f>
        <v/>
      </c>
      <c r="G25" s="183" t="n"/>
    </row>
    <row r="26" ht="14.5" customFormat="1" customHeight="1" s="65">
      <c r="A26" s="84" t="n"/>
      <c r="B26" s="84" t="n"/>
      <c r="C26" s="85" t="n"/>
      <c r="D26" s="85" t="n"/>
      <c r="E26" s="196" t="n"/>
      <c r="F26" s="197" t="n"/>
      <c r="G26" s="183" t="n"/>
    </row>
    <row r="27" ht="15" customFormat="1" customHeight="1" s="65" thickBot="1">
      <c r="A27" s="88" t="n"/>
      <c r="B27" s="88" t="n"/>
      <c r="C27" s="88" t="n"/>
      <c r="D27" s="88" t="n"/>
      <c r="E27" s="196" t="n"/>
      <c r="F27" s="197" t="n"/>
      <c r="G27" s="183" t="n"/>
    </row>
    <row r="28" ht="26" customHeight="1">
      <c r="A28" s="89">
        <f>"*FX rate  USD:  "&amp;'Hong Kong'!C6</f>
        <v/>
      </c>
      <c r="B28" s="198">
        <f>7.81039098*0.97</f>
        <v/>
      </c>
      <c r="C28" s="196" t="n"/>
      <c r="D28" s="199" t="inlineStr">
        <is>
          <t>EOR/PEO Service Cost</t>
        </is>
      </c>
      <c r="E28" s="200" t="n"/>
      <c r="F28" s="201">
        <f>F25</f>
        <v/>
      </c>
      <c r="G28" s="187" t="n"/>
    </row>
    <row r="29" ht="16" customFormat="1" customHeight="1" s="70">
      <c r="A29" s="92" t="n"/>
      <c r="B29" s="92" t="n"/>
      <c r="C29" s="196" t="n"/>
      <c r="D29" s="202" t="inlineStr">
        <is>
          <t xml:space="preserve">Outstanding payment </t>
        </is>
      </c>
      <c r="F29" s="203">
        <f>'Hong Kong'!E22</f>
        <v/>
      </c>
      <c r="G29" s="186" t="n"/>
    </row>
    <row r="30" ht="14.5" customFormat="1" customHeight="1" s="70">
      <c r="A30" s="92" t="n"/>
      <c r="B30" s="92" t="n"/>
      <c r="C30" s="196" t="n"/>
      <c r="D30" s="202" t="inlineStr">
        <is>
          <t xml:space="preserve">FX difference </t>
        </is>
      </c>
      <c r="F30" s="203">
        <f>'Hong Kong'!E23</f>
        <v/>
      </c>
      <c r="G30" s="186" t="n"/>
    </row>
    <row r="31" ht="14.5" customHeight="1">
      <c r="A31" s="92" t="n"/>
      <c r="B31" s="92" t="n"/>
      <c r="C31" s="196" t="n"/>
      <c r="D31" s="202" t="inlineStr">
        <is>
          <t xml:space="preserve">Interests of delay </t>
        </is>
      </c>
      <c r="F31" s="203">
        <f>'Hong Kong'!E24</f>
        <v/>
      </c>
      <c r="G31" s="187" t="n"/>
    </row>
    <row r="32" ht="15" customHeight="1" thickBot="1">
      <c r="A32" s="92" t="n"/>
      <c r="B32" s="92" t="n"/>
      <c r="C32" s="94" t="n"/>
      <c r="D32" s="137" t="inlineStr">
        <is>
          <t xml:space="preserve">Bank Charges </t>
        </is>
      </c>
      <c r="E32" s="204" t="n"/>
      <c r="F32" s="205">
        <f>'Hong Kong'!E25</f>
        <v/>
      </c>
      <c r="G32" s="187" t="n"/>
    </row>
    <row r="33" ht="14.5" customHeight="1">
      <c r="A33" s="92" t="n"/>
      <c r="B33" s="92" t="n"/>
      <c r="C33" s="196" t="n"/>
      <c r="D33" s="206" t="inlineStr">
        <is>
          <t xml:space="preserve">Sub Total (Excluding Tax)		</t>
        </is>
      </c>
      <c r="F33" s="207">
        <f>SUM(F28:F32)</f>
        <v/>
      </c>
      <c r="G33" s="187" t="n"/>
    </row>
    <row r="34" ht="14.5" customHeight="1">
      <c r="A34" s="92" t="n"/>
      <c r="B34" s="92" t="n"/>
      <c r="C34" s="196" t="n"/>
      <c r="D34" s="208" t="inlineStr">
        <is>
          <t>Tax</t>
        </is>
      </c>
      <c r="F34" s="207">
        <f>'Hong Kong'!F6</f>
        <v/>
      </c>
      <c r="G34" s="187" t="n"/>
    </row>
    <row r="35" ht="15" customHeight="1" thickBot="1">
      <c r="A35" s="97" t="n"/>
      <c r="B35" s="97" t="n"/>
      <c r="C35" s="196" t="n"/>
      <c r="D35" s="209" t="inlineStr">
        <is>
          <t xml:space="preserve">Total		</t>
        </is>
      </c>
      <c r="E35" s="210" t="n"/>
      <c r="F35" s="211">
        <f>SUM(F33:F34)</f>
        <v/>
      </c>
      <c r="G35" s="187" t="n"/>
      <c r="H35" s="212" t="n"/>
    </row>
    <row r="36" ht="14.5" customHeight="1">
      <c r="A36" s="154" t="n"/>
      <c r="B36" s="154" t="n"/>
      <c r="C36" s="154" t="n"/>
      <c r="D36" s="154" t="n"/>
      <c r="E36" s="94" t="n"/>
      <c r="F36" s="94" t="n"/>
      <c r="G36" s="187" t="n"/>
    </row>
    <row r="37" ht="14.5" customHeight="1">
      <c r="A37" s="154" t="n"/>
      <c r="B37" s="154" t="n"/>
      <c r="C37" s="154" t="n"/>
      <c r="D37" s="154" t="n"/>
      <c r="E37" s="94" t="n"/>
      <c r="F37" s="94" t="n"/>
      <c r="G37" s="187" t="n"/>
    </row>
    <row r="38">
      <c r="G38" s="187" t="n"/>
    </row>
    <row r="39" ht="19" customHeight="1">
      <c r="A39" s="131" t="inlineStr">
        <is>
          <t xml:space="preserve">Please pay the Invoice in FULL AMOUNT </t>
        </is>
      </c>
    </row>
    <row r="40" ht="61" customHeight="1">
      <c r="A40" s="213" t="inlineStr">
        <is>
          <t>Beneficiary: NNROAD, INC.
Bank Name: Chase Bank
Bank Account: 132827913
Bank Add.: 690 River Oaks Parkway Ste A, San Jose, CA 95134, USA</t>
        </is>
      </c>
      <c r="C40" s="214" t="n"/>
      <c r="D40" s="215" t="inlineStr">
        <is>
          <t xml:space="preserve">
SWIFT BIC (international transfer): CHASUS33XXX
Routing Number (domestic wire transfer): 021000021
Routing Number (domestic ACH and direct deposit): 322271627</t>
        </is>
      </c>
    </row>
    <row r="41">
      <c r="A41" s="41" t="inlineStr">
        <is>
          <t>Notes:</t>
        </is>
      </c>
    </row>
    <row r="42" ht="11" customHeight="1">
      <c r="A42" s="65" t="inlineStr">
        <is>
          <t>1. Please ensure that you include the Invoice Number when making your payment. This will help us accurately process and allocate your payment .</t>
        </is>
      </c>
      <c r="B42" s="65" t="n"/>
      <c r="C42" s="65" t="n"/>
      <c r="D42" s="65" t="n"/>
      <c r="E42" s="65" t="n"/>
      <c r="F42" s="65" t="n"/>
    </row>
    <row r="43">
      <c r="A43" s="65" t="inlineStr">
        <is>
          <t>2. This document becomes a Tax Invoice/Receipt upon payment. Please retain a copy for your records.</t>
        </is>
      </c>
    </row>
    <row r="44">
      <c r="A44" s="65" t="inlineStr">
        <is>
          <t>3. This is a computer generated document.  No Signature required.</t>
        </is>
      </c>
    </row>
  </sheetData>
  <mergeCells count="28">
    <mergeCell ref="D34:E34"/>
    <mergeCell ref="B3:F3"/>
    <mergeCell ref="A18:C18"/>
    <mergeCell ref="A21:C21"/>
    <mergeCell ref="D31:E31"/>
    <mergeCell ref="B2:F2"/>
    <mergeCell ref="A23:C23"/>
    <mergeCell ref="A14:C14"/>
    <mergeCell ref="A5:F5"/>
    <mergeCell ref="A22:C22"/>
    <mergeCell ref="A17:C17"/>
    <mergeCell ref="D32:E32"/>
    <mergeCell ref="B1:F1"/>
    <mergeCell ref="B10:B11"/>
    <mergeCell ref="A20:C20"/>
    <mergeCell ref="A19:C19"/>
    <mergeCell ref="A40:C40"/>
    <mergeCell ref="D28:E28"/>
    <mergeCell ref="A25:D25"/>
    <mergeCell ref="A15:C15"/>
    <mergeCell ref="A39:F39"/>
    <mergeCell ref="A24:C24"/>
    <mergeCell ref="D30:E30"/>
    <mergeCell ref="D33:E33"/>
    <mergeCell ref="D29:E29"/>
    <mergeCell ref="D40:F40"/>
    <mergeCell ref="A16:C16"/>
    <mergeCell ref="D35:E35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6"/>
  <sheetViews>
    <sheetView zoomScale="92" zoomScaleNormal="55" workbookViewId="0">
      <selection activeCell="I31" sqref="I31"/>
    </sheetView>
  </sheetViews>
  <sheetFormatPr baseColWidth="8" defaultColWidth="9.1796875" defaultRowHeight="13"/>
  <cols>
    <col width="8.81640625" bestFit="1" customWidth="1" style="1" min="1" max="1"/>
    <col width="18" bestFit="1" customWidth="1" style="2" min="2" max="2"/>
    <col width="11.81640625" bestFit="1" customWidth="1" style="2" min="3" max="3"/>
    <col width="7.453125" customWidth="1" style="2" min="4" max="4"/>
    <col width="9.81640625" bestFit="1" customWidth="1" style="2" min="5" max="5"/>
    <col width="7.1796875" bestFit="1" customWidth="1" style="2" min="6" max="6"/>
    <col width="8.81640625" bestFit="1" customWidth="1" style="2" min="7" max="10"/>
    <col width="4.81640625" bestFit="1" customWidth="1" style="2" min="11" max="11"/>
    <col width="5.36328125" bestFit="1" customWidth="1" style="2" min="12" max="12"/>
    <col width="5.6328125" bestFit="1" customWidth="1" style="2" min="13" max="13"/>
    <col width="7.1796875" bestFit="1" customWidth="1" style="2" min="14" max="14"/>
    <col width="6.81640625" bestFit="1" customWidth="1" style="2" min="15" max="15"/>
    <col width="8" bestFit="1" customWidth="1" style="2" min="16" max="16"/>
    <col width="9" bestFit="1" customWidth="1" style="2" min="17" max="17"/>
    <col width="8" bestFit="1" customWidth="1" style="2" min="18" max="18"/>
    <col width="11" bestFit="1" customWidth="1" style="2" min="19" max="19"/>
    <col width="8" bestFit="1" customWidth="1" style="2" min="20" max="20"/>
    <col width="5.81640625" bestFit="1" customWidth="1" style="2" min="21" max="21"/>
    <col width="8.81640625" bestFit="1" customWidth="1" style="2" min="22" max="23"/>
    <col width="9.1796875" customWidth="1" style="2" min="24" max="16384"/>
  </cols>
  <sheetData>
    <row r="1" ht="13.5" customHeight="1" thickBot="1">
      <c r="A1" s="1">
        <f>MID(CELL("filename",A1),FIND("]",CELL("filename",A1))+1,256)</f>
        <v/>
      </c>
    </row>
    <row r="2" ht="13.5" customHeight="1" thickBot="1">
      <c r="A2" s="3" t="inlineStr">
        <is>
          <t>Pay Period</t>
        </is>
      </c>
      <c r="B2" s="216">
        <f>'Hong Kong-L'!C2</f>
        <v/>
      </c>
      <c r="C2" s="123">
        <f>'Hong Kong-L'!E2</f>
        <v/>
      </c>
      <c r="E2" s="122" t="inlineStr">
        <is>
          <t>ER</t>
        </is>
      </c>
    </row>
    <row r="3" ht="14" customFormat="1" customHeight="1" s="5">
      <c r="A3" s="3" t="n"/>
      <c r="B3" s="216" t="n"/>
      <c r="E3" s="165" t="inlineStr">
        <is>
          <t>Sum</t>
        </is>
      </c>
      <c r="F3" s="167" t="inlineStr">
        <is>
          <t>Business
Tax</t>
        </is>
      </c>
      <c r="G3" s="169" t="inlineStr">
        <is>
          <t>Management Fee</t>
        </is>
      </c>
      <c r="H3" s="217" t="n"/>
      <c r="I3" s="163" t="inlineStr">
        <is>
          <t>Gross Salary</t>
        </is>
      </c>
      <c r="J3" s="217" t="n"/>
      <c r="K3" s="217" t="n"/>
      <c r="L3" s="217" t="n"/>
      <c r="M3" s="217" t="n"/>
      <c r="N3" s="217" t="n"/>
      <c r="O3" s="217" t="n"/>
      <c r="P3" s="217" t="n"/>
      <c r="Q3" s="218" t="n"/>
      <c r="R3" s="163" t="inlineStr">
        <is>
          <t>Mandatory Contribution</t>
        </is>
      </c>
      <c r="S3" s="217" t="n"/>
      <c r="T3" s="217" t="n"/>
      <c r="U3" s="218" t="n"/>
      <c r="V3" s="163" t="inlineStr">
        <is>
          <t>Expense Claim</t>
        </is>
      </c>
      <c r="W3" s="218" t="n"/>
    </row>
    <row r="4" ht="39.5" customFormat="1" customHeight="1" s="5" thickBot="1">
      <c r="E4" s="219" t="n"/>
      <c r="F4" s="220" t="n"/>
      <c r="G4" s="168" t="inlineStr">
        <is>
          <t>Subtotal</t>
        </is>
      </c>
      <c r="H4" s="6" t="inlineStr">
        <is>
          <t>Recurring
Fee</t>
        </is>
      </c>
      <c r="I4" s="168" t="inlineStr">
        <is>
          <t>Subtotal</t>
        </is>
      </c>
      <c r="J4" s="6" t="inlineStr">
        <is>
          <t>Base Salary</t>
        </is>
      </c>
      <c r="K4" s="6" t="inlineStr">
        <is>
          <t>OT</t>
        </is>
      </c>
      <c r="L4" s="6" t="inlineStr">
        <is>
          <t>Salary Adjusment</t>
        </is>
      </c>
      <c r="M4" s="6" t="inlineStr">
        <is>
          <t>Bonus</t>
        </is>
      </c>
      <c r="N4" s="6" t="inlineStr">
        <is>
          <t>Leave Payment</t>
        </is>
      </c>
      <c r="O4" s="6" t="inlineStr">
        <is>
          <t>Backpay</t>
        </is>
      </c>
      <c r="P4" s="168" t="inlineStr">
        <is>
          <t xml:space="preserve">Other </t>
        </is>
      </c>
      <c r="Q4" s="6" t="inlineStr">
        <is>
          <t>Net 
Adjustment</t>
        </is>
      </c>
      <c r="R4" s="168" t="inlineStr">
        <is>
          <t>Subtotal</t>
        </is>
      </c>
      <c r="S4" s="6" t="inlineStr">
        <is>
          <t>Employees' Compensation Insurance</t>
        </is>
      </c>
      <c r="T4" s="6" t="inlineStr">
        <is>
          <t>MPF ER</t>
        </is>
      </c>
      <c r="U4" s="6" t="inlineStr">
        <is>
          <t>Others</t>
        </is>
      </c>
      <c r="V4" s="168" t="inlineStr">
        <is>
          <t>Subtotal</t>
        </is>
      </c>
      <c r="W4" s="107" t="inlineStr">
        <is>
          <t>Expense
Claim</t>
        </is>
      </c>
    </row>
    <row r="5" ht="13.5" customFormat="1" customHeight="1" s="5" thickBot="1">
      <c r="A5" s="1" t="n"/>
      <c r="E5" s="7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9" t="n"/>
    </row>
    <row r="6" customFormat="1" s="11">
      <c r="A6" s="10" t="n"/>
      <c r="B6" s="11" t="inlineStr">
        <is>
          <t>Sum</t>
        </is>
      </c>
      <c r="C6" s="11" t="inlineStr">
        <is>
          <t>(HKD)</t>
        </is>
      </c>
      <c r="E6" s="16">
        <f>SUM(E9:E17)</f>
        <v/>
      </c>
      <c r="F6" s="17">
        <f>SUM(F9:F17)</f>
        <v/>
      </c>
      <c r="G6" s="17">
        <f>SUM(G9:G17)</f>
        <v/>
      </c>
      <c r="H6" s="17">
        <f>SUM(H9:H17)</f>
        <v/>
      </c>
      <c r="I6" s="17">
        <f>SUM(I9:I17)</f>
        <v/>
      </c>
      <c r="J6" s="17">
        <f>SUM(J9:J17)</f>
        <v/>
      </c>
      <c r="K6" s="17">
        <f>SUM(K9:K17)</f>
        <v/>
      </c>
      <c r="L6" s="17">
        <f>SUM(L9:L17)</f>
        <v/>
      </c>
      <c r="M6" s="17">
        <f>SUM(M9:M17)</f>
        <v/>
      </c>
      <c r="N6" s="17">
        <f>SUM(N9:N17)</f>
        <v/>
      </c>
      <c r="O6" s="17">
        <f>SUM(O9:O17)</f>
        <v/>
      </c>
      <c r="P6" s="17">
        <f>SUM(P9:P17)</f>
        <v/>
      </c>
      <c r="Q6" s="17">
        <f>SUM(Q9:Q17)</f>
        <v/>
      </c>
      <c r="R6" s="17">
        <f>SUM(R9:R17)</f>
        <v/>
      </c>
      <c r="S6" s="17">
        <f>SUM(S9:S17)</f>
        <v/>
      </c>
      <c r="T6" s="17">
        <f>SUM(T9:T17)</f>
        <v/>
      </c>
      <c r="U6" s="17">
        <f>SUM(U9:U17)</f>
        <v/>
      </c>
      <c r="V6" s="17">
        <f>SUM(V9:V17)</f>
        <v/>
      </c>
      <c r="W6" s="18">
        <f>SUM(W9:W17)</f>
        <v/>
      </c>
      <c r="X6" s="15" t="n"/>
    </row>
    <row r="7" customFormat="1" s="11">
      <c r="A7" s="19" t="n"/>
      <c r="B7" s="34" t="n"/>
      <c r="C7" s="40" t="n"/>
      <c r="E7" s="16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8" t="n"/>
      <c r="X7" s="15" t="n"/>
    </row>
    <row r="8" customFormat="1" s="11">
      <c r="A8" s="19" t="n"/>
      <c r="E8" s="16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8" t="n"/>
      <c r="X8" s="15" t="n"/>
    </row>
    <row r="9" customFormat="1" s="11">
      <c r="A9" s="10" t="n"/>
      <c r="B9" s="11">
        <f>'Hong Kong-L'!B8</f>
        <v/>
      </c>
      <c r="C9" s="11">
        <f>'Hong Kong EE'!D10</f>
        <v/>
      </c>
      <c r="E9" s="16">
        <f>F9+G9+I9+R9+V9</f>
        <v/>
      </c>
      <c r="F9" s="17" t="n">
        <v>0</v>
      </c>
      <c r="G9" s="17">
        <f>SUM(H9:H9)</f>
        <v/>
      </c>
      <c r="H9" s="17">
        <f>MAX(600*PN!B28,(I9+R9+V9)*16%)</f>
        <v/>
      </c>
      <c r="I9" s="17">
        <f>SUM(J9:Q9)</f>
        <v/>
      </c>
      <c r="J9" s="17">
        <f>'Hong Kong-L'!C8</f>
        <v/>
      </c>
      <c r="K9" s="17">
        <f>'Hong Kong-L'!D8</f>
        <v/>
      </c>
      <c r="L9" s="17">
        <f>'Hong Kong-L'!E8</f>
        <v/>
      </c>
      <c r="M9" s="17">
        <f>'Hong Kong-L'!F8</f>
        <v/>
      </c>
      <c r="N9" s="17">
        <f>'Hong Kong-L'!G8</f>
        <v/>
      </c>
      <c r="O9" s="17">
        <f>'Hong Kong-L'!H8</f>
        <v/>
      </c>
      <c r="P9" s="17">
        <f>'Hong Kong-L'!I8</f>
        <v/>
      </c>
      <c r="Q9" s="17">
        <f>'Hong Kong-L'!P8</f>
        <v/>
      </c>
      <c r="R9" s="17">
        <f>SUM(S9:U9)</f>
        <v/>
      </c>
      <c r="S9" s="17">
        <f>'Hong Kong-L'!L8</f>
        <v/>
      </c>
      <c r="T9" s="17">
        <f>'Hong Kong-L'!M8</f>
        <v/>
      </c>
      <c r="U9" s="17">
        <f>'Hong Kong-L'!O8</f>
        <v/>
      </c>
      <c r="V9" s="17">
        <f>SUM(W9:W9)</f>
        <v/>
      </c>
      <c r="W9" s="18">
        <f>'Hong Kong-L'!J8</f>
        <v/>
      </c>
      <c r="X9" s="15" t="n"/>
    </row>
    <row r="10" customFormat="1" s="11">
      <c r="A10" s="10" t="n"/>
      <c r="E10" s="16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8" t="n"/>
      <c r="X10" s="15" t="n"/>
    </row>
    <row r="11" customFormat="1" s="11">
      <c r="A11" s="10" t="n"/>
      <c r="E11" s="16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8" t="n"/>
      <c r="X11" s="15" t="n"/>
    </row>
    <row r="12" customFormat="1" s="11">
      <c r="A12" s="10" t="n"/>
      <c r="E12" s="16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8" t="n"/>
      <c r="X12" s="15" t="n"/>
    </row>
    <row r="13" customFormat="1" s="11">
      <c r="A13" s="10" t="n"/>
      <c r="E13" s="16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8" t="n"/>
      <c r="X13" s="15" t="n"/>
    </row>
    <row r="14" customFormat="1" s="11">
      <c r="A14" s="10" t="n"/>
      <c r="E14" s="16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8" t="n"/>
      <c r="X14" s="15" t="n"/>
    </row>
    <row r="15" customFormat="1" s="11">
      <c r="A15" s="10" t="n"/>
      <c r="E15" s="16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8" t="n"/>
      <c r="X15" s="15" t="n"/>
    </row>
    <row r="16" customFormat="1" s="11">
      <c r="A16" s="10" t="n"/>
      <c r="E16" s="16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8" t="n"/>
      <c r="X16" s="15" t="n"/>
    </row>
    <row r="17" ht="13.5" customFormat="1" customHeight="1" s="11" thickBot="1">
      <c r="A17" s="10" t="n"/>
      <c r="E17" s="20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2" t="n"/>
      <c r="X17" s="15" t="n"/>
    </row>
    <row r="20" ht="15" customFormat="1" customHeight="1" s="28" thickBot="1">
      <c r="A20" s="27" t="n"/>
    </row>
    <row r="21" ht="14.5" customFormat="1" customHeight="1" s="28">
      <c r="A21" s="27" t="inlineStr">
        <is>
          <t>Other Fee</t>
        </is>
      </c>
      <c r="B21" s="100" t="n"/>
      <c r="C21" s="100" t="n"/>
      <c r="D21" s="100" t="n"/>
      <c r="E21" s="101">
        <f>SUM(E22:E26)</f>
        <v/>
      </c>
      <c r="F21" s="102" t="n">
        <v>0</v>
      </c>
    </row>
    <row r="22" ht="14.5" customFormat="1" customHeight="1" s="28">
      <c r="A22" s="27" t="n"/>
      <c r="B22" s="100" t="inlineStr">
        <is>
          <t xml:space="preserve">Outstanding payment </t>
        </is>
      </c>
      <c r="C22" s="100" t="n"/>
      <c r="D22" s="100" t="n"/>
      <c r="E22" s="103" t="n">
        <v>18.33</v>
      </c>
      <c r="F22" s="104" t="n"/>
      <c r="G22" s="31" t="n"/>
    </row>
    <row r="23" ht="14.5" customFormat="1" customHeight="1" s="28">
      <c r="A23" s="27" t="n"/>
      <c r="B23" s="100" t="inlineStr">
        <is>
          <t xml:space="preserve">FX difference </t>
        </is>
      </c>
      <c r="C23" s="100" t="n"/>
      <c r="D23" s="100" t="n"/>
      <c r="E23" s="103" t="n"/>
      <c r="F23" s="104" t="n">
        <v>0</v>
      </c>
    </row>
    <row r="24" ht="14.5" customFormat="1" customHeight="1" s="28">
      <c r="A24" s="27" t="n"/>
      <c r="B24" s="100" t="inlineStr">
        <is>
          <t>Interests of delay</t>
        </is>
      </c>
      <c r="C24" s="100" t="n"/>
      <c r="D24" s="100" t="n"/>
      <c r="E24" s="103" t="n"/>
      <c r="F24" s="104" t="n">
        <v>0</v>
      </c>
    </row>
    <row r="25" ht="14.5" customFormat="1" customHeight="1" s="28">
      <c r="A25" s="27" t="n"/>
      <c r="B25" s="100" t="inlineStr">
        <is>
          <t>Bank Charges</t>
        </is>
      </c>
      <c r="C25" s="100" t="n"/>
      <c r="D25" s="100" t="n"/>
      <c r="E25" s="103" t="n">
        <v>10</v>
      </c>
      <c r="F25" s="104" t="n"/>
    </row>
    <row r="26" ht="15" customFormat="1" customHeight="1" s="28" thickBot="1">
      <c r="A26" s="27" t="n"/>
      <c r="B26" s="100" t="inlineStr">
        <is>
          <t xml:space="preserve">Invoice adjustment </t>
        </is>
      </c>
      <c r="C26" s="100" t="n"/>
      <c r="D26" s="100" t="n"/>
      <c r="E26" s="105" t="n">
        <v>0</v>
      </c>
      <c r="F26" s="106" t="n"/>
    </row>
  </sheetData>
  <mergeCells count="6">
    <mergeCell ref="R3:U3"/>
    <mergeCell ref="E3:E4"/>
    <mergeCell ref="F3:F4"/>
    <mergeCell ref="I3:Q3"/>
    <mergeCell ref="G3:H3"/>
    <mergeCell ref="V3:W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9"/>
  <sheetViews>
    <sheetView zoomScaleNormal="55" workbookViewId="0">
      <selection activeCell="H33" sqref="H33"/>
    </sheetView>
  </sheetViews>
  <sheetFormatPr baseColWidth="8" defaultColWidth="9.1796875" defaultRowHeight="13"/>
  <cols>
    <col width="12.36328125" bestFit="1" customWidth="1" style="1" min="1" max="1"/>
    <col width="9.81640625" bestFit="1" customWidth="1" style="2" min="2" max="2"/>
    <col width="10.36328125" bestFit="1" customWidth="1" style="2" min="3" max="3"/>
    <col width="12.6328125" bestFit="1" customWidth="1" style="2" min="4" max="4"/>
    <col width="12" bestFit="1" customWidth="1" style="2" min="5" max="5"/>
    <col width="8.453125" bestFit="1" customWidth="1" style="2" min="6" max="6"/>
    <col width="9.453125" bestFit="1" customWidth="1" style="2" min="7" max="7"/>
    <col width="12.7265625" customWidth="1" style="2" min="8" max="8"/>
    <col width="12.6328125" customWidth="1" style="2" min="9" max="9"/>
    <col width="8.81640625" bestFit="1" customWidth="1" style="2" min="10" max="10"/>
    <col width="4.6328125" bestFit="1" customWidth="1" style="2" min="11" max="11"/>
    <col width="8.36328125" bestFit="1" customWidth="1" style="2" min="12" max="12"/>
    <col width="10.1796875" customWidth="1" style="2" min="13" max="13"/>
    <col width="7.1796875" bestFit="1" customWidth="1" style="2" min="14" max="14"/>
    <col width="6.81640625" bestFit="1" customWidth="1" style="2" min="15" max="15"/>
    <col width="7.453125" bestFit="1" customWidth="1" style="2" min="16" max="16"/>
    <col width="11.453125" bestFit="1" customWidth="1" style="2" min="17" max="17"/>
    <col width="8.36328125" bestFit="1" customWidth="1" style="2" min="18" max="19"/>
    <col width="8" bestFit="1" customWidth="1" style="2" min="20" max="21"/>
    <col width="9.1796875" customWidth="1" style="2" min="22" max="16384"/>
  </cols>
  <sheetData>
    <row r="1" ht="13.5" customHeight="1" thickBot="1">
      <c r="A1" s="1">
        <f>MID(CELL("filename",A1),FIND("]",CELL("filename",A1))+1,256)</f>
        <v/>
      </c>
      <c r="C1" s="216" t="n"/>
      <c r="D1" s="216" t="n"/>
      <c r="E1" s="216" t="n"/>
      <c r="F1" s="216" t="n"/>
      <c r="H1" s="26" t="n"/>
    </row>
    <row r="2" ht="13.5" customHeight="1" thickBot="1">
      <c r="A2" s="3" t="n"/>
      <c r="B2" s="216" t="n"/>
      <c r="C2" s="216" t="n"/>
      <c r="D2" s="216" t="n"/>
      <c r="E2" s="216" t="n"/>
      <c r="F2" s="216" t="n"/>
      <c r="H2" s="25" t="inlineStr">
        <is>
          <t>EE</t>
        </is>
      </c>
    </row>
    <row r="3" ht="14" customFormat="1" customHeight="1" s="5">
      <c r="A3" s="35" t="n"/>
      <c r="B3" s="175" t="inlineStr">
        <is>
          <t>Client Code</t>
        </is>
      </c>
      <c r="C3" s="175" t="inlineStr">
        <is>
          <t>Client Name</t>
        </is>
      </c>
      <c r="D3" s="175" t="inlineStr">
        <is>
          <t>EE Code</t>
        </is>
      </c>
      <c r="E3" s="175" t="inlineStr">
        <is>
          <t>EE Name</t>
        </is>
      </c>
      <c r="F3" s="221" t="inlineStr">
        <is>
          <t>Pay Period</t>
        </is>
      </c>
      <c r="G3" s="222" t="n"/>
      <c r="H3" s="174" t="inlineStr">
        <is>
          <t>Net
Income</t>
        </is>
      </c>
      <c r="I3" s="163" t="inlineStr">
        <is>
          <t>Gross Salary</t>
        </is>
      </c>
      <c r="J3" s="217" t="n"/>
      <c r="K3" s="217" t="n"/>
      <c r="L3" s="217" t="n"/>
      <c r="M3" s="217" t="n"/>
      <c r="N3" s="217" t="n"/>
      <c r="O3" s="217" t="n"/>
      <c r="P3" s="217" t="n"/>
      <c r="Q3" s="218" t="n"/>
      <c r="R3" s="163" t="inlineStr">
        <is>
          <t>Expense Claim</t>
        </is>
      </c>
      <c r="S3" s="218" t="n"/>
      <c r="T3" s="163" t="inlineStr">
        <is>
          <t>Mandatory Contribution</t>
        </is>
      </c>
      <c r="U3" s="218" t="n"/>
    </row>
    <row r="4" ht="39.5" customFormat="1" customHeight="1" s="5" thickBot="1">
      <c r="A4" s="35" t="n"/>
      <c r="B4" s="219" t="n"/>
      <c r="C4" s="219" t="n"/>
      <c r="D4" s="219" t="n"/>
      <c r="E4" s="219" t="n"/>
      <c r="F4" s="36" t="inlineStr">
        <is>
          <t>From</t>
        </is>
      </c>
      <c r="G4" s="36" t="inlineStr">
        <is>
          <t>To</t>
        </is>
      </c>
      <c r="H4" s="219" t="n"/>
      <c r="I4" s="168" t="inlineStr">
        <is>
          <t>Subtotal</t>
        </is>
      </c>
      <c r="J4" s="6" t="inlineStr">
        <is>
          <t>Base Salary</t>
        </is>
      </c>
      <c r="K4" s="6" t="inlineStr">
        <is>
          <t>OT</t>
        </is>
      </c>
      <c r="L4" s="6" t="inlineStr">
        <is>
          <t>Salary Adjusment</t>
        </is>
      </c>
      <c r="M4" s="6" t="inlineStr">
        <is>
          <t>Bonus</t>
        </is>
      </c>
      <c r="N4" s="6" t="inlineStr">
        <is>
          <t>Leave Payment</t>
        </is>
      </c>
      <c r="O4" s="6" t="inlineStr">
        <is>
          <t>Backpay</t>
        </is>
      </c>
      <c r="P4" s="168" t="inlineStr">
        <is>
          <t xml:space="preserve">Other </t>
        </is>
      </c>
      <c r="Q4" s="168" t="inlineStr">
        <is>
          <t>Net Adjustment</t>
        </is>
      </c>
      <c r="R4" s="168" t="inlineStr">
        <is>
          <t>Subtotal</t>
        </is>
      </c>
      <c r="S4" s="6" t="inlineStr">
        <is>
          <t>Expense
Claim</t>
        </is>
      </c>
      <c r="T4" s="168" t="inlineStr">
        <is>
          <t>Subtotal</t>
        </is>
      </c>
      <c r="U4" s="107" t="inlineStr">
        <is>
          <t>MPF EE</t>
        </is>
      </c>
    </row>
    <row r="5" ht="15" customFormat="1" customHeight="1" s="5" thickBot="1">
      <c r="A5" s="27" t="n"/>
      <c r="B5" s="33" t="n"/>
      <c r="C5" s="33" t="n"/>
      <c r="D5" s="33" t="n"/>
      <c r="E5" s="33" t="n"/>
      <c r="F5" s="33" t="n"/>
      <c r="G5" s="33" t="n"/>
      <c r="H5" s="7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9" t="n"/>
    </row>
    <row r="6" ht="14.5" customFormat="1" customHeight="1" s="11">
      <c r="A6" s="29" t="inlineStr">
        <is>
          <t>EOR/PEO(HKD)</t>
        </is>
      </c>
      <c r="B6" s="37" t="n"/>
      <c r="C6" s="37" t="n"/>
      <c r="D6" s="37" t="n"/>
      <c r="E6" s="37" t="n"/>
      <c r="F6" s="37" t="n"/>
      <c r="G6" s="37" t="n"/>
      <c r="H6" s="12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4" t="n"/>
    </row>
    <row r="7" ht="14.5" customFormat="1" customHeight="1" s="11">
      <c r="A7" s="29" t="n"/>
      <c r="B7" s="37" t="n"/>
      <c r="C7" s="37" t="n"/>
      <c r="D7" s="37" t="n"/>
      <c r="E7" s="37" t="n"/>
      <c r="F7" s="37" t="n"/>
      <c r="G7" s="37" t="n"/>
      <c r="H7" s="16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8" t="n"/>
    </row>
    <row r="8" ht="14.5" customFormat="1" customHeight="1" s="11">
      <c r="A8" s="38" t="n"/>
      <c r="B8" s="39" t="n"/>
      <c r="C8" s="39" t="n"/>
      <c r="D8" s="39" t="n"/>
      <c r="E8" s="39" t="n"/>
      <c r="F8" s="39" t="n"/>
      <c r="G8" s="39" t="n"/>
      <c r="H8" s="16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8" t="n"/>
    </row>
    <row r="9" ht="14.5" customFormat="1" customHeight="1" s="11">
      <c r="A9" s="38" t="n"/>
      <c r="B9" s="30" t="n"/>
      <c r="C9" s="30" t="n"/>
      <c r="D9" s="30" t="n"/>
      <c r="E9" s="30" t="n"/>
      <c r="F9" s="30" t="n"/>
      <c r="G9" s="30" t="n"/>
      <c r="H9" s="16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8" t="n"/>
    </row>
    <row r="10" ht="14.5" customFormat="1" customHeight="1" s="11">
      <c r="A10" s="29" t="n"/>
      <c r="B10" s="30">
        <f>PN!B9</f>
        <v/>
      </c>
      <c r="C10" s="30">
        <f>PN!B8</f>
        <v/>
      </c>
      <c r="D10" s="30">
        <f>'Hong Kong-L'!A8</f>
        <v/>
      </c>
      <c r="E10" s="30">
        <f>'Hong Kong-L'!B8</f>
        <v/>
      </c>
      <c r="F10" s="39">
        <f>'Hong Kong-L'!C2</f>
        <v/>
      </c>
      <c r="G10" s="39">
        <f>'Hong Kong-L'!E2</f>
        <v/>
      </c>
      <c r="H10" s="16">
        <f>I10+R10+T10</f>
        <v/>
      </c>
      <c r="I10" s="17">
        <f>SUM(J10:Q10)</f>
        <v/>
      </c>
      <c r="J10" s="17">
        <f>'Hong Kong-L'!C8</f>
        <v/>
      </c>
      <c r="K10" s="17">
        <f>'Hong Kong-L'!D8</f>
        <v/>
      </c>
      <c r="L10" s="17">
        <f>'Hong Kong-L'!E8</f>
        <v/>
      </c>
      <c r="M10" s="17">
        <f>'Hong Kong-L'!F8</f>
        <v/>
      </c>
      <c r="N10" s="17">
        <f>'Hong Kong-L'!G8</f>
        <v/>
      </c>
      <c r="O10" s="17">
        <f>'Hong Kong-L'!H8</f>
        <v/>
      </c>
      <c r="P10" s="17">
        <f>'Hong Kong-L'!I8</f>
        <v/>
      </c>
      <c r="Q10" s="17">
        <f>'Hong Kong-L'!P8</f>
        <v/>
      </c>
      <c r="R10" s="17">
        <f>SUM(S10:S10)</f>
        <v/>
      </c>
      <c r="S10" s="17">
        <f>'Hong Kong-L'!J8</f>
        <v/>
      </c>
      <c r="T10" s="17">
        <f>SUM(U10:U10)</f>
        <v/>
      </c>
      <c r="U10" s="18">
        <f>'Hong Kong-L'!N8</f>
        <v/>
      </c>
    </row>
    <row r="11" customFormat="1" s="11">
      <c r="A11" s="10" t="n"/>
      <c r="H11" s="16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8" t="n"/>
    </row>
    <row r="12" customFormat="1" s="11">
      <c r="A12" s="10" t="n"/>
      <c r="H12" s="16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8" t="n"/>
    </row>
    <row r="13" customFormat="1" s="11">
      <c r="A13" s="10" t="n"/>
      <c r="H13" s="16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8" t="n"/>
    </row>
    <row r="14" customFormat="1" s="11">
      <c r="A14" s="10" t="n"/>
      <c r="H14" s="16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8" t="n"/>
    </row>
    <row r="15" customFormat="1" s="11">
      <c r="A15" s="10" t="n"/>
      <c r="H15" s="16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8" t="n"/>
    </row>
    <row r="16" customFormat="1" s="11">
      <c r="A16" s="10" t="n"/>
      <c r="H16" s="16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8" t="n"/>
    </row>
    <row r="17" customFormat="1" s="11">
      <c r="A17" s="10" t="n"/>
      <c r="H17" s="16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8" t="n"/>
    </row>
    <row r="18" customFormat="1" s="11">
      <c r="A18" s="10" t="n"/>
      <c r="H18" s="16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8" t="n"/>
    </row>
    <row r="19" ht="13.5" customFormat="1" customHeight="1" s="11" thickBot="1">
      <c r="A19" s="10" t="n"/>
      <c r="H19" s="20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2" t="n"/>
    </row>
  </sheetData>
  <mergeCells count="9">
    <mergeCell ref="F3:G3"/>
    <mergeCell ref="C3:C4"/>
    <mergeCell ref="B3:B4"/>
    <mergeCell ref="E3:E4"/>
    <mergeCell ref="H3:H4"/>
    <mergeCell ref="D3:D4"/>
    <mergeCell ref="R3:S3"/>
    <mergeCell ref="I3:Q3"/>
    <mergeCell ref="T3:U3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8"/>
  <sheetViews>
    <sheetView zoomScale="115" workbookViewId="0">
      <selection activeCell="F10" sqref="F10"/>
    </sheetView>
  </sheetViews>
  <sheetFormatPr baseColWidth="8" defaultColWidth="8.81640625" defaultRowHeight="14.5"/>
  <cols>
    <col width="6.6328125" customWidth="1" min="1" max="1"/>
    <col width="23.1796875" customWidth="1" min="2" max="2"/>
    <col width="11.1796875" customWidth="1" min="3" max="3"/>
    <col width="8" customWidth="1" min="4" max="4"/>
    <col width="10.6328125" customWidth="1" min="5" max="5"/>
    <col width="12" customWidth="1" min="6" max="6"/>
    <col width="15" customWidth="1" min="7" max="8"/>
    <col width="9" bestFit="1" customWidth="1" min="9" max="10"/>
    <col width="12.54296875" customWidth="1" min="11" max="11"/>
    <col width="10.36328125" bestFit="1" customWidth="1" min="12" max="12"/>
    <col width="9" bestFit="1" customWidth="1" min="13" max="13"/>
    <col width="9.6328125" bestFit="1" customWidth="1" min="14" max="14"/>
    <col width="12.81640625" customWidth="1" min="16" max="16"/>
    <col width="15" customWidth="1" min="17" max="18"/>
    <col width="13.1796875" customWidth="1" min="19" max="19"/>
    <col width="10.6328125" customWidth="1" min="20" max="20"/>
    <col width="9.453125" bestFit="1" customWidth="1" min="22" max="22"/>
    <col width="10.6328125" bestFit="1" customWidth="1" min="42" max="42"/>
  </cols>
  <sheetData>
    <row r="1">
      <c r="A1" s="179" t="inlineStr">
        <is>
          <t>Company name:</t>
        </is>
      </c>
      <c r="C1" s="110" t="inlineStr">
        <is>
          <t>UE Corp</t>
        </is>
      </c>
    </row>
    <row r="2">
      <c r="A2" s="179" t="inlineStr">
        <is>
          <t>Payroll period:</t>
        </is>
      </c>
      <c r="C2" s="111" t="inlineStr">
        <is>
          <t>2026/3/1</t>
        </is>
      </c>
      <c r="D2" s="179" t="inlineStr">
        <is>
          <t>to</t>
        </is>
      </c>
      <c r="E2" s="111" t="inlineStr">
        <is>
          <t>2026/3/31</t>
        </is>
      </c>
    </row>
    <row r="3">
      <c r="A3" s="179" t="inlineStr">
        <is>
          <t xml:space="preserve">Currency: </t>
        </is>
      </c>
      <c r="C3" s="112" t="inlineStr">
        <is>
          <t>HKD</t>
        </is>
      </c>
    </row>
    <row r="6" ht="15" customHeight="1" thickBot="1"/>
    <row r="7" ht="58.5" customFormat="1" customHeight="1" s="23" thickBot="1">
      <c r="A7" s="113" t="inlineStr">
        <is>
          <t>No. of EE</t>
        </is>
      </c>
      <c r="B7" s="114" t="inlineStr">
        <is>
          <t>Name of Employee</t>
        </is>
      </c>
      <c r="C7" s="114" t="inlineStr">
        <is>
          <t>Base Salary</t>
        </is>
      </c>
      <c r="D7" s="114" t="inlineStr">
        <is>
          <t>OT</t>
        </is>
      </c>
      <c r="E7" s="114" t="inlineStr">
        <is>
          <t>Salary Adjusment</t>
        </is>
      </c>
      <c r="F7" s="114" t="inlineStr">
        <is>
          <t>Bonus</t>
        </is>
      </c>
      <c r="G7" s="114" t="inlineStr">
        <is>
          <t>Leave Payment</t>
        </is>
      </c>
      <c r="H7" s="114" t="inlineStr">
        <is>
          <t>Backpay</t>
        </is>
      </c>
      <c r="I7" s="114" t="inlineStr">
        <is>
          <t xml:space="preserve">Other </t>
        </is>
      </c>
      <c r="J7" s="114" t="inlineStr">
        <is>
          <t>Expense Reimbursment</t>
        </is>
      </c>
      <c r="K7" s="114" t="inlineStr">
        <is>
          <t>Gross Salary</t>
        </is>
      </c>
      <c r="L7" s="114" t="inlineStr">
        <is>
          <t>Employees' Compensation Insurance</t>
        </is>
      </c>
      <c r="M7" s="114" t="inlineStr">
        <is>
          <t>MPF ER</t>
        </is>
      </c>
      <c r="N7" s="114" t="inlineStr">
        <is>
          <t>MPF EE</t>
        </is>
      </c>
      <c r="O7" s="114" t="inlineStr">
        <is>
          <t>Medical Insurance</t>
        </is>
      </c>
      <c r="P7" s="114" t="inlineStr">
        <is>
          <t>Net Adjustment</t>
        </is>
      </c>
      <c r="Q7" s="114" t="inlineStr">
        <is>
          <t>Net Pay</t>
        </is>
      </c>
      <c r="R7" s="115" t="inlineStr">
        <is>
          <t>Total Cost</t>
        </is>
      </c>
    </row>
    <row r="8">
      <c r="A8" s="116" t="inlineStr">
        <is>
          <t>CUS1503-0001</t>
        </is>
      </c>
      <c r="B8" s="117" t="inlineStr">
        <is>
          <t>Chan Kin Pong</t>
        </is>
      </c>
      <c r="C8" s="223" t="n">
        <v>62130.35</v>
      </c>
      <c r="D8" s="126" t="n"/>
      <c r="E8" s="223" t="n">
        <v>0</v>
      </c>
      <c r="F8" s="118" t="n">
        <v>184496.4699502365</v>
      </c>
      <c r="G8" s="118" t="n"/>
      <c r="H8" s="118" t="n"/>
      <c r="I8" s="118" t="n">
        <v>9000</v>
      </c>
      <c r="J8" s="127" t="n">
        <v>44146.88</v>
      </c>
      <c r="K8" s="118" t="n">
        <v>255626.8199502365</v>
      </c>
      <c r="L8" s="118" t="n">
        <v>5112.53639900473</v>
      </c>
      <c r="M8" s="118" t="n">
        <v>1500</v>
      </c>
      <c r="N8" s="118" t="n">
        <v>-1500</v>
      </c>
      <c r="O8" s="118" t="n"/>
      <c r="P8" s="224" t="n"/>
      <c r="Q8" s="223" t="n">
        <v>298273.6999502365</v>
      </c>
      <c r="R8" s="225" t="n">
        <v>306386.2363492412</v>
      </c>
      <c r="T8" s="120" t="n"/>
    </row>
    <row r="9">
      <c r="A9" s="116" t="n"/>
      <c r="B9" s="117" t="n"/>
      <c r="C9" s="118" t="n"/>
      <c r="D9" s="118" t="n"/>
      <c r="E9" s="118" t="n"/>
      <c r="F9" s="118" t="n"/>
      <c r="G9" s="118" t="n"/>
      <c r="H9" s="118" t="n"/>
      <c r="I9" s="118" t="n"/>
      <c r="J9" s="118" t="n"/>
      <c r="K9" s="118" t="n"/>
      <c r="L9" s="118" t="n"/>
      <c r="M9" s="118" t="n"/>
      <c r="N9" s="118" t="n"/>
      <c r="O9" s="118" t="n"/>
      <c r="P9" s="118" t="n"/>
      <c r="Q9" s="118" t="n"/>
      <c r="R9" s="118" t="n"/>
    </row>
    <row r="10">
      <c r="A10" s="116" t="n"/>
      <c r="B10" s="117" t="n"/>
      <c r="C10" s="118" t="n"/>
      <c r="D10" s="118" t="n"/>
      <c r="E10" s="118" t="n"/>
      <c r="F10" s="118" t="n"/>
      <c r="G10" s="118" t="n"/>
      <c r="H10" s="118" t="n"/>
      <c r="I10" s="118" t="n"/>
      <c r="J10" s="118" t="n"/>
      <c r="K10" s="118" t="n"/>
      <c r="L10" s="118" t="n"/>
      <c r="M10" s="118" t="n"/>
      <c r="N10" s="118" t="n"/>
      <c r="O10" s="118" t="n"/>
      <c r="P10" s="118" t="n"/>
      <c r="Q10" s="118" t="n"/>
      <c r="R10" s="118" t="n"/>
    </row>
    <row r="11">
      <c r="A11" s="116" t="n"/>
      <c r="B11" s="117" t="n"/>
      <c r="C11" s="118" t="n"/>
      <c r="D11" s="118" t="n"/>
      <c r="E11" s="118" t="n"/>
      <c r="F11" s="118" t="n"/>
      <c r="G11" s="118" t="n"/>
      <c r="H11" s="118" t="n"/>
      <c r="I11" s="118" t="n"/>
      <c r="J11" s="118" t="n"/>
      <c r="K11" s="118" t="n"/>
      <c r="L11" s="118" t="n"/>
      <c r="M11" s="118" t="n"/>
      <c r="N11" s="118" t="n"/>
      <c r="O11" s="118" t="n"/>
      <c r="P11" s="118" t="n"/>
      <c r="Q11" s="118" t="n"/>
      <c r="R11" s="118" t="n"/>
    </row>
    <row r="12">
      <c r="A12" s="116" t="n"/>
      <c r="B12" s="121" t="n"/>
      <c r="C12" s="118" t="n"/>
      <c r="D12" s="118" t="n"/>
      <c r="E12" s="118" t="n"/>
      <c r="F12" s="118" t="n"/>
      <c r="G12" s="118" t="n"/>
      <c r="H12" s="118" t="n"/>
      <c r="I12" s="118" t="n"/>
      <c r="J12" s="118" t="n"/>
      <c r="K12" s="118" t="n"/>
      <c r="L12" s="118" t="n"/>
      <c r="M12" s="118" t="n"/>
      <c r="N12" s="118" t="n"/>
      <c r="O12" s="118" t="n"/>
      <c r="P12" s="118" t="n"/>
      <c r="Q12" s="118" t="n"/>
      <c r="R12" s="118" t="n"/>
    </row>
    <row r="13">
      <c r="A13" s="116" t="n"/>
      <c r="B13" s="121" t="n"/>
      <c r="C13" s="118" t="n"/>
      <c r="D13" s="118" t="n"/>
      <c r="E13" s="118" t="n"/>
      <c r="F13" s="118" t="n"/>
      <c r="G13" s="118" t="n"/>
      <c r="H13" s="118" t="n"/>
      <c r="I13" s="118" t="n"/>
      <c r="J13" s="118" t="n"/>
      <c r="K13" s="118" t="n"/>
      <c r="L13" s="118" t="n"/>
      <c r="M13" s="118" t="n"/>
      <c r="N13" s="118" t="n"/>
      <c r="O13" s="118" t="n"/>
      <c r="P13" s="118" t="n"/>
      <c r="Q13" s="118" t="n"/>
      <c r="R13" s="118" t="n"/>
    </row>
    <row r="14"/>
    <row r="15"/>
    <row r="16"/>
    <row r="17"/>
    <row r="18"/>
  </sheetData>
  <mergeCells count="3">
    <mergeCell ref="A3:B3"/>
    <mergeCell ref="A2:B2"/>
    <mergeCell ref="A1:B1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G11" sqref="G11"/>
    </sheetView>
  </sheetViews>
  <sheetFormatPr baseColWidth="8" defaultColWidth="8.6328125" defaultRowHeight="14.5"/>
  <cols>
    <col width="14.36328125" customWidth="1" style="32" min="1" max="1"/>
    <col width="13.6328125" customWidth="1" style="32" min="2" max="2"/>
    <col width="15.81640625" customWidth="1" style="32" min="3" max="3"/>
    <col width="9.36328125" customWidth="1" style="32" min="4" max="4"/>
    <col width="14.6328125" customWidth="1" style="32" min="5" max="6"/>
    <col width="8.6328125" customWidth="1" style="32" min="7" max="16384"/>
  </cols>
  <sheetData>
    <row r="1" ht="58" customFormat="1" customHeight="1" s="28">
      <c r="A1" s="23" t="inlineStr">
        <is>
          <t>Direct Cost</t>
        </is>
      </c>
      <c r="B1" s="23" t="inlineStr">
        <is>
          <t>Business Tax</t>
        </is>
      </c>
      <c r="C1" s="23" t="inlineStr">
        <is>
          <t>Service Fee</t>
        </is>
      </c>
      <c r="D1" s="23" t="inlineStr">
        <is>
          <t xml:space="preserve">Bank Fee * </t>
        </is>
      </c>
      <c r="E1" s="23" t="inlineStr">
        <is>
          <t>Late Pay Fine</t>
        </is>
      </c>
      <c r="F1" s="108" t="inlineStr">
        <is>
          <t>Advance Payment</t>
        </is>
      </c>
      <c r="G1" s="108" t="inlineStr">
        <is>
          <t>Deposit</t>
        </is>
      </c>
      <c r="H1" s="23" t="inlineStr">
        <is>
          <t>Outstanding payment **</t>
        </is>
      </c>
      <c r="I1" s="23" t="inlineStr">
        <is>
          <t xml:space="preserve"> FX difference  	</t>
        </is>
      </c>
      <c r="J1" s="108" t="inlineStr">
        <is>
          <t>Invoice adjustment ***</t>
        </is>
      </c>
      <c r="K1" s="23" t="inlineStr">
        <is>
          <t>total</t>
        </is>
      </c>
    </row>
    <row r="2" customFormat="1" s="28">
      <c r="A2" s="226">
        <f>PN!F15</f>
        <v/>
      </c>
      <c r="B2" s="226">
        <f>PN!F34</f>
        <v/>
      </c>
      <c r="C2" s="226">
        <f>PN!F20</f>
        <v/>
      </c>
      <c r="D2" s="226">
        <f>PN!F32</f>
        <v/>
      </c>
      <c r="E2" s="226">
        <f>PN!F31</f>
        <v/>
      </c>
      <c r="F2" s="28" t="n">
        <v>0</v>
      </c>
      <c r="G2" s="28" t="n">
        <v>0</v>
      </c>
      <c r="H2" s="226">
        <f>PN!F29</f>
        <v/>
      </c>
      <c r="I2" s="226">
        <f>PN!F30</f>
        <v/>
      </c>
      <c r="J2" s="28" t="n">
        <v>0</v>
      </c>
      <c r="K2" s="28">
        <f>SUM(A2:J2)</f>
        <v/>
      </c>
    </row>
    <row r="3" customFormat="1" s="28"/>
    <row r="4" customFormat="1" s="28"/>
    <row r="5" customFormat="1" s="28"/>
    <row r="6" customFormat="1" s="28"/>
    <row r="7" customFormat="1" s="28">
      <c r="A7" s="28" t="inlineStr">
        <is>
          <t>* NNRoad USD 10 + vendor bank in Vendor's invoice</t>
        </is>
      </c>
    </row>
    <row r="8" customFormat="1" s="28">
      <c r="A8" s="28" t="inlineStr">
        <is>
          <t>** the differnece between NNRoad PN and the amount we actually received</t>
        </is>
      </c>
    </row>
    <row r="9" customFormat="1" s="28">
      <c r="A9" s="28" t="inlineStr">
        <is>
          <t>*** PN adjustment with pre-payment or PN revisal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Miguel</dc:creator>
  <dcterms:created xmlns:dcterms="http://purl.org/dc/terms/" xmlns:xsi="http://www.w3.org/2001/XMLSchema-instance" xsi:type="dcterms:W3CDTF">2019-04-02T09:07:35Z</dcterms:created>
  <dcterms:modified xmlns:dcterms="http://purl.org/dc/terms/" xmlns:xsi="http://www.w3.org/2001/XMLSchema-instance" xsi:type="dcterms:W3CDTF">2026-07-07T05:41:13Z</dcterms:modified>
  <cp:lastModifiedBy>LIU, SiYu</cp:lastModifiedBy>
  <cp:lastPrinted>2025-03-05T21:09:11Z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0x010100AAA55CC3C3BD834BA343262FD5D71E76</vt:lpwstr>
  </property>
  <property name="WorkbookGuid" fmtid="{D5CDD505-2E9C-101B-9397-08002B2CF9AE}" pid="3">
    <vt:lpwstr xmlns:vt="http://schemas.openxmlformats.org/officeDocument/2006/docPropsVTypes">a8ef3fbe-4e27-48f7-a0b1-3e7729cc8ae0</vt:lpwstr>
  </property>
  <property name="MediaServiceImageTags" fmtid="{D5CDD505-2E9C-101B-9397-08002B2CF9AE}" pid="4">
    <vt:lpwstr xmlns:vt="http://schemas.openxmlformats.org/officeDocument/2006/docPropsVTypes"/>
  </property>
</Properties>
</file>