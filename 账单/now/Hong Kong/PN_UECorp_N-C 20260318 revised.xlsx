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10CEB71C-E35A-4B04-8A35-316BBB590128}" xr6:coauthVersionLast="47" xr6:coauthVersionMax="47" xr10:uidLastSave="{00000000-0000-0000-0000-000000000000}"/>
  <bookViews>
    <workbookView xWindow="-110" yWindow="-110" windowWidth="25820" windowHeight="15500" xr2:uid="{38C3E173-F7FD-4B3C-BC8A-276CE1A49B11}"/>
  </bookViews>
  <sheets>
    <sheet name="PN" sheetId="6" r:id="rId1"/>
    <sheet name="Hong Kong" sheetId="2" r:id="rId2"/>
    <sheet name="Hong Kong EE" sheetId="5" r:id="rId3"/>
    <sheet name="Hong Kong-L" sheetId="3" r:id="rId4"/>
    <sheet name="FI Repor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" i="6" l="1"/>
  <c r="F8" i="3" s="1"/>
  <c r="K8" i="3" s="1"/>
  <c r="E18" i="6"/>
  <c r="D10" i="5"/>
  <c r="L8" i="3" l="1"/>
  <c r="M8" i="3"/>
  <c r="N8" i="3" s="1"/>
  <c r="Q8" i="3" s="1"/>
  <c r="R8" i="3" l="1"/>
  <c r="Q9" i="2" l="1"/>
  <c r="Q6" i="2" s="1"/>
  <c r="Q10" i="5"/>
  <c r="A18" i="6" l="1"/>
  <c r="E10" i="5"/>
  <c r="F32" i="6" l="1"/>
  <c r="D2" i="4" s="1"/>
  <c r="F30" i="6" l="1"/>
  <c r="I2" i="4" s="1"/>
  <c r="F31" i="6"/>
  <c r="E2" i="4" s="1"/>
  <c r="F29" i="6"/>
  <c r="H2" i="4" s="1"/>
  <c r="A28" i="6"/>
  <c r="E14" i="6"/>
  <c r="C2" i="2"/>
  <c r="B2" i="2"/>
  <c r="C1" i="3"/>
  <c r="B9" i="2"/>
  <c r="W9" i="2"/>
  <c r="U9" i="2"/>
  <c r="K9" i="2"/>
  <c r="L9" i="2"/>
  <c r="M9" i="2"/>
  <c r="N9" i="2"/>
  <c r="O9" i="2"/>
  <c r="P9" i="2"/>
  <c r="F18" i="6" s="1"/>
  <c r="J9" i="2"/>
  <c r="S10" i="5"/>
  <c r="R10" i="5" s="1"/>
  <c r="K10" i="5"/>
  <c r="L10" i="5"/>
  <c r="M10" i="5"/>
  <c r="N10" i="5"/>
  <c r="O10" i="5"/>
  <c r="P10" i="5"/>
  <c r="J10" i="5"/>
  <c r="G10" i="5"/>
  <c r="F10" i="5"/>
  <c r="B10" i="5"/>
  <c r="C10" i="5"/>
  <c r="A21" i="6" l="1"/>
  <c r="A16" i="6"/>
  <c r="A17" i="6"/>
  <c r="I10" i="5"/>
  <c r="I9" i="2"/>
  <c r="U10" i="5"/>
  <c r="T9" i="2"/>
  <c r="S9" i="2" l="1"/>
  <c r="R9" i="2" s="1"/>
  <c r="E16" i="6" s="1"/>
  <c r="E21" i="2"/>
  <c r="C9" i="2"/>
  <c r="F10" i="6" l="1"/>
  <c r="W6" i="2"/>
  <c r="T6" i="2"/>
  <c r="U6" i="2"/>
  <c r="S6" i="2"/>
  <c r="K6" i="2"/>
  <c r="L6" i="2"/>
  <c r="M6" i="2"/>
  <c r="N6" i="2"/>
  <c r="O6" i="2"/>
  <c r="P6" i="2"/>
  <c r="J6" i="2" l="1"/>
  <c r="I6" i="2" l="1"/>
  <c r="F16" i="6" l="1"/>
  <c r="T10" i="5"/>
  <c r="H10" i="5" s="1"/>
  <c r="A1" i="5"/>
  <c r="F6" i="2" l="1"/>
  <c r="F34" i="6" s="1"/>
  <c r="B2" i="4" s="1"/>
  <c r="V9" i="2" l="1"/>
  <c r="H9" i="2" s="1"/>
  <c r="A1" i="2"/>
  <c r="G9" i="2" l="1"/>
  <c r="E17" i="6"/>
  <c r="E15" i="6" s="1"/>
  <c r="V6" i="2"/>
  <c r="R6" i="2"/>
  <c r="E21" i="6" l="1"/>
  <c r="E9" i="2"/>
  <c r="F17" i="6"/>
  <c r="F15" i="6" s="1"/>
  <c r="H6" i="2"/>
  <c r="E20" i="6" l="1"/>
  <c r="E25" i="6" s="1"/>
  <c r="F21" i="6"/>
  <c r="F20" i="6" s="1"/>
  <c r="C2" i="4" s="1"/>
  <c r="A2" i="4"/>
  <c r="E6" i="2"/>
  <c r="G6" i="2"/>
  <c r="F25" i="6" l="1"/>
  <c r="F28" i="6" s="1"/>
  <c r="F33" i="6" s="1"/>
  <c r="F35" i="6" s="1"/>
  <c r="K2" i="4"/>
</calcChain>
</file>

<file path=xl/sharedStrings.xml><?xml version="1.0" encoding="utf-8"?>
<sst xmlns="http://schemas.openxmlformats.org/spreadsheetml/2006/main" count="138" uniqueCount="106">
  <si>
    <t>Sum</t>
    <phoneticPr fontId="0" type="noConversion"/>
  </si>
  <si>
    <t>ER</t>
    <phoneticPr fontId="0" type="noConversion"/>
  </si>
  <si>
    <t>EE</t>
    <phoneticPr fontId="0" type="noConversion"/>
  </si>
  <si>
    <t>Business
Tax</t>
    <phoneticPr fontId="0" type="noConversion"/>
  </si>
  <si>
    <t>Gross Salary</t>
    <phoneticPr fontId="0" type="noConversion"/>
  </si>
  <si>
    <t>Mandatory Contribution</t>
    <phoneticPr fontId="0" type="noConversion"/>
  </si>
  <si>
    <t>Expense Claim</t>
    <phoneticPr fontId="0" type="noConversion"/>
  </si>
  <si>
    <t>Net
Income</t>
    <phoneticPr fontId="0" type="noConversion"/>
  </si>
  <si>
    <t>Subtotal</t>
    <phoneticPr fontId="0" type="noConversion"/>
  </si>
  <si>
    <t>Recurring
Fee</t>
    <phoneticPr fontId="0" type="noConversion"/>
  </si>
  <si>
    <t>OT</t>
  </si>
  <si>
    <t>MPF ER</t>
  </si>
  <si>
    <t>Others</t>
  </si>
  <si>
    <t>Expense
Claim</t>
    <phoneticPr fontId="0" type="noConversion"/>
  </si>
  <si>
    <t>MPF EE</t>
  </si>
  <si>
    <t>(HKD)</t>
  </si>
  <si>
    <t>Management Fee</t>
  </si>
  <si>
    <t>Bank Charges</t>
  </si>
  <si>
    <t>Deposit</t>
  </si>
  <si>
    <t>Client Code</t>
  </si>
  <si>
    <t>Client Name</t>
  </si>
  <si>
    <t>EE Code</t>
  </si>
  <si>
    <t>EE Name</t>
  </si>
  <si>
    <t>Pay Period</t>
  </si>
  <si>
    <t>From</t>
  </si>
  <si>
    <t>To</t>
  </si>
  <si>
    <t xml:space="preserve">Outstanding payment </t>
  </si>
  <si>
    <t xml:space="preserve">FX difference </t>
  </si>
  <si>
    <t>Interests of delay</t>
  </si>
  <si>
    <t xml:space="preserve">Invoice adjustment </t>
  </si>
  <si>
    <t>Direct Cost</t>
    <phoneticPr fontId="5" type="noConversion"/>
  </si>
  <si>
    <t>Business Tax</t>
    <phoneticPr fontId="5" type="noConversion"/>
  </si>
  <si>
    <t>Service Fee</t>
    <phoneticPr fontId="5" type="noConversion"/>
  </si>
  <si>
    <t xml:space="preserve">Bank Fee * </t>
    <phoneticPr fontId="5" type="noConversion"/>
  </si>
  <si>
    <t>Late Pay Fine</t>
    <phoneticPr fontId="5" type="noConversion"/>
  </si>
  <si>
    <t>total</t>
    <phoneticPr fontId="5" type="noConversion"/>
  </si>
  <si>
    <t>* NNRoad USD 10 + vendor bank in Vendor's invoice</t>
    <phoneticPr fontId="7" type="noConversion"/>
  </si>
  <si>
    <t>** the differnece between NNRoad PN and the amount we actually received</t>
    <phoneticPr fontId="7" type="noConversion"/>
  </si>
  <si>
    <t>*** PN adjustment with pre-payment or PN revisal</t>
    <phoneticPr fontId="7" type="noConversion"/>
  </si>
  <si>
    <t>Base Salary</t>
  </si>
  <si>
    <t>Salary Adjusment</t>
  </si>
  <si>
    <t>Bonus</t>
  </si>
  <si>
    <t>Leave Payment</t>
  </si>
  <si>
    <t>Backpay</t>
  </si>
  <si>
    <t xml:space="preserve">Other </t>
  </si>
  <si>
    <t>Employees' Compensation Insurance</t>
  </si>
  <si>
    <t>EOR/PEO(HKD)</t>
  </si>
  <si>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</si>
  <si>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4" type="noConversion"/>
  </si>
  <si>
    <t>USA: +1 (669) 377-5080 | www.NNRoad.com</t>
    <phoneticPr fontId="4" type="noConversion"/>
  </si>
  <si>
    <t>INVOICE</t>
  </si>
  <si>
    <t>Bill to:</t>
  </si>
  <si>
    <t>Company name:</t>
  </si>
  <si>
    <t>Currency</t>
  </si>
  <si>
    <t>USD</t>
  </si>
  <si>
    <t>Client ID:</t>
  </si>
  <si>
    <t>Invoice number</t>
  </si>
  <si>
    <t>Address: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</si>
  <si>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</si>
  <si>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</si>
  <si>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</si>
  <si>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</si>
  <si>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</si>
  <si>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</si>
  <si>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</si>
  <si>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</si>
  <si>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</si>
  <si>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</si>
  <si>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</si>
  <si>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</si>
  <si>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</si>
  <si>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</si>
  <si>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</si>
  <si>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</si>
  <si>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</si>
  <si>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</si>
  <si>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</si>
  <si>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</si>
  <si>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Other Fee</t>
    <phoneticPr fontId="3" type="noConversion"/>
  </si>
  <si>
    <t>Advance Payment</t>
    <phoneticPr fontId="1" type="noConversion"/>
  </si>
  <si>
    <t>Outstanding payment **</t>
    <phoneticPr fontId="3" type="noConversion"/>
  </si>
  <si>
    <t xml:space="preserve"> FX difference  	</t>
  </si>
  <si>
    <t>Invoice adjustment ***</t>
    <phoneticPr fontId="3" type="noConversion"/>
  </si>
  <si>
    <t>Payroll period:</t>
  </si>
  <si>
    <t>to</t>
  </si>
  <si>
    <t xml:space="preserve">Currency: </t>
  </si>
  <si>
    <t>HKD</t>
    <phoneticPr fontId="4" type="noConversion"/>
  </si>
  <si>
    <t>No. of EE</t>
  </si>
  <si>
    <t>Name of Employee</t>
  </si>
  <si>
    <t>Bonus</t>
    <phoneticPr fontId="4" type="noConversion"/>
  </si>
  <si>
    <t>Expense Reimbursment</t>
  </si>
  <si>
    <t>Gross Salary</t>
  </si>
  <si>
    <t>Medical Insurance</t>
  </si>
  <si>
    <t>Net Adjustment</t>
  </si>
  <si>
    <t>Net Pay</t>
    <phoneticPr fontId="4" type="noConversion"/>
  </si>
  <si>
    <t>Total Cost</t>
  </si>
  <si>
    <t xml:space="preserve"> </t>
  </si>
  <si>
    <t>UE Corp</t>
  </si>
  <si>
    <t>CUS1503</t>
  </si>
  <si>
    <t>168 Georgetown Rd., Canonsburg, Pennsylvanis, USA</t>
  </si>
  <si>
    <t>Chan Kin Pong</t>
  </si>
  <si>
    <t>CUS1503-0001</t>
  </si>
  <si>
    <t>Net 
Adjustment</t>
  </si>
  <si>
    <t>PN-CUS1503-031820261</t>
  </si>
  <si>
    <t>2026/3/1</t>
  </si>
  <si>
    <t>2026/3/31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</si>
</sst>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0.0000"/>
    <numFmt numFmtId="168" formatCode="#,##0.000_);\(#,##0.000\)"/>
    <numFmt numFmtId="169" formatCode="[$-10409]#,##0.00;\(#,##0.00\)"/>
  </numFmts>
  <fonts count="39">
    <font>
      <sz val="11"/>
      <color theme="1"/>
      <name val="Calibri"/>
      <family val="2"/>
      <scheme val="minor"/>
    </font>
    <font>
      <b/>
      <u val="double"/>
      <sz val="8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3"/>
      <charset val="134"/>
      <scheme val="minor"/>
    </font>
    <font>
      <sz val="8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1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8" fillId="0" borderId="0"/>
  </cellStyleXfs>
  <cellXfs count="18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40" fontId="3" fillId="2" borderId="7" xfId="0" applyNumberFormat="1" applyFont="1" applyFill="1" applyBorder="1" applyAlignment="1">
      <alignment vertical="center"/>
    </xf>
    <xf numFmtId="40" fontId="3" fillId="2" borderId="16" xfId="0" applyNumberFormat="1" applyFont="1" applyFill="1" applyBorder="1" applyAlignment="1">
      <alignment vertical="center"/>
    </xf>
    <xf numFmtId="40" fontId="3" fillId="2" borderId="8" xfId="0" applyNumberFormat="1" applyFont="1" applyFill="1" applyBorder="1" applyAlignment="1">
      <alignment vertical="center"/>
    </xf>
    <xf numFmtId="40" fontId="3" fillId="2" borderId="0" xfId="0" applyNumberFormat="1" applyFont="1" applyFill="1" applyAlignment="1">
      <alignment vertical="center"/>
    </xf>
    <xf numFmtId="40" fontId="3" fillId="2" borderId="9" xfId="0" applyNumberFormat="1" applyFont="1" applyFill="1" applyBorder="1" applyAlignment="1">
      <alignment vertical="center"/>
    </xf>
    <xf numFmtId="40" fontId="3" fillId="2" borderId="17" xfId="0" applyNumberFormat="1" applyFont="1" applyFill="1" applyBorder="1" applyAlignment="1">
      <alignment vertical="center"/>
    </xf>
    <xf numFmtId="40" fontId="3" fillId="2" borderId="10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40" fontId="3" fillId="2" borderId="11" xfId="0" applyNumberFormat="1" applyFont="1" applyFill="1" applyBorder="1" applyAlignment="1">
      <alignment vertical="center"/>
    </xf>
    <xf numFmtId="40" fontId="3" fillId="2" borderId="18" xfId="0" applyNumberFormat="1" applyFont="1" applyFill="1" applyBorder="1" applyAlignment="1">
      <alignment vertical="center"/>
    </xf>
    <xf numFmtId="40" fontId="3" fillId="2" borderId="1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vertical="center"/>
    </xf>
    <xf numFmtId="0" fontId="5" fillId="0" borderId="0" xfId="1">
      <alignment vertical="center"/>
    </xf>
    <xf numFmtId="0" fontId="0" fillId="0" borderId="0" xfId="0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14" fontId="3" fillId="2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top" wrapText="1"/>
    </xf>
    <xf numFmtId="14" fontId="20" fillId="0" borderId="0" xfId="0" applyNumberFormat="1" applyFont="1" applyAlignment="1">
      <alignment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left" vertical="center"/>
    </xf>
    <xf numFmtId="0" fontId="24" fillId="4" borderId="33" xfId="0" applyFont="1" applyFill="1" applyBorder="1" applyAlignment="1">
      <alignment horizontal="center" vertical="center"/>
    </xf>
    <xf numFmtId="0" fontId="24" fillId="4" borderId="34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165" fontId="26" fillId="0" borderId="0" xfId="0" applyNumberFormat="1" applyFont="1" applyAlignment="1">
      <alignment horizontal="left" vertical="center"/>
    </xf>
    <xf numFmtId="164" fontId="10" fillId="0" borderId="36" xfId="0" applyNumberFormat="1" applyFont="1" applyBorder="1" applyAlignment="1">
      <alignment horizontal="left" vertical="center"/>
    </xf>
    <xf numFmtId="166" fontId="27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165" fontId="14" fillId="0" borderId="0" xfId="0" applyNumberFormat="1" applyFont="1" applyAlignment="1">
      <alignment horizontal="left" vertical="center" indent="1"/>
    </xf>
    <xf numFmtId="164" fontId="14" fillId="0" borderId="36" xfId="0" applyNumberFormat="1" applyFont="1" applyBorder="1" applyAlignment="1">
      <alignment horizontal="left" vertical="center"/>
    </xf>
    <xf numFmtId="166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vertical="center"/>
    </xf>
    <xf numFmtId="166" fontId="11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left" vertical="center"/>
    </xf>
    <xf numFmtId="164" fontId="26" fillId="0" borderId="36" xfId="0" applyNumberFormat="1" applyFont="1" applyBorder="1" applyAlignment="1">
      <alignment horizontal="left" vertical="center"/>
    </xf>
    <xf numFmtId="166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30" fillId="0" borderId="0" xfId="0" applyFont="1" applyAlignment="1">
      <alignment horizontal="left" vertical="center" indent="1"/>
    </xf>
    <xf numFmtId="165" fontId="11" fillId="0" borderId="0" xfId="0" applyNumberFormat="1" applyFont="1" applyAlignment="1">
      <alignment horizontal="left" vertical="center"/>
    </xf>
    <xf numFmtId="164" fontId="11" fillId="0" borderId="36" xfId="0" applyNumberFormat="1" applyFont="1" applyBorder="1" applyAlignment="1">
      <alignment horizontal="left" vertical="center"/>
    </xf>
    <xf numFmtId="165" fontId="31" fillId="0" borderId="38" xfId="0" applyNumberFormat="1" applyFont="1" applyBorder="1" applyAlignment="1">
      <alignment horizontal="left" vertical="center"/>
    </xf>
    <xf numFmtId="164" fontId="31" fillId="0" borderId="39" xfId="0" applyNumberFormat="1" applyFont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165" fontId="31" fillId="0" borderId="0" xfId="0" applyNumberFormat="1" applyFont="1" applyAlignment="1">
      <alignment vertical="center"/>
    </xf>
    <xf numFmtId="164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2" fillId="0" borderId="0" xfId="0" applyFont="1" applyAlignment="1">
      <alignment vertical="center" wrapText="1"/>
    </xf>
    <xf numFmtId="167" fontId="32" fillId="0" borderId="0" xfId="0" applyNumberFormat="1" applyFont="1" applyAlignment="1">
      <alignment horizontal="left" vertical="center" indent="1"/>
    </xf>
    <xf numFmtId="164" fontId="33" fillId="0" borderId="42" xfId="0" applyNumberFormat="1" applyFont="1" applyBorder="1" applyAlignment="1">
      <alignment horizontal="right" vertical="center"/>
    </xf>
    <xf numFmtId="0" fontId="32" fillId="0" borderId="0" xfId="0" applyFont="1" applyAlignment="1">
      <alignment vertical="center"/>
    </xf>
    <xf numFmtId="164" fontId="33" fillId="0" borderId="44" xfId="0" applyNumberFormat="1" applyFont="1" applyBorder="1" applyAlignment="1">
      <alignment horizontal="right" vertical="center"/>
    </xf>
    <xf numFmtId="40" fontId="31" fillId="0" borderId="0" xfId="0" applyNumberFormat="1" applyFont="1" applyAlignment="1">
      <alignment vertical="center"/>
    </xf>
    <xf numFmtId="164" fontId="33" fillId="0" borderId="47" xfId="0" applyNumberFormat="1" applyFont="1" applyBorder="1" applyAlignment="1">
      <alignment horizontal="right" vertical="center"/>
    </xf>
    <xf numFmtId="164" fontId="30" fillId="0" borderId="44" xfId="0" applyNumberFormat="1" applyFont="1" applyBorder="1" applyAlignment="1">
      <alignment horizontal="right" vertical="center"/>
    </xf>
    <xf numFmtId="0" fontId="30" fillId="0" borderId="0" xfId="0" applyFont="1" applyAlignment="1">
      <alignment vertical="center"/>
    </xf>
    <xf numFmtId="164" fontId="30" fillId="0" borderId="50" xfId="0" applyNumberFormat="1" applyFont="1" applyBorder="1" applyAlignment="1">
      <alignment horizontal="right" vertical="center"/>
    </xf>
    <xf numFmtId="164" fontId="11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40" fontId="35" fillId="0" borderId="26" xfId="0" applyNumberFormat="1" applyFont="1" applyBorder="1" applyAlignment="1">
      <alignment vertical="center"/>
    </xf>
    <xf numFmtId="40" fontId="35" fillId="0" borderId="27" xfId="0" applyNumberFormat="1" applyFont="1" applyBorder="1" applyAlignment="1">
      <alignment vertical="center"/>
    </xf>
    <xf numFmtId="40" fontId="35" fillId="0" borderId="28" xfId="0" applyNumberFormat="1" applyFont="1" applyBorder="1" applyAlignment="1">
      <alignment vertical="center"/>
    </xf>
    <xf numFmtId="40" fontId="35" fillId="0" borderId="29" xfId="0" applyNumberFormat="1" applyFont="1" applyBorder="1" applyAlignment="1">
      <alignment vertical="center"/>
    </xf>
    <xf numFmtId="40" fontId="35" fillId="0" borderId="30" xfId="0" applyNumberFormat="1" applyFont="1" applyBorder="1" applyAlignment="1">
      <alignment vertical="center"/>
    </xf>
    <xf numFmtId="40" fontId="35" fillId="0" borderId="31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right"/>
    </xf>
    <xf numFmtId="0" fontId="0" fillId="7" borderId="53" xfId="0" applyFill="1" applyBorder="1" applyAlignment="1">
      <alignment vertical="center" wrapText="1"/>
    </xf>
    <xf numFmtId="0" fontId="0" fillId="7" borderId="54" xfId="0" applyFill="1" applyBorder="1" applyAlignment="1">
      <alignment horizontal="center" vertical="center" wrapText="1"/>
    </xf>
    <xf numFmtId="0" fontId="0" fillId="7" borderId="55" xfId="0" applyFill="1" applyBorder="1" applyAlignment="1">
      <alignment horizontal="center" vertical="center" wrapText="1"/>
    </xf>
    <xf numFmtId="0" fontId="8" fillId="0" borderId="56" xfId="0" applyFont="1" applyBorder="1"/>
    <xf numFmtId="0" fontId="8" fillId="0" borderId="57" xfId="0" applyFont="1" applyBorder="1"/>
    <xf numFmtId="2" fontId="0" fillId="0" borderId="57" xfId="0" applyNumberFormat="1" applyBorder="1"/>
    <xf numFmtId="168" fontId="0" fillId="0" borderId="58" xfId="0" applyNumberFormat="1" applyBorder="1"/>
    <xf numFmtId="2" fontId="0" fillId="0" borderId="0" xfId="0" applyNumberFormat="1"/>
    <xf numFmtId="0" fontId="36" fillId="0" borderId="59" xfId="0" applyFont="1" applyBorder="1"/>
    <xf numFmtId="0" fontId="2" fillId="0" borderId="60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9" fontId="37" fillId="0" borderId="61" xfId="0" applyNumberFormat="1" applyFont="1" applyBorder="1" applyAlignment="1">
      <alignment vertical="center" wrapText="1" readingOrder="1"/>
    </xf>
    <xf numFmtId="0" fontId="9" fillId="0" borderId="61" xfId="0" applyFont="1" applyBorder="1"/>
    <xf numFmtId="0" fontId="0" fillId="0" borderId="61" xfId="0" applyBorder="1"/>
    <xf numFmtId="169" fontId="38" fillId="0" borderId="61" xfId="0" applyNumberFormat="1" applyFont="1" applyBorder="1" applyAlignment="1">
      <alignment vertical="center" wrapText="1" readingOrder="1"/>
    </xf>
    <xf numFmtId="165" fontId="30" fillId="0" borderId="48" xfId="0" applyNumberFormat="1" applyFont="1" applyBorder="1" applyAlignment="1">
      <alignment horizontal="right" vertical="center"/>
    </xf>
    <xf numFmtId="165" fontId="30" fillId="0" borderId="49" xfId="0" applyNumberFormat="1" applyFont="1" applyBorder="1" applyAlignment="1">
      <alignment horizontal="right" vertical="center"/>
    </xf>
    <xf numFmtId="0" fontId="30" fillId="5" borderId="0" xfId="0" applyFont="1" applyFill="1" applyAlignment="1">
      <alignment horizontal="center"/>
    </xf>
    <xf numFmtId="166" fontId="11" fillId="6" borderId="0" xfId="0" applyNumberFormat="1" applyFont="1" applyFill="1" applyAlignment="1">
      <alignment horizontal="left" vertical="center" wrapText="1" indent="2"/>
    </xf>
    <xf numFmtId="166" fontId="11" fillId="6" borderId="51" xfId="0" applyNumberFormat="1" applyFont="1" applyFill="1" applyBorder="1" applyAlignment="1">
      <alignment horizontal="left" vertical="center" wrapText="1" indent="2"/>
    </xf>
    <xf numFmtId="166" fontId="11" fillId="6" borderId="52" xfId="0" applyNumberFormat="1" applyFont="1" applyFill="1" applyBorder="1" applyAlignment="1">
      <alignment horizontal="left" vertical="center" wrapText="1" indent="2"/>
    </xf>
    <xf numFmtId="165" fontId="33" fillId="0" borderId="43" xfId="0" applyNumberFormat="1" applyFont="1" applyBorder="1" applyAlignment="1">
      <alignment horizontal="right" vertical="center"/>
    </xf>
    <xf numFmtId="165" fontId="33" fillId="0" borderId="0" xfId="0" applyNumberFormat="1" applyFont="1" applyAlignment="1">
      <alignment horizontal="right" vertical="center"/>
    </xf>
    <xf numFmtId="40" fontId="33" fillId="0" borderId="45" xfId="0" applyNumberFormat="1" applyFont="1" applyBorder="1" applyAlignment="1">
      <alignment horizontal="right" vertical="center"/>
    </xf>
    <xf numFmtId="40" fontId="33" fillId="0" borderId="46" xfId="0" applyNumberFormat="1" applyFont="1" applyBorder="1" applyAlignment="1">
      <alignment horizontal="right" vertical="center"/>
    </xf>
    <xf numFmtId="165" fontId="30" fillId="0" borderId="43" xfId="0" applyNumberFormat="1" applyFont="1" applyBorder="1" applyAlignment="1">
      <alignment horizontal="right" vertical="center"/>
    </xf>
    <xf numFmtId="165" fontId="30" fillId="0" borderId="0" xfId="0" applyNumberFormat="1" applyFont="1" applyAlignment="1">
      <alignment horizontal="right" vertical="center"/>
    </xf>
    <xf numFmtId="165" fontId="30" fillId="0" borderId="43" xfId="0" applyNumberFormat="1" applyFont="1" applyBorder="1" applyAlignment="1">
      <alignment horizontal="right" vertical="center" indent="1"/>
    </xf>
    <xf numFmtId="165" fontId="30" fillId="0" borderId="0" xfId="0" applyNumberFormat="1" applyFont="1" applyAlignment="1">
      <alignment horizontal="right" vertical="center" indent="1"/>
    </xf>
    <xf numFmtId="165" fontId="33" fillId="0" borderId="40" xfId="0" applyNumberFormat="1" applyFont="1" applyBorder="1" applyAlignment="1">
      <alignment horizontal="right" vertical="center"/>
    </xf>
    <xf numFmtId="165" fontId="33" fillId="0" borderId="41" xfId="0" applyNumberFormat="1" applyFont="1" applyBorder="1" applyAlignment="1">
      <alignment horizontal="right" vertical="center"/>
    </xf>
    <xf numFmtId="0" fontId="26" fillId="0" borderId="35" xfId="0" applyFont="1" applyBorder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14" fillId="0" borderId="35" xfId="0" applyFont="1" applyBorder="1" applyAlignment="1">
      <alignment horizontal="left" vertical="center" indent="3"/>
    </xf>
    <xf numFmtId="0" fontId="14" fillId="0" borderId="0" xfId="0" applyFont="1" applyAlignment="1">
      <alignment horizontal="left" vertical="center" indent="3"/>
    </xf>
    <xf numFmtId="0" fontId="14" fillId="0" borderId="3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5" xfId="0" applyFont="1" applyBorder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30" fillId="0" borderId="35" xfId="0" applyFont="1" applyBorder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31" fillId="0" borderId="37" xfId="0" applyFont="1" applyBorder="1" applyAlignment="1">
      <alignment horizontal="left" vertical="center" indent="1"/>
    </xf>
    <xf numFmtId="0" fontId="31" fillId="0" borderId="38" xfId="0" applyFont="1" applyBorder="1" applyAlignment="1">
      <alignment horizontal="left" vertical="center" indent="1"/>
    </xf>
    <xf numFmtId="0" fontId="24" fillId="4" borderId="32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top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AC6CFE7B-E6FD-8545-BC63-03F2586D763F}"/>
    <cellStyle name="常规 2" xfId="1" xr:uid="{43AA1550-6345-4C45-AE3A-35D24DE64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1095828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07BA56D0-1232-9D45-82B5-462439DF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90C7-3741-B145-8A6C-AFDB386C2364}">
  <dimension ref="A1:H44"/>
  <sheetViews>
    <sheetView tabSelected="1" topLeftCell="A15" zoomScale="150" zoomScaleNormal="150" workbookViewId="0">
      <selection activeCell="H29" sqref="H29"/>
    </sheetView>
  </sheetViews>
  <sheetFormatPr defaultColWidth="9.1796875" defaultRowHeight="10.5"/>
  <cols>
    <col min="1" max="1" width="15.36328125" style="41" customWidth="1"/>
    <col min="2" max="2" width="23.453125" style="41" customWidth="1"/>
    <col min="3" max="3" width="4.453125" style="41" customWidth="1"/>
    <col min="4" max="4" width="15.1796875" style="41" customWidth="1"/>
    <col min="5" max="5" width="12.54296875" style="41" customWidth="1"/>
    <col min="6" max="6" width="14.36328125" style="43" customWidth="1"/>
    <col min="7" max="7" width="9.1796875" style="43"/>
    <col min="8" max="8" width="9.1796875" style="41"/>
    <col min="9" max="9" width="9.1796875" style="41" customWidth="1"/>
    <col min="10" max="16384" width="9.1796875" style="41"/>
  </cols>
  <sheetData>
    <row r="1" spans="1:8" ht="19" customHeight="1">
      <c r="B1" s="159" t="s">
        <v>47</v>
      </c>
      <c r="C1" s="159"/>
      <c r="D1" s="159"/>
      <c r="E1" s="159"/>
      <c r="F1" s="159"/>
      <c r="G1" s="42"/>
      <c r="H1" s="43"/>
    </row>
    <row r="2" spans="1:8" ht="14.25" customHeight="1">
      <c r="B2" s="160" t="s">
        <v>48</v>
      </c>
      <c r="C2" s="160"/>
      <c r="D2" s="160"/>
      <c r="E2" s="160"/>
      <c r="F2" s="160"/>
      <c r="G2" s="42"/>
      <c r="H2" s="43"/>
    </row>
    <row r="3" spans="1:8" s="44" customFormat="1" ht="18" customHeight="1">
      <c r="B3" s="160" t="s">
        <v>49</v>
      </c>
      <c r="C3" s="160"/>
      <c r="D3" s="160"/>
      <c r="E3" s="160"/>
      <c r="F3" s="160"/>
      <c r="G3" s="42"/>
      <c r="H3" s="42"/>
    </row>
    <row r="4" spans="1:8" s="44" customFormat="1" ht="14" customHeight="1">
      <c r="G4" s="42"/>
      <c r="H4" s="42"/>
    </row>
    <row r="5" spans="1:8" s="44" customFormat="1" ht="32" customHeight="1">
      <c r="A5" s="161" t="s">
        <v>50</v>
      </c>
      <c r="B5" s="161"/>
      <c r="C5" s="161"/>
      <c r="D5" s="161"/>
      <c r="E5" s="161"/>
      <c r="F5" s="161"/>
      <c r="G5" s="42"/>
      <c r="H5" s="42"/>
    </row>
    <row r="6" spans="1:8" s="44" customFormat="1" ht="12" customHeight="1">
      <c r="A6" s="45"/>
      <c r="B6" s="45"/>
      <c r="C6" s="45"/>
      <c r="D6" s="45"/>
      <c r="E6" s="45"/>
      <c r="F6" s="45"/>
      <c r="G6" s="42"/>
      <c r="H6" s="42"/>
    </row>
    <row r="7" spans="1:8" s="44" customFormat="1" ht="13" customHeight="1">
      <c r="A7" s="46" t="s">
        <v>51</v>
      </c>
      <c r="B7" s="46"/>
      <c r="C7" s="46"/>
      <c r="D7" s="46"/>
      <c r="E7" s="46"/>
      <c r="G7" s="42"/>
      <c r="H7" s="42"/>
    </row>
    <row r="8" spans="1:8" s="51" customFormat="1" ht="13" customHeight="1">
      <c r="A8" s="47" t="s">
        <v>52</v>
      </c>
      <c r="B8" s="48" t="s">
        <v>97</v>
      </c>
      <c r="C8" s="49"/>
      <c r="D8" s="47" t="s">
        <v>53</v>
      </c>
      <c r="E8" s="47"/>
      <c r="F8" s="48" t="s">
        <v>54</v>
      </c>
      <c r="G8" s="50"/>
    </row>
    <row r="9" spans="1:8" s="51" customFormat="1" ht="13" customHeight="1">
      <c r="A9" s="47" t="s">
        <v>55</v>
      </c>
      <c r="B9" s="48" t="s">
        <v>98</v>
      </c>
      <c r="C9" s="52"/>
      <c r="D9" s="47" t="s">
        <v>56</v>
      </c>
      <c r="E9" s="47"/>
      <c r="F9" s="48" t="s">
        <v>103</v>
      </c>
      <c r="G9" s="50"/>
    </row>
    <row r="10" spans="1:8" s="44" customFormat="1" ht="13" customHeight="1">
      <c r="A10" s="47" t="s">
        <v>57</v>
      </c>
      <c r="B10" s="162" t="s">
        <v>99</v>
      </c>
      <c r="C10" s="52"/>
      <c r="D10" s="47" t="s">
        <v>58</v>
      </c>
      <c r="E10" s="47"/>
      <c r="F10" s="53">
        <f ca="1">TODAY()</f>
        <v>46099</v>
      </c>
      <c r="G10" s="42"/>
    </row>
    <row r="11" spans="1:8" s="51" customFormat="1" ht="12" customHeight="1">
      <c r="A11" s="54"/>
      <c r="B11" s="162"/>
      <c r="D11" s="47" t="s">
        <v>59</v>
      </c>
      <c r="E11" s="47"/>
      <c r="F11" s="53">
        <v>46104</v>
      </c>
      <c r="G11" s="50"/>
    </row>
    <row r="12" spans="1:8" s="44" customFormat="1" ht="12" customHeight="1">
      <c r="A12" s="55"/>
      <c r="B12" s="55"/>
      <c r="C12" s="55"/>
      <c r="D12" s="55"/>
      <c r="E12" s="56"/>
      <c r="G12" s="42"/>
    </row>
    <row r="13" spans="1:8" ht="11" thickBot="1"/>
    <row r="14" spans="1:8" s="60" customFormat="1" ht="28" customHeight="1">
      <c r="A14" s="157" t="s">
        <v>60</v>
      </c>
      <c r="B14" s="158"/>
      <c r="C14" s="158"/>
      <c r="D14" s="57"/>
      <c r="E14" s="57" t="str">
        <f>"Amount "&amp;'Hong Kong'!C6</f>
        <v>Amount (HKD)</v>
      </c>
      <c r="F14" s="58" t="s">
        <v>61</v>
      </c>
      <c r="G14" s="59"/>
    </row>
    <row r="15" spans="1:8" s="65" customFormat="1" ht="16" customHeight="1">
      <c r="A15" s="145" t="s">
        <v>62</v>
      </c>
      <c r="B15" s="146"/>
      <c r="C15" s="146"/>
      <c r="D15" s="61"/>
      <c r="E15" s="62">
        <f>SUM(E16:E18)</f>
        <v>306386.23634924123</v>
      </c>
      <c r="F15" s="63">
        <f>SUM(F16:F18)</f>
        <v>40441.266018300492</v>
      </c>
      <c r="G15" s="64"/>
    </row>
    <row r="16" spans="1:8" s="70" customFormat="1" ht="13">
      <c r="A16" s="147" t="str">
        <f>"- Labor cost for "&amp;'Hong Kong'!B9&amp;"  -  "&amp;MONTH('Hong Kong'!B2) &amp;"-"&amp; YEAR('Hong Kong'!C2)</f>
        <v>- Labor cost for Chan Kin Pong  -  3-2026</v>
      </c>
      <c r="B16" s="148"/>
      <c r="C16" s="148"/>
      <c r="D16" s="66"/>
      <c r="E16" s="67">
        <f>'Hong Kong'!I9+'Hong Kong'!R9-'Hong Kong'!P9</f>
        <v>253239.35634924122</v>
      </c>
      <c r="F16" s="68">
        <f>E16/$B$28</f>
        <v>33426.175726604961</v>
      </c>
      <c r="G16" s="69"/>
    </row>
    <row r="17" spans="1:7" ht="13">
      <c r="A17" s="147" t="str">
        <f>"- "&amp;+"Expense claim for "&amp;'Hong Kong'!B9&amp;"  -  "&amp;MONTH('Hong Kong'!B2) &amp;"-"&amp; YEAR('Hong Kong'!C2)</f>
        <v>- Expense claim for Chan Kin Pong  -  3-2026</v>
      </c>
      <c r="B17" s="148"/>
      <c r="C17" s="148"/>
      <c r="D17" s="66"/>
      <c r="E17" s="67">
        <f>'Hong Kong'!V9</f>
        <v>44146.879999999997</v>
      </c>
      <c r="F17" s="68">
        <f>E17/$B$28</f>
        <v>5827.1407333158122</v>
      </c>
      <c r="G17" s="71"/>
    </row>
    <row r="18" spans="1:7" ht="13">
      <c r="A18" s="147" t="str">
        <f>"- Office Rental"</f>
        <v>- Office Rental</v>
      </c>
      <c r="B18" s="148"/>
      <c r="C18" s="148"/>
      <c r="D18" s="72"/>
      <c r="E18" s="67">
        <f>'Hong Kong'!P6</f>
        <v>9000</v>
      </c>
      <c r="F18" s="68">
        <f>E18/$B$28</f>
        <v>1187.9495583797159</v>
      </c>
      <c r="G18" s="71"/>
    </row>
    <row r="19" spans="1:7" ht="13">
      <c r="A19" s="149"/>
      <c r="B19" s="150"/>
      <c r="C19" s="150"/>
      <c r="D19" s="73"/>
      <c r="E19" s="74"/>
      <c r="F19" s="68"/>
      <c r="G19" s="71"/>
    </row>
    <row r="20" spans="1:7" s="77" customFormat="1" ht="16" customHeight="1">
      <c r="A20" s="145" t="s">
        <v>63</v>
      </c>
      <c r="B20" s="146"/>
      <c r="C20" s="146"/>
      <c r="D20" s="61"/>
      <c r="E20" s="62">
        <f>SUM(E21:E22)</f>
        <v>49021.797815878599</v>
      </c>
      <c r="F20" s="75">
        <f>SUM(F21:F22)</f>
        <v>6470.6025629280784</v>
      </c>
      <c r="G20" s="76"/>
    </row>
    <row r="21" spans="1:7" ht="13">
      <c r="A21" s="151" t="str">
        <f>"- "&amp;+"Management Fee - "&amp;MONTH('Hong Kong'!B2) &amp;"-"&amp; YEAR('Hong Kong'!B2)</f>
        <v>- Management Fee - 3-2026</v>
      </c>
      <c r="B21" s="152"/>
      <c r="C21" s="152"/>
      <c r="D21" s="78"/>
      <c r="E21" s="74">
        <f>'Hong Kong'!G9</f>
        <v>49021.797815878599</v>
      </c>
      <c r="F21" s="68">
        <f>E21/$B$28</f>
        <v>6470.6025629280784</v>
      </c>
      <c r="G21" s="71"/>
    </row>
    <row r="22" spans="1:7" ht="13">
      <c r="A22" s="151"/>
      <c r="B22" s="152"/>
      <c r="C22" s="152"/>
      <c r="D22" s="78"/>
      <c r="E22" s="74" t="s">
        <v>96</v>
      </c>
      <c r="F22" s="68"/>
      <c r="G22" s="71"/>
    </row>
    <row r="23" spans="1:7" ht="13">
      <c r="A23" s="151"/>
      <c r="B23" s="152"/>
      <c r="C23" s="152"/>
      <c r="D23" s="78"/>
      <c r="E23" s="74"/>
      <c r="F23" s="68"/>
      <c r="G23" s="71"/>
    </row>
    <row r="24" spans="1:7" ht="14.5">
      <c r="A24" s="153"/>
      <c r="B24" s="154"/>
      <c r="C24" s="154"/>
      <c r="D24" s="79"/>
      <c r="E24" s="80"/>
      <c r="F24" s="81"/>
      <c r="G24" s="71"/>
    </row>
    <row r="25" spans="1:7" s="65" customFormat="1" ht="15" thickBot="1">
      <c r="A25" s="155" t="s">
        <v>64</v>
      </c>
      <c r="B25" s="156"/>
      <c r="C25" s="156"/>
      <c r="D25" s="156"/>
      <c r="E25" s="82">
        <f>E15+E20</f>
        <v>355408.03416511981</v>
      </c>
      <c r="F25" s="83">
        <f>F15+F20</f>
        <v>46911.868581228569</v>
      </c>
      <c r="G25" s="64"/>
    </row>
    <row r="26" spans="1:7" s="65" customFormat="1" ht="14.5">
      <c r="A26" s="84"/>
      <c r="B26" s="84"/>
      <c r="C26" s="85"/>
      <c r="D26" s="85"/>
      <c r="E26" s="86"/>
      <c r="F26" s="87"/>
      <c r="G26" s="64"/>
    </row>
    <row r="27" spans="1:7" s="65" customFormat="1" ht="15" thickBot="1">
      <c r="A27" s="88"/>
      <c r="B27" s="88"/>
      <c r="C27" s="88"/>
      <c r="D27" s="88"/>
      <c r="E27" s="86"/>
      <c r="F27" s="87"/>
      <c r="G27" s="64"/>
    </row>
    <row r="28" spans="1:7" ht="26">
      <c r="A28" s="89" t="str">
        <f>"*FX rate  USD:  "&amp;'Hong Kong'!C6</f>
        <v>*FX rate  USD:  (HKD)</v>
      </c>
      <c r="B28" s="90">
        <f>7.81039098*0.97</f>
        <v>7.5760792506000003</v>
      </c>
      <c r="C28" s="86"/>
      <c r="D28" s="143" t="s">
        <v>65</v>
      </c>
      <c r="E28" s="144"/>
      <c r="F28" s="91">
        <f>F25</f>
        <v>46911.868581228569</v>
      </c>
      <c r="G28" s="71"/>
    </row>
    <row r="29" spans="1:7" s="70" customFormat="1" ht="16" customHeight="1">
      <c r="A29" s="92"/>
      <c r="B29" s="92"/>
      <c r="C29" s="86"/>
      <c r="D29" s="135" t="s">
        <v>26</v>
      </c>
      <c r="E29" s="136"/>
      <c r="F29" s="93">
        <f>'Hong Kong'!E22</f>
        <v>18.329999999999998</v>
      </c>
      <c r="G29" s="69"/>
    </row>
    <row r="30" spans="1:7" s="70" customFormat="1" ht="14.5">
      <c r="A30" s="92"/>
      <c r="B30" s="92"/>
      <c r="C30" s="86"/>
      <c r="D30" s="135" t="s">
        <v>27</v>
      </c>
      <c r="E30" s="136"/>
      <c r="F30" s="93">
        <f>'Hong Kong'!E23</f>
        <v>0</v>
      </c>
      <c r="G30" s="69"/>
    </row>
    <row r="31" spans="1:7" ht="14.5">
      <c r="A31" s="92"/>
      <c r="B31" s="92"/>
      <c r="C31" s="86"/>
      <c r="D31" s="135" t="s">
        <v>66</v>
      </c>
      <c r="E31" s="136"/>
      <c r="F31" s="93">
        <f>'Hong Kong'!E24</f>
        <v>0</v>
      </c>
      <c r="G31" s="71"/>
    </row>
    <row r="32" spans="1:7" ht="15" thickBot="1">
      <c r="A32" s="92"/>
      <c r="B32" s="92"/>
      <c r="C32" s="94"/>
      <c r="D32" s="137" t="s">
        <v>67</v>
      </c>
      <c r="E32" s="138"/>
      <c r="F32" s="95">
        <f>'Hong Kong'!E25</f>
        <v>10</v>
      </c>
      <c r="G32" s="71"/>
    </row>
    <row r="33" spans="1:8" ht="14.5">
      <c r="A33" s="92"/>
      <c r="B33" s="92"/>
      <c r="C33" s="86"/>
      <c r="D33" s="139" t="s">
        <v>68</v>
      </c>
      <c r="E33" s="140"/>
      <c r="F33" s="96">
        <f>SUM(F28:F32)</f>
        <v>46940.198581228571</v>
      </c>
      <c r="G33" s="71"/>
    </row>
    <row r="34" spans="1:8" ht="14.5">
      <c r="A34" s="92"/>
      <c r="B34" s="92"/>
      <c r="C34" s="86"/>
      <c r="D34" s="141" t="s">
        <v>69</v>
      </c>
      <c r="E34" s="142"/>
      <c r="F34" s="96">
        <f>'Hong Kong'!F6</f>
        <v>0</v>
      </c>
      <c r="G34" s="71"/>
    </row>
    <row r="35" spans="1:8" ht="15" thickBot="1">
      <c r="A35" s="97"/>
      <c r="B35" s="97"/>
      <c r="C35" s="86"/>
      <c r="D35" s="129" t="s">
        <v>70</v>
      </c>
      <c r="E35" s="130"/>
      <c r="F35" s="98">
        <f>SUM(F33:F34)</f>
        <v>46940.198581228571</v>
      </c>
      <c r="G35" s="71"/>
      <c r="H35" s="99"/>
    </row>
    <row r="36" spans="1:8" ht="14.5">
      <c r="A36" s="79"/>
      <c r="B36" s="79"/>
      <c r="C36" s="79"/>
      <c r="D36" s="79"/>
      <c r="E36" s="94"/>
      <c r="F36" s="94"/>
      <c r="G36" s="71"/>
    </row>
    <row r="37" spans="1:8" ht="14.5">
      <c r="A37" s="79"/>
      <c r="B37" s="79"/>
      <c r="C37" s="79"/>
      <c r="D37" s="79"/>
      <c r="E37" s="94"/>
      <c r="F37" s="94"/>
      <c r="G37" s="71"/>
    </row>
    <row r="38" spans="1:8">
      <c r="G38" s="71"/>
    </row>
    <row r="39" spans="1:8" ht="19" customHeight="1">
      <c r="A39" s="131" t="s">
        <v>71</v>
      </c>
      <c r="B39" s="131"/>
      <c r="C39" s="131"/>
      <c r="D39" s="131"/>
      <c r="E39" s="131"/>
      <c r="F39" s="131"/>
    </row>
    <row r="40" spans="1:8" ht="61" customHeight="1">
      <c r="A40" s="132" t="s">
        <v>72</v>
      </c>
      <c r="B40" s="132"/>
      <c r="C40" s="133"/>
      <c r="D40" s="134" t="s">
        <v>73</v>
      </c>
      <c r="E40" s="132"/>
      <c r="F40" s="132"/>
    </row>
    <row r="41" spans="1:8">
      <c r="A41" s="41" t="s">
        <v>74</v>
      </c>
    </row>
    <row r="42" spans="1:8" ht="11" customHeight="1">
      <c r="A42" s="65" t="s">
        <v>75</v>
      </c>
      <c r="B42" s="65"/>
      <c r="C42" s="65"/>
      <c r="D42" s="65"/>
      <c r="E42" s="65"/>
      <c r="F42" s="65"/>
    </row>
    <row r="43" spans="1:8">
      <c r="A43" s="65" t="s">
        <v>76</v>
      </c>
    </row>
    <row r="44" spans="1:8">
      <c r="A44" s="65" t="s">
        <v>77</v>
      </c>
    </row>
  </sheetData>
  <mergeCells count="28">
    <mergeCell ref="A14:C14"/>
    <mergeCell ref="B1:F1"/>
    <mergeCell ref="B2:F2"/>
    <mergeCell ref="B3:F3"/>
    <mergeCell ref="A5:F5"/>
    <mergeCell ref="B10:B11"/>
    <mergeCell ref="D28:E28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D25"/>
    <mergeCell ref="D35:E35"/>
    <mergeCell ref="A39:F39"/>
    <mergeCell ref="A40:C40"/>
    <mergeCell ref="D40:F40"/>
    <mergeCell ref="D29:E29"/>
    <mergeCell ref="D30:E30"/>
    <mergeCell ref="D31:E31"/>
    <mergeCell ref="D32:E32"/>
    <mergeCell ref="D33:E33"/>
    <mergeCell ref="D34:E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X26"/>
  <sheetViews>
    <sheetView zoomScale="92" zoomScaleNormal="55" workbookViewId="0">
      <selection activeCell="I31" sqref="I31"/>
    </sheetView>
  </sheetViews>
  <sheetFormatPr defaultColWidth="9.1796875" defaultRowHeight="13"/>
  <cols>
    <col min="1" max="1" width="8.81640625" style="1" bestFit="1" customWidth="1"/>
    <col min="2" max="2" width="18" style="2" bestFit="1" customWidth="1"/>
    <col min="3" max="3" width="11.81640625" style="2" bestFit="1" customWidth="1"/>
    <col min="4" max="4" width="7.453125" style="2" customWidth="1"/>
    <col min="5" max="5" width="9.81640625" style="2" bestFit="1" customWidth="1"/>
    <col min="6" max="6" width="7.1796875" style="2" bestFit="1" customWidth="1"/>
    <col min="7" max="10" width="8.81640625" style="2" bestFit="1" customWidth="1"/>
    <col min="11" max="11" width="4.81640625" style="2" bestFit="1" customWidth="1"/>
    <col min="12" max="12" width="5.36328125" style="2" bestFit="1" customWidth="1"/>
    <col min="13" max="13" width="5.6328125" style="2" bestFit="1" customWidth="1"/>
    <col min="14" max="14" width="7.1796875" style="2" bestFit="1" customWidth="1"/>
    <col min="15" max="15" width="6.81640625" style="2" bestFit="1" customWidth="1"/>
    <col min="16" max="16" width="8" style="2" bestFit="1" customWidth="1"/>
    <col min="17" max="17" width="9" style="2" bestFit="1" customWidth="1"/>
    <col min="18" max="18" width="8" style="2" bestFit="1" customWidth="1"/>
    <col min="19" max="19" width="11" style="2" bestFit="1" customWidth="1"/>
    <col min="20" max="20" width="8" style="2" bestFit="1" customWidth="1"/>
    <col min="21" max="21" width="5.81640625" style="2" bestFit="1" customWidth="1"/>
    <col min="22" max="23" width="8.81640625" style="2" bestFit="1" customWidth="1"/>
    <col min="24" max="16384" width="9.1796875" style="2"/>
  </cols>
  <sheetData>
    <row r="1" spans="1:24" ht="13.5" thickBot="1">
      <c r="A1" s="1" t="str">
        <f ca="1">MID(CELL("filename",A1),FIND("]",CELL("filename",A1))+1,256)</f>
        <v>Hong Kong</v>
      </c>
    </row>
    <row r="2" spans="1:24" ht="13.5" thickBot="1">
      <c r="A2" s="3" t="s">
        <v>23</v>
      </c>
      <c r="B2" s="4" t="str">
        <f>'Hong Kong-L'!C2</f>
        <v>2026/3/1</v>
      </c>
      <c r="C2" s="123" t="str">
        <f>'Hong Kong-L'!E2</f>
        <v>2026/3/31</v>
      </c>
      <c r="E2" s="122" t="s">
        <v>1</v>
      </c>
    </row>
    <row r="3" spans="1:24" s="5" customFormat="1" ht="14" customHeight="1">
      <c r="A3" s="3"/>
      <c r="B3" s="4"/>
      <c r="E3" s="165" t="s">
        <v>0</v>
      </c>
      <c r="F3" s="167" t="s">
        <v>3</v>
      </c>
      <c r="G3" s="169" t="s">
        <v>16</v>
      </c>
      <c r="H3" s="170"/>
      <c r="I3" s="171" t="s">
        <v>4</v>
      </c>
      <c r="J3" s="172"/>
      <c r="K3" s="172"/>
      <c r="L3" s="172"/>
      <c r="M3" s="172"/>
      <c r="N3" s="172"/>
      <c r="O3" s="172"/>
      <c r="P3" s="172"/>
      <c r="Q3" s="173"/>
      <c r="R3" s="163" t="s">
        <v>5</v>
      </c>
      <c r="S3" s="163"/>
      <c r="T3" s="163"/>
      <c r="U3" s="163"/>
      <c r="V3" s="163" t="s">
        <v>6</v>
      </c>
      <c r="W3" s="164"/>
    </row>
    <row r="4" spans="1:24" s="5" customFormat="1" ht="39.5" thickBot="1">
      <c r="E4" s="166"/>
      <c r="F4" s="168"/>
      <c r="G4" s="24" t="s">
        <v>8</v>
      </c>
      <c r="H4" s="6" t="s">
        <v>9</v>
      </c>
      <c r="I4" s="24" t="s">
        <v>8</v>
      </c>
      <c r="J4" s="6" t="s">
        <v>39</v>
      </c>
      <c r="K4" s="6" t="s">
        <v>10</v>
      </c>
      <c r="L4" s="6" t="s">
        <v>40</v>
      </c>
      <c r="M4" s="6" t="s">
        <v>41</v>
      </c>
      <c r="N4" s="6" t="s">
        <v>42</v>
      </c>
      <c r="O4" s="6" t="s">
        <v>43</v>
      </c>
      <c r="P4" s="24" t="s">
        <v>44</v>
      </c>
      <c r="Q4" s="6" t="s">
        <v>102</v>
      </c>
      <c r="R4" s="24" t="s">
        <v>8</v>
      </c>
      <c r="S4" s="6" t="s">
        <v>45</v>
      </c>
      <c r="T4" s="6" t="s">
        <v>11</v>
      </c>
      <c r="U4" s="6" t="s">
        <v>12</v>
      </c>
      <c r="V4" s="24" t="s">
        <v>8</v>
      </c>
      <c r="W4" s="107" t="s">
        <v>13</v>
      </c>
    </row>
    <row r="5" spans="1:24" s="5" customFormat="1" ht="13.5" thickBot="1">
      <c r="A5" s="1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</row>
    <row r="6" spans="1:24" s="11" customFormat="1">
      <c r="A6" s="10"/>
      <c r="B6" s="11" t="s">
        <v>0</v>
      </c>
      <c r="C6" s="11" t="s">
        <v>15</v>
      </c>
      <c r="E6" s="16">
        <f t="shared" ref="E6:F6" si="0">SUM(E9:E17)</f>
        <v>355408.03416511987</v>
      </c>
      <c r="F6" s="17">
        <f t="shared" si="0"/>
        <v>0</v>
      </c>
      <c r="G6" s="17">
        <f t="shared" ref="G6:W6" si="1">SUM(G9:G17)</f>
        <v>49021.797815878599</v>
      </c>
      <c r="H6" s="17">
        <f t="shared" si="1"/>
        <v>49021.797815878599</v>
      </c>
      <c r="I6" s="17">
        <f t="shared" si="1"/>
        <v>255626.8199502365</v>
      </c>
      <c r="J6" s="17">
        <f t="shared" si="1"/>
        <v>62130.35</v>
      </c>
      <c r="K6" s="17">
        <f t="shared" si="1"/>
        <v>0</v>
      </c>
      <c r="L6" s="17">
        <f t="shared" si="1"/>
        <v>0</v>
      </c>
      <c r="M6" s="17">
        <f t="shared" si="1"/>
        <v>184496.4699502365</v>
      </c>
      <c r="N6" s="17">
        <f t="shared" si="1"/>
        <v>0</v>
      </c>
      <c r="O6" s="17">
        <f t="shared" si="1"/>
        <v>0</v>
      </c>
      <c r="P6" s="17">
        <f t="shared" si="1"/>
        <v>9000</v>
      </c>
      <c r="Q6" s="17">
        <f t="shared" si="1"/>
        <v>0</v>
      </c>
      <c r="R6" s="17">
        <f t="shared" si="1"/>
        <v>6612.5363990047299</v>
      </c>
      <c r="S6" s="17">
        <f t="shared" si="1"/>
        <v>5112.5363990047299</v>
      </c>
      <c r="T6" s="17">
        <f t="shared" si="1"/>
        <v>1500</v>
      </c>
      <c r="U6" s="17">
        <f t="shared" si="1"/>
        <v>0</v>
      </c>
      <c r="V6" s="17">
        <f t="shared" si="1"/>
        <v>44146.879999999997</v>
      </c>
      <c r="W6" s="18">
        <f t="shared" si="1"/>
        <v>44146.879999999997</v>
      </c>
      <c r="X6" s="15"/>
    </row>
    <row r="7" spans="1:24" s="11" customFormat="1">
      <c r="A7" s="19"/>
      <c r="B7" s="34"/>
      <c r="C7" s="40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15"/>
    </row>
    <row r="8" spans="1:24" s="11" customFormat="1">
      <c r="A8" s="19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5"/>
    </row>
    <row r="9" spans="1:24" s="11" customFormat="1">
      <c r="A9" s="10"/>
      <c r="B9" s="11" t="str">
        <f>'Hong Kong-L'!B8</f>
        <v>Chan Kin Pong</v>
      </c>
      <c r="C9" s="11" t="str">
        <f>'Hong Kong EE'!D10</f>
        <v>CUS1503-0001</v>
      </c>
      <c r="E9" s="16">
        <f>F9+G9+I9+R9+V9</f>
        <v>355408.03416511987</v>
      </c>
      <c r="F9" s="17">
        <v>0</v>
      </c>
      <c r="G9" s="17">
        <f>SUM(H9:H9)</f>
        <v>49021.797815878599</v>
      </c>
      <c r="H9" s="17">
        <f>MAX(600*PN!B28,(I9+R9+V9)*16%)</f>
        <v>49021.797815878599</v>
      </c>
      <c r="I9" s="17">
        <f>SUM(J9:Q9)</f>
        <v>255626.8199502365</v>
      </c>
      <c r="J9" s="17">
        <f>'Hong Kong-L'!C8</f>
        <v>62130.35</v>
      </c>
      <c r="K9" s="17">
        <f>'Hong Kong-L'!D8</f>
        <v>0</v>
      </c>
      <c r="L9" s="17">
        <f>'Hong Kong-L'!E8</f>
        <v>0</v>
      </c>
      <c r="M9" s="17">
        <f>'Hong Kong-L'!F8</f>
        <v>184496.4699502365</v>
      </c>
      <c r="N9" s="17">
        <f>'Hong Kong-L'!G8</f>
        <v>0</v>
      </c>
      <c r="O9" s="17">
        <f>'Hong Kong-L'!H8</f>
        <v>0</v>
      </c>
      <c r="P9" s="17">
        <f>'Hong Kong-L'!I8</f>
        <v>9000</v>
      </c>
      <c r="Q9" s="17">
        <f>'Hong Kong-L'!P8</f>
        <v>0</v>
      </c>
      <c r="R9" s="17">
        <f>SUM(S9:U9)</f>
        <v>6612.5363990047299</v>
      </c>
      <c r="S9" s="17">
        <f>'Hong Kong-L'!L8</f>
        <v>5112.5363990047299</v>
      </c>
      <c r="T9" s="17">
        <f>'Hong Kong-L'!M8</f>
        <v>1500</v>
      </c>
      <c r="U9" s="17">
        <f>'Hong Kong-L'!O8</f>
        <v>0</v>
      </c>
      <c r="V9" s="17">
        <f>SUM(W9:W9)</f>
        <v>44146.879999999997</v>
      </c>
      <c r="W9" s="18">
        <f>'Hong Kong-L'!J8</f>
        <v>44146.879999999997</v>
      </c>
      <c r="X9" s="15"/>
    </row>
    <row r="10" spans="1:24" s="11" customFormat="1">
      <c r="A10" s="10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15"/>
    </row>
    <row r="11" spans="1:24" s="11" customFormat="1">
      <c r="A11" s="10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15"/>
    </row>
    <row r="12" spans="1:24" s="11" customFormat="1">
      <c r="A12" s="10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5"/>
    </row>
    <row r="13" spans="1:24" s="11" customFormat="1">
      <c r="A13" s="10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5"/>
    </row>
    <row r="14" spans="1:24" s="11" customFormat="1">
      <c r="A14" s="10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5"/>
    </row>
    <row r="15" spans="1:24" s="11" customFormat="1">
      <c r="A15" s="10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5"/>
    </row>
    <row r="16" spans="1:24" s="11" customFormat="1">
      <c r="A16" s="10"/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5"/>
    </row>
    <row r="17" spans="1:24" s="11" customFormat="1" ht="13.5" thickBot="1">
      <c r="A17" s="10"/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2"/>
      <c r="X17" s="15"/>
    </row>
    <row r="20" spans="1:24" s="28" customFormat="1" ht="15" thickBot="1">
      <c r="A20" s="27"/>
    </row>
    <row r="21" spans="1:24" s="28" customFormat="1" ht="14.5">
      <c r="A21" s="27" t="s">
        <v>78</v>
      </c>
      <c r="B21" s="100"/>
      <c r="C21" s="100"/>
      <c r="D21" s="100"/>
      <c r="E21" s="101">
        <f>SUM(E22:E26)</f>
        <v>28.33</v>
      </c>
      <c r="F21" s="102">
        <v>0</v>
      </c>
    </row>
    <row r="22" spans="1:24" s="28" customFormat="1" ht="14.5">
      <c r="A22" s="27"/>
      <c r="B22" s="100" t="s">
        <v>26</v>
      </c>
      <c r="C22" s="100"/>
      <c r="D22" s="100"/>
      <c r="E22" s="103">
        <v>18.329999999999998</v>
      </c>
      <c r="F22" s="104"/>
      <c r="G22" s="31"/>
    </row>
    <row r="23" spans="1:24" s="28" customFormat="1" ht="14.5">
      <c r="A23" s="27"/>
      <c r="B23" s="100" t="s">
        <v>27</v>
      </c>
      <c r="C23" s="100"/>
      <c r="D23" s="100"/>
      <c r="E23" s="103"/>
      <c r="F23" s="104">
        <v>0</v>
      </c>
    </row>
    <row r="24" spans="1:24" s="28" customFormat="1" ht="14.5">
      <c r="A24" s="27"/>
      <c r="B24" s="100" t="s">
        <v>28</v>
      </c>
      <c r="C24" s="100"/>
      <c r="D24" s="100"/>
      <c r="E24" s="103"/>
      <c r="F24" s="104">
        <v>0</v>
      </c>
    </row>
    <row r="25" spans="1:24" s="28" customFormat="1" ht="14.5">
      <c r="A25" s="27"/>
      <c r="B25" s="100" t="s">
        <v>17</v>
      </c>
      <c r="C25" s="100"/>
      <c r="D25" s="100"/>
      <c r="E25" s="103">
        <v>10</v>
      </c>
      <c r="F25" s="104"/>
    </row>
    <row r="26" spans="1:24" s="28" customFormat="1" ht="15" thickBot="1">
      <c r="A26" s="27"/>
      <c r="B26" s="100" t="s">
        <v>29</v>
      </c>
      <c r="C26" s="100"/>
      <c r="D26" s="100"/>
      <c r="E26" s="105">
        <v>0</v>
      </c>
      <c r="F26" s="106"/>
    </row>
  </sheetData>
  <mergeCells count="6">
    <mergeCell ref="V3:W3"/>
    <mergeCell ref="R3:U3"/>
    <mergeCell ref="E3:E4"/>
    <mergeCell ref="F3:F4"/>
    <mergeCell ref="G3:H3"/>
    <mergeCell ref="I3:Q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00B2-45A4-2343-82FA-8DD4F2BDAAE6}">
  <dimension ref="A1:U19"/>
  <sheetViews>
    <sheetView zoomScaleNormal="55" workbookViewId="0">
      <selection activeCell="H33" sqref="H33"/>
    </sheetView>
  </sheetViews>
  <sheetFormatPr defaultColWidth="9.1796875" defaultRowHeight="13"/>
  <cols>
    <col min="1" max="1" width="12.36328125" style="1" bestFit="1" customWidth="1"/>
    <col min="2" max="2" width="9.81640625" style="2" bestFit="1" customWidth="1"/>
    <col min="3" max="3" width="10.36328125" style="2" bestFit="1" customWidth="1"/>
    <col min="4" max="4" width="12.6328125" style="2" bestFit="1" customWidth="1"/>
    <col min="5" max="5" width="12" style="2" bestFit="1" customWidth="1"/>
    <col min="6" max="6" width="8.453125" style="2" bestFit="1" customWidth="1"/>
    <col min="7" max="7" width="9.453125" style="2" bestFit="1" customWidth="1"/>
    <col min="8" max="8" width="12.7265625" style="2" customWidth="1"/>
    <col min="9" max="9" width="12.6328125" style="2" customWidth="1"/>
    <col min="10" max="10" width="8.81640625" style="2" bestFit="1" customWidth="1"/>
    <col min="11" max="11" width="4.6328125" style="2" bestFit="1" customWidth="1"/>
    <col min="12" max="12" width="8.36328125" style="2" bestFit="1" customWidth="1"/>
    <col min="13" max="13" width="10.1796875" style="2" customWidth="1"/>
    <col min="14" max="14" width="7.1796875" style="2" bestFit="1" customWidth="1"/>
    <col min="15" max="15" width="6.81640625" style="2" bestFit="1" customWidth="1"/>
    <col min="16" max="16" width="7.453125" style="2" bestFit="1" customWidth="1"/>
    <col min="17" max="17" width="11.453125" style="2" bestFit="1" customWidth="1"/>
    <col min="18" max="19" width="8.36328125" style="2" bestFit="1" customWidth="1"/>
    <col min="20" max="21" width="8" style="2" bestFit="1" customWidth="1"/>
    <col min="22" max="16384" width="9.1796875" style="2"/>
  </cols>
  <sheetData>
    <row r="1" spans="1:21" ht="13.5" thickBot="1">
      <c r="A1" s="1" t="str">
        <f ca="1">MID(CELL("filename",A1),FIND("]",CELL("filename",A1))+1,256)</f>
        <v>Hong Kong EE</v>
      </c>
      <c r="C1" s="4"/>
      <c r="D1" s="4"/>
      <c r="E1" s="4"/>
      <c r="F1" s="4"/>
      <c r="H1" s="26"/>
    </row>
    <row r="2" spans="1:21" ht="13.5" thickBot="1">
      <c r="A2" s="3"/>
      <c r="B2" s="4"/>
      <c r="C2" s="4"/>
      <c r="D2" s="4"/>
      <c r="E2" s="4"/>
      <c r="F2" s="4"/>
      <c r="H2" s="25" t="s">
        <v>2</v>
      </c>
    </row>
    <row r="3" spans="1:21" s="5" customFormat="1" ht="14" customHeight="1">
      <c r="A3" s="35"/>
      <c r="B3" s="175" t="s">
        <v>19</v>
      </c>
      <c r="C3" s="175" t="s">
        <v>20</v>
      </c>
      <c r="D3" s="175" t="s">
        <v>21</v>
      </c>
      <c r="E3" s="175" t="s">
        <v>22</v>
      </c>
      <c r="F3" s="177" t="s">
        <v>23</v>
      </c>
      <c r="G3" s="178"/>
      <c r="H3" s="174" t="s">
        <v>7</v>
      </c>
      <c r="I3" s="171" t="s">
        <v>4</v>
      </c>
      <c r="J3" s="172"/>
      <c r="K3" s="172"/>
      <c r="L3" s="172"/>
      <c r="M3" s="172"/>
      <c r="N3" s="172"/>
      <c r="O3" s="172"/>
      <c r="P3" s="172"/>
      <c r="Q3" s="173"/>
      <c r="R3" s="163" t="s">
        <v>6</v>
      </c>
      <c r="S3" s="163"/>
      <c r="T3" s="163" t="s">
        <v>5</v>
      </c>
      <c r="U3" s="164"/>
    </row>
    <row r="4" spans="1:21" s="5" customFormat="1" ht="39.5" thickBot="1">
      <c r="A4" s="35"/>
      <c r="B4" s="176"/>
      <c r="C4" s="176"/>
      <c r="D4" s="176"/>
      <c r="E4" s="176"/>
      <c r="F4" s="36" t="s">
        <v>24</v>
      </c>
      <c r="G4" s="36" t="s">
        <v>25</v>
      </c>
      <c r="H4" s="166"/>
      <c r="I4" s="24" t="s">
        <v>8</v>
      </c>
      <c r="J4" s="6" t="s">
        <v>39</v>
      </c>
      <c r="K4" s="6" t="s">
        <v>10</v>
      </c>
      <c r="L4" s="6" t="s">
        <v>40</v>
      </c>
      <c r="M4" s="6" t="s">
        <v>41</v>
      </c>
      <c r="N4" s="6" t="s">
        <v>42</v>
      </c>
      <c r="O4" s="6" t="s">
        <v>43</v>
      </c>
      <c r="P4" s="24" t="s">
        <v>44</v>
      </c>
      <c r="Q4" s="24" t="s">
        <v>93</v>
      </c>
      <c r="R4" s="24" t="s">
        <v>8</v>
      </c>
      <c r="S4" s="6" t="s">
        <v>13</v>
      </c>
      <c r="T4" s="24" t="s">
        <v>8</v>
      </c>
      <c r="U4" s="107" t="s">
        <v>14</v>
      </c>
    </row>
    <row r="5" spans="1:21" s="5" customFormat="1" ht="15" thickBot="1">
      <c r="A5" s="27"/>
      <c r="B5" s="33"/>
      <c r="C5" s="33"/>
      <c r="D5" s="33"/>
      <c r="E5" s="33"/>
      <c r="F5" s="33"/>
      <c r="G5" s="33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</row>
    <row r="6" spans="1:21" s="11" customFormat="1" ht="14.5">
      <c r="A6" s="29" t="s">
        <v>46</v>
      </c>
      <c r="B6" s="37"/>
      <c r="C6" s="37"/>
      <c r="D6" s="37"/>
      <c r="E6" s="37"/>
      <c r="F6" s="37"/>
      <c r="G6" s="37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</row>
    <row r="7" spans="1:21" s="11" customFormat="1" ht="14.5">
      <c r="A7" s="29"/>
      <c r="B7" s="37"/>
      <c r="C7" s="37"/>
      <c r="D7" s="37"/>
      <c r="E7" s="37"/>
      <c r="F7" s="37"/>
      <c r="G7" s="37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</row>
    <row r="8" spans="1:21" s="11" customFormat="1" ht="14.5">
      <c r="A8" s="38"/>
      <c r="B8" s="39"/>
      <c r="C8" s="39"/>
      <c r="D8" s="39"/>
      <c r="E8" s="39"/>
      <c r="F8" s="39"/>
      <c r="G8" s="39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</row>
    <row r="9" spans="1:21" s="11" customFormat="1" ht="14.5">
      <c r="A9" s="38"/>
      <c r="B9" s="30"/>
      <c r="C9" s="30"/>
      <c r="D9" s="30"/>
      <c r="E9" s="30"/>
      <c r="F9" s="30"/>
      <c r="G9" s="30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</row>
    <row r="10" spans="1:21" s="11" customFormat="1" ht="14.5">
      <c r="A10" s="29"/>
      <c r="B10" s="30" t="str">
        <f>PN!B9</f>
        <v>CUS1503</v>
      </c>
      <c r="C10" s="30" t="str">
        <f>PN!B8</f>
        <v>UE Corp</v>
      </c>
      <c r="D10" s="30" t="str">
        <f>'Hong Kong-L'!A8</f>
        <v>CUS1503-0001</v>
      </c>
      <c r="E10" s="30" t="str">
        <f>'Hong Kong-L'!B8</f>
        <v>Chan Kin Pong</v>
      </c>
      <c r="F10" s="39" t="str">
        <f>'Hong Kong-L'!C2</f>
        <v>2026/3/1</v>
      </c>
      <c r="G10" s="39" t="str">
        <f>'Hong Kong-L'!E2</f>
        <v>2026/3/31</v>
      </c>
      <c r="H10" s="16">
        <f>I10+R10+T10</f>
        <v>298273.69995023648</v>
      </c>
      <c r="I10" s="17">
        <f>SUM(J10:Q10)</f>
        <v>255626.8199502365</v>
      </c>
      <c r="J10" s="17">
        <f>'Hong Kong-L'!C8</f>
        <v>62130.35</v>
      </c>
      <c r="K10" s="17">
        <f>'Hong Kong-L'!D8</f>
        <v>0</v>
      </c>
      <c r="L10" s="17">
        <f>'Hong Kong-L'!E8</f>
        <v>0</v>
      </c>
      <c r="M10" s="17">
        <f>'Hong Kong-L'!F8</f>
        <v>184496.4699502365</v>
      </c>
      <c r="N10" s="17">
        <f>'Hong Kong-L'!G8</f>
        <v>0</v>
      </c>
      <c r="O10" s="17">
        <f>'Hong Kong-L'!H8</f>
        <v>0</v>
      </c>
      <c r="P10" s="17">
        <f>'Hong Kong-L'!I8</f>
        <v>9000</v>
      </c>
      <c r="Q10" s="17">
        <f>'Hong Kong-L'!P8</f>
        <v>0</v>
      </c>
      <c r="R10" s="17">
        <f>SUM(S10:S10)</f>
        <v>44146.879999999997</v>
      </c>
      <c r="S10" s="17">
        <f>'Hong Kong-L'!J8</f>
        <v>44146.879999999997</v>
      </c>
      <c r="T10" s="17">
        <f>SUM(U10:U10)</f>
        <v>-1500</v>
      </c>
      <c r="U10" s="18">
        <f>'Hong Kong-L'!N8</f>
        <v>-1500</v>
      </c>
    </row>
    <row r="11" spans="1:21" s="11" customFormat="1">
      <c r="A11" s="10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</row>
    <row r="12" spans="1:21" s="11" customFormat="1">
      <c r="A12" s="10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8"/>
    </row>
    <row r="13" spans="1:21" s="11" customFormat="1">
      <c r="A13" s="10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8"/>
    </row>
    <row r="14" spans="1:21" s="11" customFormat="1">
      <c r="A14" s="10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</row>
    <row r="15" spans="1:21" s="11" customFormat="1">
      <c r="A15" s="10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21" s="11" customFormat="1">
      <c r="A16" s="10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8"/>
    </row>
    <row r="17" spans="1:21" s="11" customFormat="1">
      <c r="A17" s="10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8"/>
    </row>
    <row r="18" spans="1:21" s="11" customFormat="1">
      <c r="A18" s="10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8"/>
    </row>
    <row r="19" spans="1:21" s="11" customFormat="1" ht="13.5" thickBot="1">
      <c r="A19" s="10"/>
      <c r="H19" s="20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/>
    </row>
  </sheetData>
  <mergeCells count="9">
    <mergeCell ref="R3:S3"/>
    <mergeCell ref="T3:U3"/>
    <mergeCell ref="H3:H4"/>
    <mergeCell ref="B3:B4"/>
    <mergeCell ref="C3:C4"/>
    <mergeCell ref="D3:D4"/>
    <mergeCell ref="E3:E4"/>
    <mergeCell ref="F3:G3"/>
    <mergeCell ref="I3:Q3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T13"/>
  <sheetViews>
    <sheetView zoomScale="115" workbookViewId="0">
      <selection activeCell="F10" sqref="F10"/>
    </sheetView>
  </sheetViews>
  <sheetFormatPr defaultColWidth="8.81640625" defaultRowHeight="14.5"/>
  <cols>
    <col min="1" max="1" width="6.6328125" customWidth="1"/>
    <col min="2" max="2" width="23.1796875" customWidth="1"/>
    <col min="3" max="3" width="11.1796875" customWidth="1"/>
    <col min="4" max="4" width="8" customWidth="1"/>
    <col min="5" max="5" width="10.6328125" customWidth="1"/>
    <col min="6" max="6" width="12" customWidth="1"/>
    <col min="7" max="8" width="15" customWidth="1"/>
    <col min="9" max="10" width="9" bestFit="1" customWidth="1"/>
    <col min="11" max="11" width="12.54296875" customWidth="1"/>
    <col min="12" max="12" width="10.36328125" bestFit="1" customWidth="1"/>
    <col min="13" max="13" width="9" bestFit="1" customWidth="1"/>
    <col min="14" max="14" width="9.6328125" bestFit="1" customWidth="1"/>
    <col min="16" max="16" width="12.81640625" customWidth="1"/>
    <col min="17" max="18" width="15" customWidth="1"/>
    <col min="19" max="19" width="13.1796875" customWidth="1"/>
    <col min="20" max="20" width="10.6328125" customWidth="1"/>
    <col min="22" max="22" width="9.453125" bestFit="1" customWidth="1"/>
    <col min="42" max="42" width="10.6328125" bestFit="1" customWidth="1"/>
  </cols>
  <sheetData>
    <row r="1" spans="1:20">
      <c r="A1" s="179" t="s">
        <v>52</v>
      </c>
      <c r="B1" s="179"/>
      <c r="C1" s="110" t="str">
        <f>PN!B8</f>
        <v>UE Corp</v>
      </c>
    </row>
    <row r="2" spans="1:20">
      <c r="A2" s="179" t="s">
        <v>83</v>
      </c>
      <c r="B2" s="179"/>
      <c r="C2" s="111" t="s">
        <v>104</v>
      </c>
      <c r="D2" s="109" t="s">
        <v>84</v>
      </c>
      <c r="E2" s="111" t="s">
        <v>105</v>
      </c>
    </row>
    <row r="3" spans="1:20">
      <c r="A3" s="179" t="s">
        <v>85</v>
      </c>
      <c r="B3" s="179"/>
      <c r="C3" s="112" t="s">
        <v>86</v>
      </c>
    </row>
    <row r="6" spans="1:20" ht="15" thickBot="1"/>
    <row r="7" spans="1:20" s="23" customFormat="1" ht="58.5" thickBot="1">
      <c r="A7" s="113" t="s">
        <v>87</v>
      </c>
      <c r="B7" s="114" t="s">
        <v>88</v>
      </c>
      <c r="C7" s="114" t="s">
        <v>39</v>
      </c>
      <c r="D7" s="114" t="s">
        <v>10</v>
      </c>
      <c r="E7" s="114" t="s">
        <v>40</v>
      </c>
      <c r="F7" s="114" t="s">
        <v>89</v>
      </c>
      <c r="G7" s="114" t="s">
        <v>42</v>
      </c>
      <c r="H7" s="114" t="s">
        <v>43</v>
      </c>
      <c r="I7" s="114" t="s">
        <v>44</v>
      </c>
      <c r="J7" s="114" t="s">
        <v>90</v>
      </c>
      <c r="K7" s="114" t="s">
        <v>91</v>
      </c>
      <c r="L7" s="114" t="s">
        <v>45</v>
      </c>
      <c r="M7" s="114" t="s">
        <v>11</v>
      </c>
      <c r="N7" s="114" t="s">
        <v>14</v>
      </c>
      <c r="O7" s="114" t="s">
        <v>92</v>
      </c>
      <c r="P7" s="114" t="s">
        <v>93</v>
      </c>
      <c r="Q7" s="114" t="s">
        <v>94</v>
      </c>
      <c r="R7" s="115" t="s">
        <v>95</v>
      </c>
    </row>
    <row r="8" spans="1:20">
      <c r="A8" s="116" t="s">
        <v>101</v>
      </c>
      <c r="B8" s="117" t="s">
        <v>100</v>
      </c>
      <c r="C8" s="125">
        <v>62130.35</v>
      </c>
      <c r="D8" s="126"/>
      <c r="E8" s="125">
        <v>0</v>
      </c>
      <c r="F8" s="118">
        <f>24352.5*PN!B28</f>
        <v>184496.4699502365</v>
      </c>
      <c r="G8" s="118"/>
      <c r="H8" s="118"/>
      <c r="I8" s="118">
        <v>9000</v>
      </c>
      <c r="J8" s="127">
        <v>44146.879999999997</v>
      </c>
      <c r="K8" s="118">
        <f>SUM(C8:I8)</f>
        <v>255626.8199502365</v>
      </c>
      <c r="L8" s="118">
        <f>K8*2%</f>
        <v>5112.5363990047299</v>
      </c>
      <c r="M8" s="118">
        <f>MIN(5%*SUM(C8:I8),1500)</f>
        <v>1500</v>
      </c>
      <c r="N8" s="118">
        <f>-M8</f>
        <v>-1500</v>
      </c>
      <c r="O8" s="118"/>
      <c r="P8" s="128"/>
      <c r="Q8" s="125">
        <f>K8+N8+P8+J8</f>
        <v>298273.69995023648</v>
      </c>
      <c r="R8" s="119">
        <f>J8+K8+L8+M8+O8+P8</f>
        <v>306386.23634924123</v>
      </c>
      <c r="T8" s="120"/>
    </row>
    <row r="9" spans="1:20">
      <c r="A9" s="116"/>
      <c r="B9" s="117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</row>
    <row r="10" spans="1:20">
      <c r="A10" s="116"/>
      <c r="B10" s="117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</row>
    <row r="11" spans="1:20">
      <c r="A11" s="116"/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</row>
    <row r="12" spans="1:20">
      <c r="A12" s="116"/>
      <c r="B12" s="121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20">
      <c r="A13" s="116"/>
      <c r="B13" s="121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</row>
  </sheetData>
  <mergeCells count="3">
    <mergeCell ref="A1:B1"/>
    <mergeCell ref="A2:B2"/>
    <mergeCell ref="A3:B3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1CCB-014D-4C81-99E7-C5150F29E44F}">
  <dimension ref="A1:K9"/>
  <sheetViews>
    <sheetView workbookViewId="0">
      <selection activeCell="G11" sqref="G11"/>
    </sheetView>
  </sheetViews>
  <sheetFormatPr defaultColWidth="8.6328125" defaultRowHeight="14.5"/>
  <cols>
    <col min="1" max="1" width="14.36328125" style="32" customWidth="1"/>
    <col min="2" max="2" width="13.6328125" style="32" customWidth="1"/>
    <col min="3" max="3" width="15.81640625" style="32" customWidth="1"/>
    <col min="4" max="4" width="9.36328125" style="32" customWidth="1"/>
    <col min="5" max="6" width="14.6328125" style="32" customWidth="1"/>
    <col min="7" max="16384" width="8.6328125" style="32"/>
  </cols>
  <sheetData>
    <row r="1" spans="1:11" s="28" customFormat="1" ht="58">
      <c r="A1" s="23" t="s">
        <v>30</v>
      </c>
      <c r="B1" s="23" t="s">
        <v>31</v>
      </c>
      <c r="C1" s="23" t="s">
        <v>32</v>
      </c>
      <c r="D1" s="23" t="s">
        <v>33</v>
      </c>
      <c r="E1" s="23" t="s">
        <v>34</v>
      </c>
      <c r="F1" s="108" t="s">
        <v>79</v>
      </c>
      <c r="G1" s="108" t="s">
        <v>18</v>
      </c>
      <c r="H1" s="23" t="s">
        <v>80</v>
      </c>
      <c r="I1" s="23" t="s">
        <v>81</v>
      </c>
      <c r="J1" s="108" t="s">
        <v>82</v>
      </c>
      <c r="K1" s="23" t="s">
        <v>35</v>
      </c>
    </row>
    <row r="2" spans="1:11" s="28" customFormat="1">
      <c r="A2" s="124">
        <f>PN!F15</f>
        <v>40441.266018300492</v>
      </c>
      <c r="B2" s="124">
        <f>PN!F34</f>
        <v>0</v>
      </c>
      <c r="C2" s="124">
        <f>PN!F20</f>
        <v>6470.6025629280784</v>
      </c>
      <c r="D2" s="124">
        <f>PN!F32</f>
        <v>10</v>
      </c>
      <c r="E2" s="124">
        <f>PN!F31</f>
        <v>0</v>
      </c>
      <c r="F2" s="28">
        <v>0</v>
      </c>
      <c r="G2" s="28">
        <v>0</v>
      </c>
      <c r="H2" s="124">
        <f>PN!F29</f>
        <v>18.329999999999998</v>
      </c>
      <c r="I2" s="124">
        <f>PN!F30</f>
        <v>0</v>
      </c>
      <c r="J2" s="28">
        <v>0</v>
      </c>
      <c r="K2" s="28">
        <f>SUM(A2:J2)</f>
        <v>46940.198581228571</v>
      </c>
    </row>
    <row r="3" spans="1:11" s="28" customFormat="1"/>
    <row r="4" spans="1:11" s="28" customFormat="1"/>
    <row r="5" spans="1:11" s="28" customFormat="1"/>
    <row r="6" spans="1:11" s="28" customFormat="1"/>
    <row r="7" spans="1:11" s="28" customFormat="1">
      <c r="A7" s="28" t="s">
        <v>36</v>
      </c>
    </row>
    <row r="8" spans="1:11" s="28" customFormat="1">
      <c r="A8" s="28" t="s">
        <v>37</v>
      </c>
    </row>
    <row r="9" spans="1:11" s="28" customFormat="1">
      <c r="A9" s="28" t="s">
        <v>38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91ae446891929da28b484b309bea114e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515d3a7ddb5cdbf47adf2137a5779204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81C1AA-15EC-4ADB-A46F-B6AE36F878FA}">
  <ds:schemaRefs>
    <ds:schemaRef ds:uri="d627f54e-f962-403c-9056-fc9f08248a08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00ff829c-5328-4041-8e8f-a41155b380e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2A9B423-83D3-49E0-BE6D-5522DEF8F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9AD923-1F03-4A18-A21B-E8C15E3D4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</vt:lpstr>
      <vt:lpstr>Hong Kong</vt:lpstr>
      <vt:lpstr>Hong Kong EE</vt:lpstr>
      <vt:lpstr>Hong Kong-L</vt:lpstr>
      <vt:lpstr>FI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cp:lastPrinted>2025-03-05T21:09:11Z</cp:lastPrinted>
  <dcterms:created xsi:type="dcterms:W3CDTF">2019-04-02T09:07:35Z</dcterms:created>
  <dcterms:modified xsi:type="dcterms:W3CDTF">2026-03-18T09:47:41Z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