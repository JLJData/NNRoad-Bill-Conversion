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pfdi.sharepoint.com/sites/T/T/T15_DC/3_Dc-Crm/CUS1503-NNRoad_UECorp/Hong Kong/2025/06/"/>
    </mc:Choice>
  </mc:AlternateContent>
  <xr:revisionPtr revIDLastSave="155" documentId="8_{EE58C882-E6CF-4143-8B09-1B8DEF17AC6B}" xr6:coauthVersionLast="47" xr6:coauthVersionMax="47" xr10:uidLastSave="{C43456AE-7CD7-45D4-821E-2E2E01B00F05}"/>
  <bookViews>
    <workbookView xWindow="-103" yWindow="-103" windowWidth="19543" windowHeight="12497" xr2:uid="{38C3E173-F7FD-4B3C-BC8A-276CE1A49B11}"/>
  </bookViews>
  <sheets>
    <sheet name="PN" sheetId="1" r:id="rId1"/>
    <sheet name="Hong Kong" sheetId="2" r:id="rId2"/>
    <sheet name="Hong Kong EE" sheetId="5" r:id="rId3"/>
    <sheet name="Hong Kong-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M8" i="3"/>
  <c r="B3" i="2"/>
  <c r="AD13" i="2"/>
  <c r="AB13" i="2"/>
  <c r="AA13" i="2"/>
  <c r="Z13" i="2" s="1"/>
  <c r="U13" i="2"/>
  <c r="T13" i="2"/>
  <c r="S13" i="2"/>
  <c r="S10" i="2" s="1"/>
  <c r="P13" i="2"/>
  <c r="O13" i="2"/>
  <c r="N13" i="2"/>
  <c r="M13" i="2"/>
  <c r="K13" i="2" s="1"/>
  <c r="L13" i="2"/>
  <c r="C13" i="2"/>
  <c r="B13" i="2"/>
  <c r="AC13" i="2"/>
  <c r="R13" i="2"/>
  <c r="I13" i="2"/>
  <c r="G13" i="2"/>
  <c r="U9" i="5"/>
  <c r="S9" i="5"/>
  <c r="D9" i="5"/>
  <c r="T9" i="5"/>
  <c r="R9" i="5" l="1"/>
  <c r="O10" i="2"/>
  <c r="P10" i="2"/>
  <c r="Q9" i="5"/>
  <c r="N9" i="5"/>
  <c r="M9" i="5"/>
  <c r="L9" i="5"/>
  <c r="K9" i="5"/>
  <c r="B2" i="5"/>
  <c r="C8" i="3"/>
  <c r="P9" i="2" l="1"/>
  <c r="O9" i="2"/>
  <c r="S9" i="2"/>
  <c r="J9" i="5"/>
  <c r="W13" i="2"/>
  <c r="N8" i="3"/>
  <c r="X13" i="2" s="1"/>
  <c r="V13" i="2" s="1"/>
  <c r="E13" i="2" s="1"/>
  <c r="B8" i="1"/>
  <c r="B9" i="1" s="1"/>
  <c r="S8" i="3" l="1"/>
  <c r="O8" i="3"/>
  <c r="C1" i="3"/>
  <c r="W9" i="5" l="1"/>
  <c r="R8" i="3"/>
  <c r="C9" i="5"/>
  <c r="E9" i="5"/>
  <c r="G9" i="5"/>
  <c r="F9" i="5"/>
  <c r="Y9" i="5" l="1"/>
  <c r="V9" i="5"/>
  <c r="P9" i="5"/>
  <c r="O9" i="5"/>
  <c r="A1" i="5"/>
  <c r="B11" i="2"/>
  <c r="C11" i="2"/>
  <c r="B7" i="1" l="1"/>
  <c r="I9" i="5"/>
  <c r="H9" i="5" l="1"/>
  <c r="I26" i="2" l="1"/>
  <c r="G26" i="2"/>
  <c r="H26" i="2"/>
  <c r="E40" i="2" l="1"/>
  <c r="D42" i="1" s="1"/>
  <c r="E37" i="2"/>
  <c r="D39" i="1" s="1"/>
  <c r="E39" i="2"/>
  <c r="D41" i="1" s="1"/>
  <c r="D40" i="1"/>
  <c r="B40" i="1" s="1"/>
  <c r="F32" i="2"/>
  <c r="E32" i="2" s="1"/>
  <c r="D35" i="1" s="1"/>
  <c r="B35" i="1" s="1"/>
  <c r="F31" i="2"/>
  <c r="E31" i="2" s="1"/>
  <c r="D34" i="1" s="1"/>
  <c r="B34" i="1" s="1"/>
  <c r="F30" i="2"/>
  <c r="E30" i="2" s="1"/>
  <c r="D33" i="1" s="1"/>
  <c r="B33" i="1" s="1"/>
  <c r="F29" i="2"/>
  <c r="E29" i="2" s="1"/>
  <c r="D32" i="1" s="1"/>
  <c r="B32" i="1" s="1"/>
  <c r="F28" i="2"/>
  <c r="E28" i="2" s="1"/>
  <c r="D31" i="1" s="1"/>
  <c r="B31" i="1" s="1"/>
  <c r="F27" i="2"/>
  <c r="E27" i="2" s="1"/>
  <c r="D30" i="1" s="1"/>
  <c r="B30" i="1" s="1"/>
  <c r="AF10" i="2"/>
  <c r="AF9" i="2" s="1"/>
  <c r="F10" i="2"/>
  <c r="F9" i="2" s="1"/>
  <c r="H10" i="2"/>
  <c r="H9" i="2" s="1"/>
  <c r="J10" i="2"/>
  <c r="J9" i="2" s="1"/>
  <c r="Q10" i="2"/>
  <c r="Q9" i="2" s="1"/>
  <c r="U10" i="2"/>
  <c r="U9" i="2" s="1"/>
  <c r="Y10" i="2"/>
  <c r="Y9" i="2" s="1"/>
  <c r="AB10" i="2"/>
  <c r="AB9" i="2" s="1"/>
  <c r="AE10" i="2"/>
  <c r="AE9" i="2" s="1"/>
  <c r="D26" i="1" s="1"/>
  <c r="B26" i="1" s="1"/>
  <c r="B29" i="1" l="1"/>
  <c r="F26" i="2"/>
  <c r="E26" i="2" s="1"/>
  <c r="E35" i="2"/>
  <c r="D38" i="1"/>
  <c r="D37" i="1" s="1"/>
  <c r="D29" i="1"/>
  <c r="T10" i="2" l="1"/>
  <c r="T9" i="2" s="1"/>
  <c r="X10" i="2" l="1"/>
  <c r="X9" i="2" s="1"/>
  <c r="N10" i="2"/>
  <c r="N9" i="2" s="1"/>
  <c r="M10" i="2"/>
  <c r="M9" i="2" s="1"/>
  <c r="B42" i="1"/>
  <c r="B41" i="1"/>
  <c r="B39" i="1"/>
  <c r="A1" i="2"/>
  <c r="AC10" i="2" l="1"/>
  <c r="AC9" i="2" s="1"/>
  <c r="L10" i="2"/>
  <c r="L9" i="2" s="1"/>
  <c r="R10" i="2"/>
  <c r="R9" i="2" s="1"/>
  <c r="Z10" i="2"/>
  <c r="Z9" i="2" s="1"/>
  <c r="AA10" i="2"/>
  <c r="AA9" i="2" s="1"/>
  <c r="V10" i="2"/>
  <c r="V9" i="2" s="1"/>
  <c r="W10" i="2"/>
  <c r="W9" i="2" s="1"/>
  <c r="AD10" i="2"/>
  <c r="AD9" i="2" s="1"/>
  <c r="K10" i="2" l="1"/>
  <c r="K9" i="2" s="1"/>
  <c r="B38" i="1"/>
  <c r="B37" i="1" l="1"/>
  <c r="I10" i="2"/>
  <c r="I9" i="2" s="1"/>
  <c r="G10" i="2" l="1"/>
  <c r="G9" i="2" s="1"/>
  <c r="E10" i="2"/>
  <c r="E9" i="2" s="1"/>
  <c r="D27" i="1" l="1"/>
  <c r="B27" i="1" s="1"/>
  <c r="D25" i="1"/>
  <c r="B25" i="1" s="1"/>
  <c r="D24" i="1"/>
  <c r="B24" i="1" s="1"/>
  <c r="D21" i="1"/>
  <c r="B21" i="1" s="1"/>
  <c r="D20" i="1"/>
  <c r="B20" i="1" s="1"/>
  <c r="D19" i="1"/>
  <c r="D23" i="1"/>
  <c r="B23" i="1" s="1"/>
  <c r="D22" i="1"/>
  <c r="B22" i="1" s="1"/>
  <c r="D18" i="1" l="1"/>
  <c r="D14" i="1" s="1"/>
  <c r="B19" i="1"/>
  <c r="B18" i="1" l="1"/>
  <c r="B14" i="1" s="1"/>
</calcChain>
</file>

<file path=xl/sharedStrings.xml><?xml version="1.0" encoding="utf-8"?>
<sst xmlns="http://schemas.openxmlformats.org/spreadsheetml/2006/main" count="170" uniqueCount="125">
  <si>
    <t>Client</t>
    <phoneticPr fontId="1" type="noConversion"/>
  </si>
  <si>
    <t>NNRoad (UE Corp)</t>
    <phoneticPr fontId="7" type="noConversion"/>
  </si>
  <si>
    <t>Client address</t>
    <phoneticPr fontId="1" type="noConversion"/>
  </si>
  <si>
    <t>333 West San Carlos St, Suite 600, San Jose, CA 95110, USA</t>
    <phoneticPr fontId="7" type="noConversion"/>
  </si>
  <si>
    <t>Payment period</t>
    <phoneticPr fontId="1" type="noConversion"/>
  </si>
  <si>
    <t>Issue date (mm/dd/yyyy)</t>
    <phoneticPr fontId="1" type="noConversion"/>
  </si>
  <si>
    <t>Due date (mm/dd/yyyy)</t>
    <phoneticPr fontId="1" type="noConversion"/>
  </si>
  <si>
    <t>PN number</t>
    <phoneticPr fontId="1" type="noConversion"/>
  </si>
  <si>
    <t>PN-NNR-CUS1503-060620251</t>
    <phoneticPr fontId="7" type="noConversion"/>
  </si>
  <si>
    <t>Sum Total</t>
    <phoneticPr fontId="0" type="noConversion"/>
  </si>
  <si>
    <t>Total (USD)</t>
    <phoneticPr fontId="7" type="noConversion"/>
  </si>
  <si>
    <t>Sum</t>
    <phoneticPr fontId="0" type="noConversion"/>
  </si>
  <si>
    <t>Please remit
payment to</t>
    <phoneticPr fontId="1" type="noConversion"/>
  </si>
  <si>
    <t>Beneficiary: TOP FDI COMPANY LIMITED
Bank Name: HSBC Hong Kong
Bank Account: 040-299273-838
SWIFT BIC (international transfer): HSBCHKHHHKH
Routing Number (domestic wire transfer): 004
Routing Number (domestic ACH and direct deposit): 
Bank Add.: 1 Queen’s Road Central Hong Kong</t>
  </si>
  <si>
    <t>EOR/PEO</t>
    <phoneticPr fontId="0" type="noConversion"/>
  </si>
  <si>
    <t>Business tax</t>
    <phoneticPr fontId="0" type="noConversion"/>
  </si>
  <si>
    <t>Management fee</t>
  </si>
  <si>
    <t>Salary</t>
  </si>
  <si>
    <t>Other payment to EE</t>
  </si>
  <si>
    <t>Mandatory contribution</t>
  </si>
  <si>
    <t>Other payment for EE</t>
  </si>
  <si>
    <t>Expense claim</t>
  </si>
  <si>
    <t>Advance Payment</t>
  </si>
  <si>
    <t>Refundable Deposit</t>
    <phoneticPr fontId="7" type="noConversion"/>
  </si>
  <si>
    <t>Other Service</t>
  </si>
  <si>
    <t>Company Formation</t>
  </si>
  <si>
    <t>Office Rental</t>
  </si>
  <si>
    <t>Visa</t>
  </si>
  <si>
    <t>Accounting</t>
  </si>
  <si>
    <t>Template/Process Setup</t>
  </si>
  <si>
    <t>Other</t>
  </si>
  <si>
    <t>Other fee</t>
    <phoneticPr fontId="0" type="noConversion"/>
  </si>
  <si>
    <t>Historical balance</t>
    <phoneticPr fontId="0" type="noConversion"/>
  </si>
  <si>
    <t>Interests of delay</t>
    <phoneticPr fontId="0" type="noConversion"/>
  </si>
  <si>
    <t>Bank Charge</t>
    <phoneticPr fontId="7" type="noConversion"/>
  </si>
  <si>
    <t>Other</t>
    <phoneticPr fontId="0" type="noConversion"/>
  </si>
  <si>
    <t>*This document becomes a Tax Invoice/Receipt upon payment. Please retain a copy for your records.</t>
  </si>
  <si>
    <t>Prepared by</t>
    <phoneticPr fontId="0" type="noConversion"/>
  </si>
  <si>
    <t>Wang, Jessie</t>
  </si>
  <si>
    <t>Signature</t>
    <phoneticPr fontId="0" type="noConversion"/>
  </si>
  <si>
    <t>Approved by</t>
    <phoneticPr fontId="0" type="noConversion"/>
  </si>
  <si>
    <t>Liu, Siyu</t>
    <phoneticPr fontId="7" type="noConversion"/>
  </si>
  <si>
    <t>Exchange rate (USD per USD)</t>
  </si>
  <si>
    <t>Exchange rate (HKD per HKD)</t>
  </si>
  <si>
    <t>ER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</si>
  <si>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</si>
  <si>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</si>
  <si>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</si>
  <si>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Other Payment To EE</t>
    <phoneticPr fontId="0" type="noConversion"/>
  </si>
  <si>
    <t>Mandatory Contribution</t>
    <phoneticPr fontId="0" type="noConversion"/>
  </si>
  <si>
    <t>Other Pay For EE</t>
    <phoneticPr fontId="0" type="noConversion"/>
  </si>
  <si>
    <t>Expense Claim</t>
    <phoneticPr fontId="0" type="noConversion"/>
  </si>
  <si>
    <t>Advance 
Payment</t>
    <phoneticPr fontId="7" type="noConversion"/>
  </si>
  <si>
    <t>Refundable
Deposit</t>
    <phoneticPr fontId="7" type="noConversion"/>
  </si>
  <si>
    <t>Subtotal</t>
    <phoneticPr fontId="0" type="noConversion"/>
  </si>
  <si>
    <t>OneTime
Setup</t>
    <phoneticPr fontId="7" type="noConversion"/>
  </si>
  <si>
    <t>Recurring
Fee</t>
    <phoneticPr fontId="0" type="noConversion"/>
  </si>
  <si>
    <t>Expense
Fee</t>
    <phoneticPr fontId="0" type="noConversion"/>
  </si>
  <si>
    <t>Base Salary</t>
  </si>
  <si>
    <t>OT</t>
  </si>
  <si>
    <t>Salary Adjusment</t>
  </si>
  <si>
    <t>Leave Payment</t>
  </si>
  <si>
    <t>Backpay</t>
  </si>
  <si>
    <t xml:space="preserve">Other </t>
  </si>
  <si>
    <t>Bonus</t>
    <phoneticPr fontId="7" type="noConversion"/>
  </si>
  <si>
    <t>Insurance Allowance</t>
    <phoneticPr fontId="7" type="noConversion"/>
  </si>
  <si>
    <t>Employees' Compensation Insurance</t>
  </si>
  <si>
    <t>MPF ER</t>
  </si>
  <si>
    <t>Others</t>
  </si>
  <si>
    <t>Insurance</t>
  </si>
  <si>
    <t>Expense
Claim</t>
    <phoneticPr fontId="0" type="noConversion"/>
  </si>
  <si>
    <t>(USD)</t>
    <phoneticPr fontId="7" type="noConversion"/>
  </si>
  <si>
    <t>(HKD)</t>
  </si>
  <si>
    <t>Pay Period</t>
    <phoneticPr fontId="0" type="noConversion"/>
  </si>
  <si>
    <t>(HKD)</t>
    <phoneticPr fontId="11" type="noConversion"/>
  </si>
  <si>
    <t>3rd Party Fee</t>
    <phoneticPr fontId="11" type="noConversion"/>
  </si>
  <si>
    <t>Service Fee</t>
    <phoneticPr fontId="11" type="noConversion"/>
  </si>
  <si>
    <t>Tax</t>
    <phoneticPr fontId="11" type="noConversion"/>
  </si>
  <si>
    <t>Other Service</t>
    <phoneticPr fontId="11" type="noConversion"/>
  </si>
  <si>
    <t>Total</t>
    <phoneticPr fontId="11" type="noConversion"/>
  </si>
  <si>
    <t>Company Formation</t>
    <phoneticPr fontId="11" type="noConversion"/>
  </si>
  <si>
    <t>Office Rental</t>
    <phoneticPr fontId="11" type="noConversion"/>
  </si>
  <si>
    <t>Visa</t>
    <phoneticPr fontId="11" type="noConversion"/>
  </si>
  <si>
    <t>Accounting</t>
    <phoneticPr fontId="11" type="noConversion"/>
  </si>
  <si>
    <t>Template/Process Setup</t>
    <phoneticPr fontId="11" type="noConversion"/>
  </si>
  <si>
    <t>Other</t>
    <phoneticPr fontId="11" type="noConversion"/>
  </si>
  <si>
    <t>(USD)</t>
  </si>
  <si>
    <t>Other Fee</t>
    <phoneticPr fontId="11" type="noConversion"/>
  </si>
  <si>
    <t>Historical Balance</t>
    <phoneticPr fontId="11" type="noConversion"/>
  </si>
  <si>
    <t>Insterests of Delay</t>
    <phoneticPr fontId="11" type="noConversion"/>
  </si>
  <si>
    <t>Bank Charge</t>
    <phoneticPr fontId="11" type="noConversion"/>
  </si>
  <si>
    <t>Business Tax</t>
    <phoneticPr fontId="11" type="noConversion"/>
  </si>
  <si>
    <t>Exchange rate (HKD per USD)</t>
    <phoneticPr fontId="7" type="noConversion"/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</si>
  <si>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</si>
  <si>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</si>
  <si>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</si>
  <si>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</si>
  <si>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</si>
  <si>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</si>
  <si>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</si>
  <si>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Deduction</t>
    <phoneticPr fontId="0" type="noConversion"/>
  </si>
  <si>
    <t>From</t>
  </si>
  <si>
    <t>To</t>
  </si>
  <si>
    <t>Monthly Bonus</t>
    <phoneticPr fontId="7" type="noConversion"/>
  </si>
  <si>
    <t>MPF EE</t>
  </si>
  <si>
    <t>EOR/PEO(HKD)</t>
  </si>
  <si>
    <t>CUS1503</t>
    <phoneticPr fontId="7" type="noConversion"/>
  </si>
  <si>
    <t>Company name:</t>
  </si>
  <si>
    <t>Payroll period:</t>
  </si>
  <si>
    <t>6/1/2025</t>
    <phoneticPr fontId="7" type="noConversion"/>
  </si>
  <si>
    <t>to</t>
  </si>
  <si>
    <t>6/30/2025</t>
    <phoneticPr fontId="7" type="noConversion"/>
  </si>
  <si>
    <t xml:space="preserve">Currency: </t>
  </si>
  <si>
    <t>HKD</t>
    <phoneticPr fontId="7" type="noConversion"/>
  </si>
  <si>
    <t>No. of EE</t>
  </si>
  <si>
    <t>Name of Employee</t>
  </si>
  <si>
    <t>Medical Insurance Allowance</t>
    <phoneticPr fontId="7" type="noConversion"/>
  </si>
  <si>
    <t>Expense Reimbursment</t>
  </si>
  <si>
    <t>Gross Salary</t>
  </si>
  <si>
    <t>Medical Insurance</t>
  </si>
  <si>
    <t>Net Adjustment</t>
  </si>
  <si>
    <t>Net Pay</t>
    <phoneticPr fontId="7" type="noConversion"/>
  </si>
  <si>
    <t>Total Cost</t>
  </si>
  <si>
    <t>CUS1503-0001</t>
    <phoneticPr fontId="7" type="noConversion"/>
  </si>
  <si>
    <t>Chan Kin 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</si>
</sst>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#,##0.00_ "/>
    <numFmt numFmtId="166" formatCode="[$-10409]#,##0.00;\(#,##0.00\)"/>
    <numFmt numFmtId="167" formatCode="#,##0.000_);\(#,##0.000\)"/>
  </numFmts>
  <fonts count="17">
    <font>
      <sz val="11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b/>
      <sz val="8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b/>
      <u val="double"/>
      <sz val="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000000"/>
      <name val="Verdana"/>
      <family val="2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66B3"/>
      <name val="Calibri"/>
      <family val="2"/>
    </font>
    <font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5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3" borderId="8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65" fontId="4" fillId="2" borderId="8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165" fontId="3" fillId="3" borderId="8" xfId="0" applyNumberFormat="1" applyFont="1" applyFill="1" applyBorder="1" applyAlignment="1">
      <alignment horizontal="right" vertical="center"/>
    </xf>
    <xf numFmtId="165" fontId="3" fillId="0" borderId="4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65" fontId="1" fillId="2" borderId="8" xfId="0" applyNumberFormat="1" applyFont="1" applyFill="1" applyBorder="1" applyAlignment="1">
      <alignment horizontal="right" vertical="center"/>
    </xf>
    <xf numFmtId="165" fontId="1" fillId="3" borderId="8" xfId="0" applyNumberFormat="1" applyFont="1" applyFill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2" borderId="9" xfId="0" applyNumberFormat="1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165" fontId="1" fillId="3" borderId="9" xfId="0" applyNumberFormat="1" applyFont="1" applyFill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vertical="center"/>
    </xf>
    <xf numFmtId="165" fontId="3" fillId="2" borderId="7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165" fontId="3" fillId="3" borderId="7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1" fillId="2" borderId="9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40" fontId="6" fillId="3" borderId="10" xfId="0" applyNumberFormat="1" applyFont="1" applyFill="1" applyBorder="1" applyAlignment="1">
      <alignment vertical="center"/>
    </xf>
    <xf numFmtId="40" fontId="6" fillId="3" borderId="21" xfId="0" applyNumberFormat="1" applyFont="1" applyFill="1" applyBorder="1" applyAlignment="1">
      <alignment vertical="center"/>
    </xf>
    <xf numFmtId="40" fontId="6" fillId="3" borderId="11" xfId="0" applyNumberFormat="1" applyFont="1" applyFill="1" applyBorder="1" applyAlignment="1">
      <alignment vertical="center"/>
    </xf>
    <xf numFmtId="40" fontId="6" fillId="3" borderId="0" xfId="0" applyNumberFormat="1" applyFont="1" applyFill="1" applyAlignment="1">
      <alignment vertical="center"/>
    </xf>
    <xf numFmtId="40" fontId="6" fillId="3" borderId="12" xfId="0" applyNumberFormat="1" applyFont="1" applyFill="1" applyBorder="1" applyAlignment="1">
      <alignment vertical="center"/>
    </xf>
    <xf numFmtId="40" fontId="6" fillId="3" borderId="22" xfId="0" applyNumberFormat="1" applyFont="1" applyFill="1" applyBorder="1" applyAlignment="1">
      <alignment vertical="center"/>
    </xf>
    <xf numFmtId="40" fontId="6" fillId="3" borderId="13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/>
    </xf>
    <xf numFmtId="40" fontId="6" fillId="3" borderId="16" xfId="0" applyNumberFormat="1" applyFont="1" applyFill="1" applyBorder="1" applyAlignment="1">
      <alignment vertical="center"/>
    </xf>
    <xf numFmtId="40" fontId="6" fillId="3" borderId="23" xfId="0" applyNumberFormat="1" applyFont="1" applyFill="1" applyBorder="1" applyAlignment="1">
      <alignment vertical="center"/>
    </xf>
    <xf numFmtId="40" fontId="6" fillId="3" borderId="17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/>
    <xf numFmtId="0" fontId="2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7" xfId="0" applyFill="1" applyBorder="1" applyAlignment="1">
      <alignment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30" xfId="0" applyBorder="1"/>
    <xf numFmtId="0" fontId="6" fillId="0" borderId="33" xfId="0" applyFont="1" applyBorder="1" applyAlignment="1">
      <alignment horizontal="center" vertical="center"/>
    </xf>
    <xf numFmtId="40" fontId="6" fillId="3" borderId="34" xfId="0" applyNumberFormat="1" applyFont="1" applyFill="1" applyBorder="1" applyAlignment="1">
      <alignment vertical="center"/>
    </xf>
    <xf numFmtId="40" fontId="6" fillId="3" borderId="35" xfId="0" applyNumberFormat="1" applyFont="1" applyFill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42" xfId="0" applyNumberForma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165" fontId="0" fillId="3" borderId="1" xfId="0" applyNumberFormat="1" applyFill="1" applyBorder="1" applyAlignment="1">
      <alignment vertical="center"/>
    </xf>
    <xf numFmtId="165" fontId="0" fillId="3" borderId="45" xfId="0" applyNumberFormat="1" applyFill="1" applyBorder="1" applyAlignment="1">
      <alignment vertical="center"/>
    </xf>
    <xf numFmtId="165" fontId="0" fillId="3" borderId="7" xfId="0" applyNumberFormat="1" applyFill="1" applyBorder="1" applyAlignment="1">
      <alignment vertical="center"/>
    </xf>
    <xf numFmtId="165" fontId="0" fillId="3" borderId="2" xfId="0" applyNumberForma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165" fontId="0" fillId="3" borderId="3" xfId="0" applyNumberFormat="1" applyFill="1" applyBorder="1" applyAlignment="1">
      <alignment vertical="center"/>
    </xf>
    <xf numFmtId="165" fontId="0" fillId="3" borderId="46" xfId="0" applyNumberFormat="1" applyFill="1" applyBorder="1" applyAlignment="1">
      <alignment vertical="center"/>
    </xf>
    <xf numFmtId="165" fontId="0" fillId="3" borderId="8" xfId="0" applyNumberFormat="1" applyFill="1" applyBorder="1" applyAlignment="1">
      <alignment vertical="center"/>
    </xf>
    <xf numFmtId="165" fontId="0" fillId="3" borderId="4" xfId="0" applyNumberFormat="1" applyFill="1" applyBorder="1" applyAlignment="1">
      <alignment vertical="center"/>
    </xf>
    <xf numFmtId="165" fontId="0" fillId="3" borderId="5" xfId="0" applyNumberFormat="1" applyFill="1" applyBorder="1" applyAlignment="1">
      <alignment vertical="center"/>
    </xf>
    <xf numFmtId="165" fontId="0" fillId="3" borderId="47" xfId="0" applyNumberFormat="1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165" fontId="0" fillId="3" borderId="6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165" fontId="1" fillId="3" borderId="49" xfId="0" applyNumberFormat="1" applyFont="1" applyFill="1" applyBorder="1" applyAlignment="1">
      <alignment horizontal="right" vertical="center"/>
    </xf>
    <xf numFmtId="165" fontId="1" fillId="0" borderId="50" xfId="0" applyNumberFormat="1" applyFont="1" applyBorder="1" applyAlignment="1">
      <alignment horizontal="right" vertical="center"/>
    </xf>
    <xf numFmtId="0" fontId="1" fillId="0" borderId="51" xfId="0" applyFont="1" applyBorder="1" applyAlignment="1">
      <alignment vertical="center"/>
    </xf>
    <xf numFmtId="165" fontId="1" fillId="3" borderId="51" xfId="0" applyNumberFormat="1" applyFont="1" applyFill="1" applyBorder="1" applyAlignment="1">
      <alignment horizontal="right" vertical="center"/>
    </xf>
    <xf numFmtId="165" fontId="1" fillId="0" borderId="15" xfId="0" applyNumberFormat="1" applyFont="1" applyBorder="1" applyAlignment="1">
      <alignment horizontal="right" vertical="center"/>
    </xf>
    <xf numFmtId="165" fontId="1" fillId="3" borderId="23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50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49" fontId="0" fillId="0" borderId="0" xfId="0" applyNumberFormat="1"/>
    <xf numFmtId="49" fontId="6" fillId="3" borderId="0" xfId="0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0" fontId="0" fillId="0" borderId="54" xfId="0" applyBorder="1"/>
    <xf numFmtId="2" fontId="0" fillId="0" borderId="54" xfId="0" applyNumberFormat="1" applyBorder="1"/>
    <xf numFmtId="0" fontId="1" fillId="0" borderId="11" xfId="0" applyFont="1" applyBorder="1" applyAlignment="1">
      <alignment vertical="center"/>
    </xf>
    <xf numFmtId="166" fontId="8" fillId="0" borderId="54" xfId="0" applyNumberFormat="1" applyFont="1" applyBorder="1" applyAlignment="1">
      <alignment vertical="center" wrapText="1" readingOrder="1"/>
    </xf>
    <xf numFmtId="167" fontId="0" fillId="0" borderId="55" xfId="0" applyNumberFormat="1" applyBorder="1"/>
    <xf numFmtId="165" fontId="6" fillId="5" borderId="0" xfId="0" applyNumberFormat="1" applyFont="1" applyFill="1" applyAlignment="1">
      <alignment vertical="center"/>
    </xf>
    <xf numFmtId="0" fontId="0" fillId="0" borderId="0" xfId="0" applyAlignment="1">
      <alignment horizontal="left"/>
    </xf>
    <xf numFmtId="0" fontId="16" fillId="0" borderId="0" xfId="0" applyFont="1"/>
    <xf numFmtId="166" fontId="8" fillId="0" borderId="25" xfId="0" applyNumberFormat="1" applyFont="1" applyBorder="1" applyAlignment="1">
      <alignment vertical="center" wrapText="1" readingOrder="1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CF60F894-F5B1-5349-ACED-7AA03FE27137}"/>
    <cellStyle name="常规 2" xfId="1" xr:uid="{43AA1550-6345-4C45-AE3A-35D24DE64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168277</xdr:colOff>
      <xdr:row>2</xdr:row>
      <xdr:rowOff>152930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60C14-155E-7940-B6A3-D9E0DD86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477" cy="500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G53"/>
  <sheetViews>
    <sheetView tabSelected="1" topLeftCell="A17" zoomScale="150" zoomScaleNormal="150" workbookViewId="0">
      <selection activeCell="D18" sqref="D18"/>
    </sheetView>
  </sheetViews>
  <sheetFormatPr defaultColWidth="9.125" defaultRowHeight="10.35"/>
  <cols>
    <col min="1" max="1" width="17.625" style="1" bestFit="1" customWidth="1"/>
    <col min="2" max="2" width="41.625" style="1" bestFit="1" customWidth="1"/>
    <col min="3" max="3" width="3.5" style="1" customWidth="1"/>
    <col min="4" max="4" width="12.125" style="2" customWidth="1"/>
    <col min="5" max="5" width="3.5" style="2" customWidth="1"/>
    <col min="6" max="6" width="9.125" style="2"/>
    <col min="7" max="7" width="9.125" style="1"/>
    <col min="8" max="8" width="9.125" style="1" customWidth="1"/>
    <col min="9" max="16384" width="9.125" style="1"/>
  </cols>
  <sheetData>
    <row r="1" spans="1:7" ht="13.5" customHeight="1">
      <c r="B1" s="131"/>
      <c r="D1" s="1"/>
      <c r="E1" s="51"/>
      <c r="F1" s="132"/>
      <c r="G1" s="2"/>
    </row>
    <row r="2" spans="1:7" ht="14.25" customHeight="1">
      <c r="B2" s="133"/>
      <c r="D2" s="1"/>
      <c r="E2" s="51"/>
      <c r="F2" s="132"/>
      <c r="G2" s="2"/>
    </row>
    <row r="3" spans="1:7" s="51" customFormat="1" ht="18" customHeight="1">
      <c r="B3" s="133"/>
      <c r="F3" s="132"/>
      <c r="G3" s="132"/>
    </row>
    <row r="4" spans="1:7" ht="10.7" thickBot="1"/>
    <row r="5" spans="1:7">
      <c r="A5" s="3" t="s">
        <v>0</v>
      </c>
      <c r="B5" s="4" t="s">
        <v>1</v>
      </c>
      <c r="D5" s="5"/>
    </row>
    <row r="6" spans="1:7">
      <c r="A6" s="46" t="s">
        <v>2</v>
      </c>
      <c r="B6" s="134" t="s">
        <v>3</v>
      </c>
      <c r="D6" s="5"/>
    </row>
    <row r="7" spans="1:7">
      <c r="A7" s="6" t="s">
        <v>4</v>
      </c>
      <c r="B7" s="135" t="str">
        <f>'Hong Kong'!B11&amp;"-"&amp;'Hong Kong'!C11</f>
        <v>6/1/2025-6/30/2025</v>
      </c>
      <c r="D7" s="5"/>
    </row>
    <row r="8" spans="1:7">
      <c r="A8" s="6" t="s">
        <v>5</v>
      </c>
      <c r="B8" s="7">
        <f ca="1">TODAY()</f>
        <v>45905</v>
      </c>
      <c r="D8" s="5"/>
    </row>
    <row r="9" spans="1:7">
      <c r="A9" s="123" t="s">
        <v>6</v>
      </c>
      <c r="B9" s="136">
        <f ca="1">B8+20</f>
        <v>45925</v>
      </c>
      <c r="D9" s="5"/>
    </row>
    <row r="10" spans="1:7" ht="10.7" thickBot="1">
      <c r="A10" s="8" t="s">
        <v>7</v>
      </c>
      <c r="B10" s="9" t="s">
        <v>8</v>
      </c>
      <c r="D10" s="5"/>
    </row>
    <row r="11" spans="1:7" ht="10.7" thickBot="1"/>
    <row r="12" spans="1:7" s="15" customFormat="1">
      <c r="A12" s="10"/>
      <c r="B12" s="11" t="s">
        <v>9</v>
      </c>
      <c r="C12" s="12"/>
      <c r="D12" s="78" t="s">
        <v>10</v>
      </c>
      <c r="E12" s="13"/>
      <c r="F12" s="14"/>
    </row>
    <row r="13" spans="1:7">
      <c r="A13" s="6"/>
      <c r="B13" s="16"/>
      <c r="C13" s="17"/>
      <c r="D13" s="18"/>
      <c r="E13" s="19"/>
    </row>
    <row r="14" spans="1:7" s="26" customFormat="1">
      <c r="A14" s="20" t="s">
        <v>11</v>
      </c>
      <c r="B14" s="21">
        <f>B18+B29+B37</f>
        <v>14661.006911766726</v>
      </c>
      <c r="C14" s="22"/>
      <c r="D14" s="23">
        <f>D18+D29+D37</f>
        <v>14661.006911766726</v>
      </c>
      <c r="E14" s="24"/>
      <c r="F14" s="25"/>
    </row>
    <row r="15" spans="1:7">
      <c r="A15" s="6"/>
      <c r="B15" s="27"/>
      <c r="C15" s="17"/>
      <c r="D15" s="28"/>
      <c r="E15" s="29"/>
      <c r="F15" s="30"/>
    </row>
    <row r="16" spans="1:7" ht="72.400000000000006" thickBot="1">
      <c r="A16" s="137" t="s">
        <v>12</v>
      </c>
      <c r="B16" s="31" t="s">
        <v>13</v>
      </c>
      <c r="C16" s="32"/>
      <c r="D16" s="33"/>
      <c r="E16" s="34"/>
      <c r="F16" s="30"/>
    </row>
    <row r="17" spans="1:6" ht="10.7" thickBot="1">
      <c r="B17" s="35"/>
      <c r="D17" s="36"/>
      <c r="E17" s="30"/>
      <c r="F17" s="30"/>
    </row>
    <row r="18" spans="1:6" s="26" customFormat="1">
      <c r="A18" s="37" t="s">
        <v>14</v>
      </c>
      <c r="B18" s="38">
        <f>SUM(B19:B27)</f>
        <v>14661.006911766726</v>
      </c>
      <c r="C18" s="39"/>
      <c r="D18" s="40">
        <f>SUM(D19:D27)</f>
        <v>14661.006911766726</v>
      </c>
      <c r="E18" s="41"/>
      <c r="F18" s="25"/>
    </row>
    <row r="19" spans="1:6">
      <c r="A19" s="6" t="s">
        <v>15</v>
      </c>
      <c r="B19" s="27">
        <f t="shared" ref="B19:B27" si="0">D19</f>
        <v>0</v>
      </c>
      <c r="C19" s="17"/>
      <c r="D19" s="28">
        <f>'Hong Kong'!F9</f>
        <v>0</v>
      </c>
      <c r="E19" s="29"/>
      <c r="F19" s="30"/>
    </row>
    <row r="20" spans="1:6">
      <c r="A20" s="6" t="s">
        <v>16</v>
      </c>
      <c r="B20" s="27">
        <f t="shared" si="0"/>
        <v>119.81760999224508</v>
      </c>
      <c r="C20" s="17"/>
      <c r="D20" s="28">
        <f>'Hong Kong'!G9</f>
        <v>119.81760999224508</v>
      </c>
      <c r="E20" s="29"/>
      <c r="F20" s="30"/>
    </row>
    <row r="21" spans="1:6">
      <c r="A21" s="6" t="s">
        <v>17</v>
      </c>
      <c r="B21" s="27">
        <f t="shared" si="0"/>
        <v>7773.9228772572678</v>
      </c>
      <c r="C21" s="17"/>
      <c r="D21" s="28">
        <f>'Hong Kong'!K9</f>
        <v>7773.9228772572678</v>
      </c>
      <c r="E21" s="29"/>
      <c r="F21" s="30"/>
    </row>
    <row r="22" spans="1:6">
      <c r="A22" s="6" t="s">
        <v>18</v>
      </c>
      <c r="B22" s="27">
        <f t="shared" si="0"/>
        <v>1182.4106249234712</v>
      </c>
      <c r="C22" s="17"/>
      <c r="D22" s="28">
        <f>'Hong Kong'!R9</f>
        <v>1182.4106249234712</v>
      </c>
      <c r="E22" s="29"/>
      <c r="F22" s="30"/>
    </row>
    <row r="23" spans="1:6">
      <c r="A23" s="6" t="s">
        <v>19</v>
      </c>
      <c r="B23" s="27">
        <f t="shared" si="0"/>
        <v>376.19510753085996</v>
      </c>
      <c r="C23" s="17"/>
      <c r="D23" s="28">
        <f>'Hong Kong'!V9</f>
        <v>376.19510753085996</v>
      </c>
      <c r="E23" s="29"/>
      <c r="F23" s="30"/>
    </row>
    <row r="24" spans="1:6">
      <c r="A24" s="6" t="s">
        <v>20</v>
      </c>
      <c r="B24" s="27">
        <f t="shared" si="0"/>
        <v>0</v>
      </c>
      <c r="C24" s="17"/>
      <c r="D24" s="28">
        <f>'Hong Kong'!Z9</f>
        <v>0</v>
      </c>
      <c r="E24" s="29"/>
      <c r="F24" s="30"/>
    </row>
    <row r="25" spans="1:6">
      <c r="A25" s="6" t="s">
        <v>21</v>
      </c>
      <c r="B25" s="27">
        <f t="shared" si="0"/>
        <v>5208.6606920628819</v>
      </c>
      <c r="C25" s="17"/>
      <c r="D25" s="28">
        <f>'Hong Kong'!AC9</f>
        <v>5208.6606920628819</v>
      </c>
      <c r="E25" s="29"/>
      <c r="F25" s="30"/>
    </row>
    <row r="26" spans="1:6">
      <c r="A26" s="123" t="s">
        <v>22</v>
      </c>
      <c r="B26" s="27">
        <f t="shared" si="0"/>
        <v>0</v>
      </c>
      <c r="C26" s="124"/>
      <c r="D26" s="125">
        <f>'Hong Kong'!AE9</f>
        <v>0</v>
      </c>
      <c r="E26" s="126"/>
      <c r="F26" s="30"/>
    </row>
    <row r="27" spans="1:6" ht="10.7" thickBot="1">
      <c r="A27" s="8" t="s">
        <v>23</v>
      </c>
      <c r="B27" s="42">
        <f t="shared" si="0"/>
        <v>0</v>
      </c>
      <c r="C27" s="32"/>
      <c r="D27" s="33">
        <f>'Hong Kong'!AF9</f>
        <v>0</v>
      </c>
      <c r="E27" s="34"/>
      <c r="F27" s="30"/>
    </row>
    <row r="28" spans="1:6" ht="10.7" thickBot="1">
      <c r="B28" s="35"/>
      <c r="D28" s="36"/>
      <c r="E28" s="30"/>
      <c r="F28" s="30"/>
    </row>
    <row r="29" spans="1:6" s="26" customFormat="1">
      <c r="A29" s="37" t="s">
        <v>24</v>
      </c>
      <c r="B29" s="38">
        <f>SUM(B30:B35)</f>
        <v>0</v>
      </c>
      <c r="C29" s="39"/>
      <c r="D29" s="40">
        <f>SUM(D30:D35)</f>
        <v>0</v>
      </c>
      <c r="E29" s="41"/>
      <c r="F29" s="25"/>
    </row>
    <row r="30" spans="1:6">
      <c r="A30" s="46" t="s">
        <v>25</v>
      </c>
      <c r="B30" s="27">
        <f t="shared" ref="B30:B34" si="1">D30</f>
        <v>0</v>
      </c>
      <c r="C30" s="127"/>
      <c r="D30" s="128">
        <f>'Hong Kong'!E27</f>
        <v>0</v>
      </c>
      <c r="E30" s="129"/>
      <c r="F30" s="30"/>
    </row>
    <row r="31" spans="1:6">
      <c r="A31" s="46" t="s">
        <v>26</v>
      </c>
      <c r="B31" s="27">
        <f t="shared" si="1"/>
        <v>0</v>
      </c>
      <c r="C31" s="127"/>
      <c r="D31" s="128">
        <f>'Hong Kong'!E28</f>
        <v>0</v>
      </c>
      <c r="E31" s="129"/>
      <c r="F31" s="30"/>
    </row>
    <row r="32" spans="1:6">
      <c r="A32" s="6" t="s">
        <v>27</v>
      </c>
      <c r="B32" s="27">
        <f>D32</f>
        <v>0</v>
      </c>
      <c r="C32" s="17"/>
      <c r="D32" s="128">
        <f>'Hong Kong'!E29</f>
        <v>0</v>
      </c>
      <c r="E32" s="29"/>
      <c r="F32" s="30"/>
    </row>
    <row r="33" spans="1:6">
      <c r="A33" s="123" t="s">
        <v>28</v>
      </c>
      <c r="B33" s="27">
        <f t="shared" si="1"/>
        <v>0</v>
      </c>
      <c r="C33" s="124"/>
      <c r="D33" s="128">
        <f>'Hong Kong'!E30</f>
        <v>0</v>
      </c>
      <c r="E33" s="126"/>
      <c r="F33" s="30"/>
    </row>
    <row r="34" spans="1:6">
      <c r="A34" s="123" t="s">
        <v>29</v>
      </c>
      <c r="B34" s="27">
        <f t="shared" si="1"/>
        <v>0</v>
      </c>
      <c r="C34" s="124"/>
      <c r="D34" s="128">
        <f>'Hong Kong'!E31</f>
        <v>0</v>
      </c>
      <c r="E34" s="126"/>
      <c r="F34" s="30"/>
    </row>
    <row r="35" spans="1:6" ht="10.7" thickBot="1">
      <c r="A35" s="8" t="s">
        <v>30</v>
      </c>
      <c r="B35" s="42">
        <f>D35</f>
        <v>0</v>
      </c>
      <c r="C35" s="32"/>
      <c r="D35" s="130">
        <f>'Hong Kong'!E32</f>
        <v>0</v>
      </c>
      <c r="E35" s="34"/>
      <c r="F35" s="30"/>
    </row>
    <row r="36" spans="1:6" ht="10.7" thickBot="1">
      <c r="B36" s="35"/>
      <c r="D36" s="36"/>
      <c r="E36" s="30"/>
      <c r="F36" s="30"/>
    </row>
    <row r="37" spans="1:6" s="26" customFormat="1">
      <c r="A37" s="37" t="s">
        <v>31</v>
      </c>
      <c r="B37" s="38">
        <f>SUM(B38:B42)</f>
        <v>0</v>
      </c>
      <c r="C37" s="39"/>
      <c r="D37" s="40">
        <f>SUM(D38:D42)</f>
        <v>0</v>
      </c>
      <c r="E37" s="41"/>
      <c r="F37" s="25"/>
    </row>
    <row r="38" spans="1:6">
      <c r="A38" s="6" t="s">
        <v>32</v>
      </c>
      <c r="B38" s="27">
        <f>D38</f>
        <v>0</v>
      </c>
      <c r="C38" s="17"/>
      <c r="D38" s="28">
        <f>'Hong Kong'!E36</f>
        <v>0</v>
      </c>
      <c r="E38" s="29"/>
      <c r="F38" s="30"/>
    </row>
    <row r="39" spans="1:6">
      <c r="A39" s="6" t="s">
        <v>33</v>
      </c>
      <c r="B39" s="27">
        <f>D39</f>
        <v>0</v>
      </c>
      <c r="C39" s="17"/>
      <c r="D39" s="28">
        <f>'Hong Kong'!E37</f>
        <v>0</v>
      </c>
      <c r="E39" s="29"/>
      <c r="F39" s="30"/>
    </row>
    <row r="40" spans="1:6">
      <c r="A40" s="6" t="s">
        <v>34</v>
      </c>
      <c r="B40" s="27">
        <f>D40</f>
        <v>0</v>
      </c>
      <c r="C40" s="17"/>
      <c r="D40" s="28">
        <f>'Hong Kong'!E38</f>
        <v>0</v>
      </c>
      <c r="E40" s="29"/>
      <c r="F40" s="30"/>
    </row>
    <row r="41" spans="1:6">
      <c r="A41" s="6" t="s">
        <v>35</v>
      </c>
      <c r="B41" s="27">
        <f>D41</f>
        <v>0</v>
      </c>
      <c r="C41" s="17"/>
      <c r="D41" s="28">
        <f>'Hong Kong'!E39</f>
        <v>0</v>
      </c>
      <c r="E41" s="29"/>
      <c r="F41" s="30"/>
    </row>
    <row r="42" spans="1:6" ht="10.7" thickBot="1">
      <c r="A42" s="8" t="s">
        <v>15</v>
      </c>
      <c r="B42" s="42">
        <f>D42</f>
        <v>0</v>
      </c>
      <c r="C42" s="32"/>
      <c r="D42" s="33">
        <f>'Hong Kong'!E40</f>
        <v>0</v>
      </c>
      <c r="E42" s="34"/>
      <c r="F42" s="30"/>
    </row>
    <row r="44" spans="1:6">
      <c r="A44" s="1" t="s">
        <v>36</v>
      </c>
    </row>
    <row r="45" spans="1:6" ht="10.7" thickBot="1"/>
    <row r="46" spans="1:6">
      <c r="A46" s="43" t="s">
        <v>37</v>
      </c>
      <c r="B46" s="148" t="s">
        <v>38</v>
      </c>
    </row>
    <row r="47" spans="1:6">
      <c r="A47" s="44" t="s">
        <v>39</v>
      </c>
      <c r="B47" s="45"/>
    </row>
    <row r="48" spans="1:6">
      <c r="A48" s="44"/>
      <c r="B48" s="45"/>
    </row>
    <row r="49" spans="1:2">
      <c r="A49" s="46"/>
      <c r="B49" s="47"/>
    </row>
    <row r="50" spans="1:2">
      <c r="A50" s="44" t="s">
        <v>40</v>
      </c>
      <c r="B50" s="45" t="s">
        <v>41</v>
      </c>
    </row>
    <row r="51" spans="1:2">
      <c r="A51" s="44" t="s">
        <v>39</v>
      </c>
      <c r="B51" s="45"/>
    </row>
    <row r="52" spans="1:2">
      <c r="A52" s="44"/>
      <c r="B52" s="45"/>
    </row>
    <row r="53" spans="1:2" ht="10.7" thickBot="1">
      <c r="A53" s="48"/>
      <c r="B53" s="49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AG40"/>
  <sheetViews>
    <sheetView topLeftCell="A32" zoomScale="120" zoomScaleNormal="120" workbookViewId="0">
      <selection activeCell="AE19" sqref="AE19"/>
    </sheetView>
  </sheetViews>
  <sheetFormatPr defaultColWidth="9.125" defaultRowHeight="12.4"/>
  <cols>
    <col min="1" max="1" width="24" style="50" bestFit="1" customWidth="1"/>
    <col min="2" max="2" width="14.125" style="51" customWidth="1"/>
    <col min="3" max="3" width="11.125" style="51" customWidth="1"/>
    <col min="4" max="4" width="7.5" style="51" customWidth="1"/>
    <col min="5" max="5" width="10.625" style="51" customWidth="1"/>
    <col min="6" max="6" width="10.125" style="51" customWidth="1"/>
    <col min="7" max="7" width="10.625" style="51" customWidth="1"/>
    <col min="8" max="8" width="9.375" style="51" customWidth="1"/>
    <col min="9" max="9" width="9.375" style="51" bestFit="1" customWidth="1"/>
    <col min="10" max="10" width="7" style="51" bestFit="1" customWidth="1"/>
    <col min="11" max="11" width="10.375" style="51" bestFit="1" customWidth="1"/>
    <col min="12" max="12" width="10.5" style="51" bestFit="1" customWidth="1"/>
    <col min="13" max="13" width="10.125" style="51" customWidth="1"/>
    <col min="14" max="16" width="8.125" style="51" customWidth="1"/>
    <col min="17" max="17" width="5.5" style="51" customWidth="1"/>
    <col min="18" max="18" width="9.5" style="51" bestFit="1" customWidth="1"/>
    <col min="19" max="19" width="9.5" style="51" customWidth="1"/>
    <col min="20" max="20" width="10.875" style="51" customWidth="1"/>
    <col min="21" max="21" width="7.125" style="51" bestFit="1" customWidth="1"/>
    <col min="22" max="22" width="8.375" style="51" bestFit="1" customWidth="1"/>
    <col min="23" max="23" width="11.25" style="51" customWidth="1"/>
    <col min="24" max="24" width="8.5" style="51" bestFit="1" customWidth="1"/>
    <col min="25" max="25" width="6.375" style="51" customWidth="1"/>
    <col min="26" max="26" width="8.375" style="51" bestFit="1" customWidth="1"/>
    <col min="27" max="27" width="8.875" style="51" bestFit="1" customWidth="1"/>
    <col min="28" max="28" width="6.125" style="51" bestFit="1" customWidth="1"/>
    <col min="29" max="30" width="9.5" style="51" bestFit="1" customWidth="1"/>
    <col min="31" max="31" width="9.5" style="51" customWidth="1"/>
    <col min="32" max="32" width="10.375" style="51" bestFit="1" customWidth="1"/>
    <col min="33" max="16384" width="9.125" style="51"/>
  </cols>
  <sheetData>
    <row r="1" spans="1:33">
      <c r="A1" s="50" t="e">
        <f ca="1">MID(CELL("filename",A1),FIND("]",CELL("filename",A1))+1,256)</f>
        <v>#VALUE!</v>
      </c>
    </row>
    <row r="2" spans="1:33">
      <c r="A2" s="52" t="s">
        <v>42</v>
      </c>
      <c r="B2" s="53">
        <v>1</v>
      </c>
    </row>
    <row r="3" spans="1:33">
      <c r="A3" s="52" t="s">
        <v>43</v>
      </c>
      <c r="B3" s="151">
        <f>7.8469783*0.97</f>
        <v>7.6115689509999997</v>
      </c>
    </row>
    <row r="4" spans="1:33" ht="12.95" thickBot="1">
      <c r="A4" s="52"/>
      <c r="B4" s="53"/>
      <c r="E4" s="89"/>
    </row>
    <row r="5" spans="1:33" ht="12.95" thickBot="1">
      <c r="A5" s="52"/>
      <c r="B5" s="53"/>
      <c r="E5" s="88" t="s">
        <v>44</v>
      </c>
    </row>
    <row r="6" spans="1:33" s="54" customFormat="1" ht="14.1" customHeight="1">
      <c r="A6" s="52"/>
      <c r="B6" s="53"/>
      <c r="E6" s="160" t="s">
        <v>11</v>
      </c>
      <c r="F6" s="162" t="s">
        <v>45</v>
      </c>
      <c r="G6" s="164" t="s">
        <v>46</v>
      </c>
      <c r="H6" s="165"/>
      <c r="I6" s="165"/>
      <c r="J6" s="165"/>
      <c r="K6" s="155" t="s">
        <v>47</v>
      </c>
      <c r="L6" s="155"/>
      <c r="M6" s="155"/>
      <c r="N6" s="155"/>
      <c r="O6" s="155"/>
      <c r="P6" s="155"/>
      <c r="Q6" s="155"/>
      <c r="R6" s="155" t="s">
        <v>48</v>
      </c>
      <c r="S6" s="155"/>
      <c r="T6" s="155"/>
      <c r="U6" s="155"/>
      <c r="V6" s="155" t="s">
        <v>49</v>
      </c>
      <c r="W6" s="155"/>
      <c r="X6" s="155"/>
      <c r="Y6" s="155"/>
      <c r="Z6" s="155" t="s">
        <v>50</v>
      </c>
      <c r="AA6" s="155"/>
      <c r="AB6" s="155"/>
      <c r="AC6" s="155" t="s">
        <v>51</v>
      </c>
      <c r="AD6" s="155"/>
      <c r="AE6" s="158" t="s">
        <v>52</v>
      </c>
      <c r="AF6" s="156" t="s">
        <v>53</v>
      </c>
    </row>
    <row r="7" spans="1:33" s="54" customFormat="1" ht="37.700000000000003" thickBot="1">
      <c r="E7" s="161"/>
      <c r="F7" s="163"/>
      <c r="G7" s="79" t="s">
        <v>54</v>
      </c>
      <c r="H7" s="55" t="s">
        <v>55</v>
      </c>
      <c r="I7" s="55" t="s">
        <v>56</v>
      </c>
      <c r="J7" s="55" t="s">
        <v>57</v>
      </c>
      <c r="K7" s="79" t="s">
        <v>54</v>
      </c>
      <c r="L7" s="55" t="s">
        <v>58</v>
      </c>
      <c r="M7" s="55" t="s">
        <v>59</v>
      </c>
      <c r="N7" s="55" t="s">
        <v>60</v>
      </c>
      <c r="O7" s="55" t="s">
        <v>61</v>
      </c>
      <c r="P7" s="55" t="s">
        <v>62</v>
      </c>
      <c r="Q7" s="55" t="s">
        <v>63</v>
      </c>
      <c r="R7" s="79" t="s">
        <v>54</v>
      </c>
      <c r="S7" s="79" t="s">
        <v>64</v>
      </c>
      <c r="T7" s="55" t="s">
        <v>65</v>
      </c>
      <c r="U7" s="79" t="s">
        <v>35</v>
      </c>
      <c r="V7" s="79" t="s">
        <v>54</v>
      </c>
      <c r="W7" s="55" t="s">
        <v>66</v>
      </c>
      <c r="X7" s="55" t="s">
        <v>67</v>
      </c>
      <c r="Y7" s="55" t="s">
        <v>68</v>
      </c>
      <c r="Z7" s="79" t="s">
        <v>54</v>
      </c>
      <c r="AA7" s="55" t="s">
        <v>69</v>
      </c>
      <c r="AB7" s="79" t="s">
        <v>68</v>
      </c>
      <c r="AC7" s="79" t="s">
        <v>54</v>
      </c>
      <c r="AD7" s="55" t="s">
        <v>70</v>
      </c>
      <c r="AE7" s="159"/>
      <c r="AF7" s="157"/>
    </row>
    <row r="8" spans="1:33" s="54" customFormat="1" ht="12.95" thickBot="1">
      <c r="A8" s="50"/>
      <c r="E8" s="56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85"/>
      <c r="AF8" s="58"/>
    </row>
    <row r="9" spans="1:33" s="60" customFormat="1">
      <c r="A9" s="59" t="s">
        <v>14</v>
      </c>
      <c r="B9" s="60" t="s">
        <v>11</v>
      </c>
      <c r="C9" s="60" t="s">
        <v>71</v>
      </c>
      <c r="E9" s="61">
        <f>E10/$B$3</f>
        <v>14661.006911766724</v>
      </c>
      <c r="F9" s="62">
        <f t="shared" ref="F9:AD9" si="0">F10/$B$3</f>
        <v>0</v>
      </c>
      <c r="G9" s="62">
        <f t="shared" si="0"/>
        <v>119.81760999224508</v>
      </c>
      <c r="H9" s="62">
        <f t="shared" si="0"/>
        <v>0</v>
      </c>
      <c r="I9" s="62">
        <f t="shared" si="0"/>
        <v>119.81760999224508</v>
      </c>
      <c r="J9" s="62">
        <f t="shared" si="0"/>
        <v>0</v>
      </c>
      <c r="K9" s="62">
        <f t="shared" si="0"/>
        <v>7773.9228772572678</v>
      </c>
      <c r="L9" s="62">
        <f t="shared" si="0"/>
        <v>7773.9228772572678</v>
      </c>
      <c r="M9" s="62">
        <f t="shared" si="0"/>
        <v>0</v>
      </c>
      <c r="N9" s="62">
        <f t="shared" si="0"/>
        <v>0</v>
      </c>
      <c r="O9" s="62">
        <f t="shared" si="0"/>
        <v>0</v>
      </c>
      <c r="P9" s="62">
        <f t="shared" si="0"/>
        <v>0</v>
      </c>
      <c r="Q9" s="62">
        <f t="shared" si="0"/>
        <v>0</v>
      </c>
      <c r="R9" s="62">
        <f t="shared" si="0"/>
        <v>1182.4106249234712</v>
      </c>
      <c r="S9" s="62">
        <f t="shared" si="0"/>
        <v>0</v>
      </c>
      <c r="T9" s="62">
        <f t="shared" si="0"/>
        <v>0</v>
      </c>
      <c r="U9" s="62">
        <f t="shared" si="0"/>
        <v>1182.4106249234712</v>
      </c>
      <c r="V9" s="62">
        <f t="shared" si="0"/>
        <v>376.19510753085996</v>
      </c>
      <c r="W9" s="62">
        <f t="shared" si="0"/>
        <v>179.12667004361478</v>
      </c>
      <c r="X9" s="62">
        <f t="shared" si="0"/>
        <v>197.06843748724521</v>
      </c>
      <c r="Y9" s="62">
        <f t="shared" si="0"/>
        <v>0</v>
      </c>
      <c r="Z9" s="62">
        <f t="shared" si="0"/>
        <v>0</v>
      </c>
      <c r="AA9" s="62">
        <f t="shared" si="0"/>
        <v>0</v>
      </c>
      <c r="AB9" s="62">
        <f t="shared" si="0"/>
        <v>0</v>
      </c>
      <c r="AC9" s="62">
        <f t="shared" si="0"/>
        <v>5208.6606920628819</v>
      </c>
      <c r="AD9" s="62">
        <f t="shared" si="0"/>
        <v>5208.6606920628819</v>
      </c>
      <c r="AE9" s="62">
        <f>AE10/$B$3</f>
        <v>0</v>
      </c>
      <c r="AF9" s="63">
        <f>AF10/$B$3</f>
        <v>0</v>
      </c>
      <c r="AG9" s="64"/>
    </row>
    <row r="10" spans="1:33" s="60" customFormat="1">
      <c r="A10" s="59"/>
      <c r="B10" s="60" t="s">
        <v>11</v>
      </c>
      <c r="C10" s="60" t="s">
        <v>72</v>
      </c>
      <c r="E10" s="65">
        <f t="shared" ref="E10:N10" si="1">SUM(E13:E22)</f>
        <v>111593.265</v>
      </c>
      <c r="F10" s="66">
        <f t="shared" si="1"/>
        <v>0</v>
      </c>
      <c r="G10" s="66">
        <f t="shared" si="1"/>
        <v>912</v>
      </c>
      <c r="H10" s="66">
        <f t="shared" si="1"/>
        <v>0</v>
      </c>
      <c r="I10" s="66">
        <f t="shared" si="1"/>
        <v>912</v>
      </c>
      <c r="J10" s="66">
        <f t="shared" si="1"/>
        <v>0</v>
      </c>
      <c r="K10" s="66">
        <f t="shared" si="1"/>
        <v>59171.75</v>
      </c>
      <c r="L10" s="66">
        <f t="shared" si="1"/>
        <v>59171.75</v>
      </c>
      <c r="M10" s="66">
        <f t="shared" si="1"/>
        <v>0</v>
      </c>
      <c r="N10" s="66">
        <f t="shared" si="1"/>
        <v>0</v>
      </c>
      <c r="O10" s="66">
        <f t="shared" ref="O10:P10" si="2">SUM(O13:O22)</f>
        <v>0</v>
      </c>
      <c r="P10" s="66">
        <f t="shared" si="2"/>
        <v>0</v>
      </c>
      <c r="Q10" s="66">
        <f t="shared" ref="Q10:AF10" si="3">SUM(Q13:Q22)</f>
        <v>0</v>
      </c>
      <c r="R10" s="66">
        <f t="shared" si="3"/>
        <v>9000</v>
      </c>
      <c r="S10" s="66">
        <f t="shared" ref="S10" si="4">SUM(S13:S22)</f>
        <v>0</v>
      </c>
      <c r="T10" s="66">
        <f t="shared" si="3"/>
        <v>0</v>
      </c>
      <c r="U10" s="66">
        <f t="shared" si="3"/>
        <v>9000</v>
      </c>
      <c r="V10" s="66">
        <f t="shared" si="3"/>
        <v>2863.4349999999999</v>
      </c>
      <c r="W10" s="66">
        <f t="shared" si="3"/>
        <v>1363.4349999999999</v>
      </c>
      <c r="X10" s="66">
        <f t="shared" si="3"/>
        <v>1500</v>
      </c>
      <c r="Y10" s="66">
        <f t="shared" si="3"/>
        <v>0</v>
      </c>
      <c r="Z10" s="66">
        <f t="shared" si="3"/>
        <v>0</v>
      </c>
      <c r="AA10" s="66">
        <f t="shared" si="3"/>
        <v>0</v>
      </c>
      <c r="AB10" s="66">
        <f t="shared" si="3"/>
        <v>0</v>
      </c>
      <c r="AC10" s="66">
        <f t="shared" si="3"/>
        <v>39646.080000000002</v>
      </c>
      <c r="AD10" s="66">
        <f t="shared" si="3"/>
        <v>39646.080000000002</v>
      </c>
      <c r="AE10" s="66">
        <f t="shared" si="3"/>
        <v>0</v>
      </c>
      <c r="AF10" s="67">
        <f t="shared" si="3"/>
        <v>0</v>
      </c>
      <c r="AG10" s="64"/>
    </row>
    <row r="11" spans="1:33" s="60" customFormat="1">
      <c r="A11" s="68" t="s">
        <v>73</v>
      </c>
      <c r="B11" s="139" t="str">
        <f>'Hong Kong-L'!C2</f>
        <v>6/1/2025</v>
      </c>
      <c r="C11" s="60" t="str">
        <f>'Hong Kong-L'!E2</f>
        <v>6/30/2025</v>
      </c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86"/>
      <c r="AF11" s="67"/>
      <c r="AG11" s="64"/>
    </row>
    <row r="12" spans="1:33" s="60" customFormat="1">
      <c r="A12" s="68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86"/>
      <c r="AF12" s="67"/>
      <c r="AG12" s="64"/>
    </row>
    <row r="13" spans="1:33" s="60" customFormat="1">
      <c r="A13" s="59"/>
      <c r="B13" s="60" t="str">
        <f>'Hong Kong-L'!B8</f>
        <v>Chan Kin Pong</v>
      </c>
      <c r="C13" s="60" t="str">
        <f>'Hong Kong-L'!A8</f>
        <v>CUS1503-0001</v>
      </c>
      <c r="E13" s="65">
        <f>F13+G13+K13+R13+V13+Z13+AC13+AE13+AF13</f>
        <v>111593.265</v>
      </c>
      <c r="F13" s="66">
        <v>0</v>
      </c>
      <c r="G13" s="66">
        <f>SUM(H13:J13)</f>
        <v>912</v>
      </c>
      <c r="H13" s="66">
        <v>0</v>
      </c>
      <c r="I13" s="66">
        <f>ROUND(120*7.6,2)</f>
        <v>912</v>
      </c>
      <c r="J13" s="66">
        <v>0</v>
      </c>
      <c r="K13" s="66">
        <f>SUM(L13:Q13)</f>
        <v>59171.75</v>
      </c>
      <c r="L13" s="66">
        <f>'Hong Kong-L'!C8</f>
        <v>59171.75</v>
      </c>
      <c r="M13" s="66">
        <f>'Hong Kong-L'!D8</f>
        <v>0</v>
      </c>
      <c r="N13" s="66">
        <f>'Hong Kong-L'!E8</f>
        <v>0</v>
      </c>
      <c r="O13" s="66">
        <f>'Hong Kong-L'!G8</f>
        <v>0</v>
      </c>
      <c r="P13" s="66">
        <f>'Hong Kong-L'!H8</f>
        <v>0</v>
      </c>
      <c r="Q13" s="66">
        <v>0</v>
      </c>
      <c r="R13" s="66">
        <f>SUM(S13:U13)</f>
        <v>9000</v>
      </c>
      <c r="S13" s="66">
        <f>'Hong Kong-L'!F8</f>
        <v>0</v>
      </c>
      <c r="T13" s="66">
        <f>'Hong Kong-L'!I8</f>
        <v>0</v>
      </c>
      <c r="U13" s="66">
        <f>'Hong Kong-L'!J8</f>
        <v>9000</v>
      </c>
      <c r="V13" s="66">
        <f>SUM(W13:Y13)</f>
        <v>2863.4349999999999</v>
      </c>
      <c r="W13" s="66">
        <f>'Hong Kong-L'!M8</f>
        <v>1363.4349999999999</v>
      </c>
      <c r="X13" s="66">
        <f>'Hong Kong-L'!N8</f>
        <v>1500</v>
      </c>
      <c r="Y13" s="66">
        <v>0</v>
      </c>
      <c r="Z13" s="66">
        <f>SUM(AA13:AB13)</f>
        <v>0</v>
      </c>
      <c r="AA13" s="66">
        <f>-'Hong Kong-L'!P8</f>
        <v>0</v>
      </c>
      <c r="AB13" s="66">
        <f>'Hong Kong-L'!Q8</f>
        <v>0</v>
      </c>
      <c r="AC13" s="66">
        <f>SUM(AD13:AD13)</f>
        <v>39646.080000000002</v>
      </c>
      <c r="AD13" s="66">
        <f>'Hong Kong-L'!K8</f>
        <v>39646.080000000002</v>
      </c>
      <c r="AE13" s="86">
        <v>0</v>
      </c>
      <c r="AF13" s="67">
        <v>0</v>
      </c>
      <c r="AG13" s="64"/>
    </row>
    <row r="14" spans="1:33" s="60" customFormat="1">
      <c r="A14" s="59"/>
      <c r="E14" s="65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86"/>
      <c r="AF14" s="67"/>
      <c r="AG14" s="64"/>
    </row>
    <row r="15" spans="1:33" s="60" customFormat="1">
      <c r="A15" s="59"/>
      <c r="E15" s="6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86"/>
      <c r="AF15" s="67"/>
      <c r="AG15" s="64"/>
    </row>
    <row r="16" spans="1:33" s="60" customFormat="1">
      <c r="A16" s="59"/>
      <c r="E16" s="65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86"/>
      <c r="AF16" s="67"/>
      <c r="AG16" s="64"/>
    </row>
    <row r="17" spans="1:33" s="60" customFormat="1">
      <c r="A17" s="59"/>
      <c r="E17" s="65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86"/>
      <c r="AF17" s="67"/>
      <c r="AG17" s="64"/>
    </row>
    <row r="18" spans="1:33" s="60" customFormat="1">
      <c r="A18" s="59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86"/>
      <c r="AF18" s="67"/>
      <c r="AG18" s="64"/>
    </row>
    <row r="19" spans="1:33" s="60" customFormat="1">
      <c r="A19" s="59"/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86"/>
      <c r="AF19" s="67"/>
      <c r="AG19" s="64"/>
    </row>
    <row r="20" spans="1:33" s="60" customFormat="1">
      <c r="A20" s="59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86"/>
      <c r="AF20" s="67"/>
      <c r="AG20" s="64"/>
    </row>
    <row r="21" spans="1:33" s="60" customFormat="1">
      <c r="A21" s="59"/>
      <c r="E21" s="65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86"/>
      <c r="AF21" s="67"/>
      <c r="AG21" s="64"/>
    </row>
    <row r="22" spans="1:33" s="60" customFormat="1" ht="12.95" thickBot="1">
      <c r="A22" s="59"/>
      <c r="E22" s="69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87"/>
      <c r="AF22" s="71"/>
      <c r="AG22" s="64"/>
    </row>
    <row r="24" spans="1:33" ht="12.95" thickBot="1"/>
    <row r="25" spans="1:33" s="91" customFormat="1" ht="14.65" thickBot="1">
      <c r="A25" s="90"/>
      <c r="E25" s="92" t="s">
        <v>72</v>
      </c>
      <c r="F25" s="93" t="s">
        <v>74</v>
      </c>
      <c r="G25" s="94" t="s">
        <v>75</v>
      </c>
      <c r="H25" s="94" t="s">
        <v>76</v>
      </c>
      <c r="I25" s="95" t="s">
        <v>77</v>
      </c>
    </row>
    <row r="26" spans="1:33" s="91" customFormat="1" ht="14.65" thickBot="1">
      <c r="A26" s="90" t="s">
        <v>78</v>
      </c>
      <c r="B26" s="96" t="s">
        <v>79</v>
      </c>
      <c r="D26" s="97"/>
      <c r="E26" s="98">
        <f>F26/$B$3</f>
        <v>0</v>
      </c>
      <c r="F26" s="99">
        <f>SUM(F27:F32)</f>
        <v>0</v>
      </c>
      <c r="G26" s="99">
        <f>SUM(G27:G32)</f>
        <v>0</v>
      </c>
      <c r="H26" s="99">
        <f>SUM(H27:H32)</f>
        <v>0</v>
      </c>
      <c r="I26" s="100">
        <f>SUM(I27:I32)</f>
        <v>0</v>
      </c>
    </row>
    <row r="27" spans="1:33" s="102" customFormat="1" ht="14.1">
      <c r="A27" s="101"/>
      <c r="B27" s="102" t="s">
        <v>80</v>
      </c>
      <c r="E27" s="103">
        <f>F27/$B$3</f>
        <v>0</v>
      </c>
      <c r="F27" s="104">
        <f>SUM(G27:I27)</f>
        <v>0</v>
      </c>
      <c r="G27" s="105"/>
      <c r="H27" s="105"/>
      <c r="I27" s="106"/>
      <c r="J27" s="107"/>
      <c r="K27" s="107"/>
      <c r="L27" s="107"/>
      <c r="M27" s="107"/>
      <c r="N27" s="107"/>
      <c r="O27" s="107"/>
      <c r="P27" s="107"/>
      <c r="Q27" s="107"/>
      <c r="R27" s="107"/>
      <c r="S27" s="107"/>
    </row>
    <row r="28" spans="1:33" s="102" customFormat="1" ht="14.1">
      <c r="A28" s="101"/>
      <c r="B28" s="102" t="s">
        <v>81</v>
      </c>
      <c r="E28" s="108">
        <f t="shared" ref="E28:E30" si="5">F28/$B$3</f>
        <v>0</v>
      </c>
      <c r="F28" s="109">
        <f>SUM(G28:I28)</f>
        <v>0</v>
      </c>
      <c r="G28" s="110"/>
      <c r="H28" s="110"/>
      <c r="I28" s="111"/>
      <c r="J28" s="107"/>
      <c r="K28" s="107"/>
      <c r="L28" s="107"/>
      <c r="M28" s="107"/>
      <c r="N28" s="107"/>
      <c r="O28" s="107"/>
      <c r="P28" s="107"/>
      <c r="Q28" s="107"/>
      <c r="R28" s="107"/>
      <c r="S28" s="107"/>
    </row>
    <row r="29" spans="1:33" s="102" customFormat="1" ht="14.1">
      <c r="A29" s="101"/>
      <c r="B29" s="102" t="s">
        <v>82</v>
      </c>
      <c r="E29" s="108">
        <f t="shared" si="5"/>
        <v>0</v>
      </c>
      <c r="F29" s="109">
        <f t="shared" ref="F29:F31" si="6">SUM(G29:I29)</f>
        <v>0</v>
      </c>
      <c r="G29" s="110"/>
      <c r="H29" s="110"/>
      <c r="I29" s="111"/>
      <c r="J29" s="107"/>
      <c r="K29" s="107"/>
      <c r="L29" s="107"/>
      <c r="M29" s="107"/>
      <c r="N29" s="107"/>
      <c r="O29" s="107"/>
      <c r="P29" s="107"/>
      <c r="Q29" s="107"/>
      <c r="R29" s="107"/>
      <c r="S29" s="107"/>
    </row>
    <row r="30" spans="1:33" s="102" customFormat="1" ht="14.1">
      <c r="A30" s="101"/>
      <c r="B30" s="102" t="s">
        <v>83</v>
      </c>
      <c r="E30" s="108">
        <f t="shared" si="5"/>
        <v>0</v>
      </c>
      <c r="F30" s="109">
        <f>SUM(G30:I30)</f>
        <v>0</v>
      </c>
      <c r="G30" s="110"/>
      <c r="H30" s="110"/>
      <c r="I30" s="111"/>
      <c r="J30" s="107"/>
      <c r="K30" s="107"/>
      <c r="L30" s="107"/>
      <c r="M30" s="107"/>
      <c r="N30" s="107"/>
      <c r="O30" s="107"/>
      <c r="P30" s="107"/>
      <c r="Q30" s="107"/>
      <c r="R30" s="107"/>
      <c r="S30" s="107"/>
    </row>
    <row r="31" spans="1:33" s="102" customFormat="1" ht="14.1">
      <c r="A31" s="101"/>
      <c r="B31" s="102" t="s">
        <v>84</v>
      </c>
      <c r="E31" s="108">
        <f>F31/$B$3</f>
        <v>0</v>
      </c>
      <c r="F31" s="109">
        <f t="shared" si="6"/>
        <v>0</v>
      </c>
      <c r="G31" s="110"/>
      <c r="H31" s="110"/>
      <c r="I31" s="111"/>
      <c r="J31" s="107"/>
      <c r="K31" s="107"/>
      <c r="L31" s="107"/>
      <c r="M31" s="107"/>
      <c r="N31" s="107"/>
      <c r="O31" s="107"/>
      <c r="P31" s="107"/>
      <c r="Q31" s="107"/>
      <c r="R31" s="107"/>
      <c r="S31" s="107"/>
    </row>
    <row r="32" spans="1:33" s="102" customFormat="1" ht="14.65" thickBot="1">
      <c r="A32" s="101"/>
      <c r="B32" s="102" t="s">
        <v>85</v>
      </c>
      <c r="E32" s="112">
        <f>F32/$B$3</f>
        <v>0</v>
      </c>
      <c r="F32" s="113">
        <f>SUM(G32:I32)</f>
        <v>0</v>
      </c>
      <c r="G32" s="114"/>
      <c r="H32" s="114"/>
      <c r="I32" s="115"/>
      <c r="J32" s="107"/>
      <c r="K32" s="107"/>
      <c r="L32" s="107"/>
      <c r="M32" s="107"/>
      <c r="N32" s="107"/>
      <c r="O32" s="107"/>
      <c r="P32" s="107"/>
      <c r="Q32" s="107"/>
      <c r="R32" s="107"/>
      <c r="S32" s="107"/>
    </row>
    <row r="33" spans="1:8" s="91" customFormat="1" ht="14.1">
      <c r="A33" s="90"/>
    </row>
    <row r="34" spans="1:8" s="91" customFormat="1" ht="14.65" thickBot="1">
      <c r="A34" s="90"/>
      <c r="E34" s="142" t="s">
        <v>86</v>
      </c>
      <c r="F34" s="142" t="s">
        <v>72</v>
      </c>
    </row>
    <row r="35" spans="1:8" s="91" customFormat="1" ht="14.1">
      <c r="A35" s="90" t="s">
        <v>87</v>
      </c>
      <c r="B35" s="96" t="s">
        <v>79</v>
      </c>
      <c r="E35" s="117">
        <f>SUM(E36:E40)</f>
        <v>0</v>
      </c>
      <c r="F35" s="118"/>
      <c r="G35" s="116"/>
      <c r="H35" s="116"/>
    </row>
    <row r="36" spans="1:8" s="91" customFormat="1" ht="14.1">
      <c r="A36" s="90"/>
      <c r="B36" s="91" t="s">
        <v>88</v>
      </c>
      <c r="E36" s="119">
        <v>0</v>
      </c>
      <c r="F36" s="120"/>
    </row>
    <row r="37" spans="1:8" s="91" customFormat="1" ht="14.1">
      <c r="A37" s="90"/>
      <c r="B37" s="91" t="s">
        <v>89</v>
      </c>
      <c r="E37" s="119">
        <f t="shared" ref="E37:E39" si="7">F37/$B$3</f>
        <v>0</v>
      </c>
      <c r="F37" s="120"/>
    </row>
    <row r="38" spans="1:8" s="91" customFormat="1" ht="14.1">
      <c r="A38" s="90"/>
      <c r="B38" s="91" t="s">
        <v>90</v>
      </c>
      <c r="E38" s="119">
        <v>0</v>
      </c>
      <c r="F38" s="120"/>
    </row>
    <row r="39" spans="1:8" s="91" customFormat="1" ht="14.1">
      <c r="A39" s="90"/>
      <c r="B39" s="91" t="s">
        <v>85</v>
      </c>
      <c r="E39" s="119">
        <f t="shared" si="7"/>
        <v>0</v>
      </c>
      <c r="F39" s="120"/>
    </row>
    <row r="40" spans="1:8" s="91" customFormat="1" ht="14.65" thickBot="1">
      <c r="A40" s="90"/>
      <c r="B40" s="91" t="s">
        <v>91</v>
      </c>
      <c r="E40" s="121">
        <f>F40/$B$3</f>
        <v>0</v>
      </c>
      <c r="F40" s="122"/>
    </row>
  </sheetData>
  <mergeCells count="10">
    <mergeCell ref="E6:E7"/>
    <mergeCell ref="F6:F7"/>
    <mergeCell ref="K6:Q6"/>
    <mergeCell ref="R6:U6"/>
    <mergeCell ref="G6:J6"/>
    <mergeCell ref="Z6:AB6"/>
    <mergeCell ref="AC6:AD6"/>
    <mergeCell ref="AF6:AF7"/>
    <mergeCell ref="AE6:AE7"/>
    <mergeCell ref="V6:Y6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7A82-68A4-D942-96C6-0E71A560B62B}">
  <sheetPr>
    <pageSetUpPr fitToPage="1"/>
  </sheetPr>
  <dimension ref="A1:Y18"/>
  <sheetViews>
    <sheetView topLeftCell="E1" zoomScale="120" zoomScaleNormal="120" workbookViewId="0">
      <selection activeCell="E1" sqref="E1"/>
    </sheetView>
  </sheetViews>
  <sheetFormatPr defaultColWidth="9.125" defaultRowHeight="12.4"/>
  <cols>
    <col min="1" max="1" width="24" style="50" bestFit="1" customWidth="1"/>
    <col min="2" max="2" width="11.75" style="51" bestFit="1" customWidth="1"/>
    <col min="3" max="3" width="16.625" style="51" bestFit="1" customWidth="1"/>
    <col min="4" max="4" width="16.875" style="51" bestFit="1" customWidth="1"/>
    <col min="5" max="6" width="14.125" style="51" customWidth="1"/>
    <col min="7" max="7" width="11.125" style="51" customWidth="1"/>
    <col min="8" max="8" width="10.375" style="51" bestFit="1" customWidth="1"/>
    <col min="9" max="9" width="9.375" style="51" bestFit="1" customWidth="1"/>
    <col min="10" max="10" width="10.125" style="51" customWidth="1"/>
    <col min="11" max="11" width="9.375" style="51" customWidth="1"/>
    <col min="12" max="14" width="10" style="51" customWidth="1"/>
    <col min="15" max="15" width="8.375" style="51" bestFit="1" customWidth="1"/>
    <col min="16" max="17" width="9.375" style="51" bestFit="1" customWidth="1"/>
    <col min="18" max="18" width="7.5" style="51" bestFit="1" customWidth="1"/>
    <col min="19" max="19" width="8.375" style="51" customWidth="1"/>
    <col min="20" max="20" width="10.875" style="51" customWidth="1"/>
    <col min="21" max="21" width="7.5" style="51" bestFit="1" customWidth="1"/>
    <col min="22" max="23" width="9" style="51" bestFit="1" customWidth="1"/>
    <col min="24" max="24" width="5.125" style="51" customWidth="1"/>
    <col min="25" max="25" width="9" style="51" bestFit="1" customWidth="1"/>
    <col min="26" max="16384" width="9.125" style="51"/>
  </cols>
  <sheetData>
    <row r="1" spans="1:25" ht="12.95" thickBot="1">
      <c r="A1" s="50" t="e">
        <f ca="1">MID(CELL("filename",A1),FIND("]",CELL("filename",A1))+1,256)</f>
        <v>#VALUE!</v>
      </c>
      <c r="C1" s="53"/>
      <c r="D1" s="53"/>
      <c r="E1" s="53"/>
      <c r="F1" s="53"/>
      <c r="H1" s="89"/>
    </row>
    <row r="2" spans="1:25" ht="12.95" thickBot="1">
      <c r="A2" s="52" t="s">
        <v>92</v>
      </c>
      <c r="B2" s="53">
        <f>'Hong Kong'!B3</f>
        <v>7.6115689509999997</v>
      </c>
      <c r="C2" s="53"/>
      <c r="D2" s="53"/>
      <c r="E2" s="53"/>
      <c r="F2" s="53"/>
      <c r="H2" s="88" t="s">
        <v>93</v>
      </c>
    </row>
    <row r="3" spans="1:25" s="54" customFormat="1" ht="14.1" customHeight="1">
      <c r="A3" s="140"/>
      <c r="B3" s="166" t="s">
        <v>94</v>
      </c>
      <c r="C3" s="166" t="s">
        <v>95</v>
      </c>
      <c r="D3" s="166" t="s">
        <v>96</v>
      </c>
      <c r="E3" s="166" t="s">
        <v>97</v>
      </c>
      <c r="F3" s="168" t="s">
        <v>98</v>
      </c>
      <c r="G3" s="169"/>
      <c r="H3" s="175" t="s">
        <v>99</v>
      </c>
      <c r="I3" s="170" t="s">
        <v>47</v>
      </c>
      <c r="J3" s="172"/>
      <c r="K3" s="172"/>
      <c r="L3" s="172"/>
      <c r="M3" s="172"/>
      <c r="N3" s="172"/>
      <c r="O3" s="171"/>
      <c r="P3" s="170" t="s">
        <v>51</v>
      </c>
      <c r="Q3" s="171"/>
      <c r="R3" s="170" t="s">
        <v>48</v>
      </c>
      <c r="S3" s="172"/>
      <c r="T3" s="172"/>
      <c r="U3" s="171"/>
      <c r="V3" s="170" t="s">
        <v>49</v>
      </c>
      <c r="W3" s="172"/>
      <c r="X3" s="171"/>
      <c r="Y3" s="173" t="s">
        <v>100</v>
      </c>
    </row>
    <row r="4" spans="1:25" s="54" customFormat="1" ht="25.35" thickBot="1">
      <c r="A4" s="140"/>
      <c r="B4" s="167"/>
      <c r="C4" s="167"/>
      <c r="D4" s="167"/>
      <c r="E4" s="167"/>
      <c r="F4" s="141" t="s">
        <v>101</v>
      </c>
      <c r="G4" s="141" t="s">
        <v>102</v>
      </c>
      <c r="H4" s="176"/>
      <c r="I4" s="79" t="s">
        <v>54</v>
      </c>
      <c r="J4" s="55" t="s">
        <v>58</v>
      </c>
      <c r="K4" s="55" t="s">
        <v>59</v>
      </c>
      <c r="L4" s="55" t="s">
        <v>60</v>
      </c>
      <c r="M4" s="55" t="s">
        <v>61</v>
      </c>
      <c r="N4" s="55" t="s">
        <v>62</v>
      </c>
      <c r="O4" s="55" t="s">
        <v>63</v>
      </c>
      <c r="P4" s="79" t="s">
        <v>54</v>
      </c>
      <c r="Q4" s="55" t="s">
        <v>70</v>
      </c>
      <c r="R4" s="79" t="s">
        <v>54</v>
      </c>
      <c r="S4" s="55" t="s">
        <v>103</v>
      </c>
      <c r="T4" s="55" t="s">
        <v>65</v>
      </c>
      <c r="U4" s="79" t="s">
        <v>30</v>
      </c>
      <c r="V4" s="79" t="s">
        <v>54</v>
      </c>
      <c r="W4" s="55" t="s">
        <v>104</v>
      </c>
      <c r="X4" s="55" t="s">
        <v>35</v>
      </c>
      <c r="Y4" s="174"/>
    </row>
    <row r="5" spans="1:25" s="54" customFormat="1" ht="14.65" thickBot="1">
      <c r="A5" s="90"/>
      <c r="B5" s="142"/>
      <c r="C5" s="142"/>
      <c r="D5" s="142"/>
      <c r="E5" s="142"/>
      <c r="F5" s="142"/>
      <c r="G5" s="142"/>
      <c r="H5" s="56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8"/>
    </row>
    <row r="6" spans="1:25" s="60" customFormat="1" ht="14.1">
      <c r="A6" s="101" t="s">
        <v>105</v>
      </c>
      <c r="B6" s="143"/>
      <c r="C6" s="143"/>
      <c r="D6" s="143"/>
      <c r="E6" s="143"/>
      <c r="F6" s="143"/>
      <c r="G6" s="143"/>
      <c r="H6" s="61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3"/>
    </row>
    <row r="7" spans="1:25" s="60" customFormat="1" ht="14.1">
      <c r="A7" s="101"/>
      <c r="B7" s="143"/>
      <c r="C7" s="143"/>
      <c r="D7" s="143"/>
      <c r="E7" s="143"/>
      <c r="F7" s="143"/>
      <c r="G7" s="143"/>
      <c r="H7" s="65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7"/>
    </row>
    <row r="8" spans="1:25" s="60" customFormat="1" ht="14.1">
      <c r="A8" s="144"/>
      <c r="B8" s="145"/>
      <c r="C8" s="145"/>
      <c r="D8" s="145"/>
      <c r="E8" s="145"/>
      <c r="F8" s="145"/>
      <c r="G8" s="145"/>
      <c r="H8" s="65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</row>
    <row r="9" spans="1:25" s="60" customFormat="1" ht="14.1">
      <c r="A9" s="101"/>
      <c r="B9" s="102" t="s">
        <v>106</v>
      </c>
      <c r="C9" s="102" t="str">
        <f>'Hong Kong-L'!C1</f>
        <v>NNRoad (UE Corp)</v>
      </c>
      <c r="D9" s="102" t="str">
        <f>'Hong Kong-L'!A8</f>
        <v>CUS1503-0001</v>
      </c>
      <c r="E9" s="102" t="str">
        <f>'Hong Kong-L'!B8</f>
        <v>Chan Kin Pong</v>
      </c>
      <c r="F9" s="145" t="str">
        <f>'Hong Kong-L'!C2</f>
        <v>6/1/2025</v>
      </c>
      <c r="G9" s="145" t="str">
        <f>'Hong Kong-L'!E2</f>
        <v>6/30/2025</v>
      </c>
      <c r="H9" s="65">
        <f>I9+P9+R9+V9+Y9</f>
        <v>106317.83</v>
      </c>
      <c r="I9" s="66">
        <f>SUM(J9:O9)</f>
        <v>59171.75</v>
      </c>
      <c r="J9" s="66">
        <f>'Hong Kong-L'!C8</f>
        <v>59171.75</v>
      </c>
      <c r="K9" s="66">
        <f>'Hong Kong-L'!D8</f>
        <v>0</v>
      </c>
      <c r="L9" s="66">
        <f>'Hong Kong-L'!E8</f>
        <v>0</v>
      </c>
      <c r="M9" s="66">
        <f>'Hong Kong-L'!G8</f>
        <v>0</v>
      </c>
      <c r="N9" s="66">
        <f>'Hong Kong-L'!H8</f>
        <v>0</v>
      </c>
      <c r="O9" s="66">
        <f>'Hong Kong-L'!H8</f>
        <v>0</v>
      </c>
      <c r="P9" s="66">
        <f>SUM(Q9:Q9)</f>
        <v>39646.080000000002</v>
      </c>
      <c r="Q9" s="66">
        <f>'Hong Kong-L'!K8</f>
        <v>39646.080000000002</v>
      </c>
      <c r="R9" s="66">
        <f>SUM(S9:U9)</f>
        <v>9000</v>
      </c>
      <c r="S9" s="66">
        <f>'Hong Kong-L'!F8</f>
        <v>0</v>
      </c>
      <c r="T9" s="66">
        <f>'Hong Kong-L'!I8</f>
        <v>0</v>
      </c>
      <c r="U9" s="66">
        <f>'Hong Kong-L'!J8</f>
        <v>9000</v>
      </c>
      <c r="V9" s="66">
        <f>SUM(W9:X9)</f>
        <v>-1500</v>
      </c>
      <c r="W9" s="66">
        <f>'Hong Kong-L'!O8</f>
        <v>-1500</v>
      </c>
      <c r="X9" s="66">
        <v>0</v>
      </c>
      <c r="Y9" s="67">
        <f>0</f>
        <v>0</v>
      </c>
    </row>
    <row r="10" spans="1:25" s="60" customFormat="1">
      <c r="A10" s="59"/>
      <c r="H10" s="65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7"/>
    </row>
    <row r="11" spans="1:25" s="60" customFormat="1">
      <c r="A11" s="59"/>
      <c r="H11" s="65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7"/>
    </row>
    <row r="12" spans="1:25" s="60" customFormat="1">
      <c r="A12" s="59"/>
      <c r="H12" s="65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7"/>
    </row>
    <row r="13" spans="1:25" s="60" customFormat="1">
      <c r="A13" s="59"/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</row>
    <row r="14" spans="1:25" s="60" customFormat="1">
      <c r="A14" s="59"/>
      <c r="H14" s="65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</row>
    <row r="15" spans="1:25" s="60" customFormat="1">
      <c r="A15" s="59"/>
      <c r="H15" s="65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7"/>
    </row>
    <row r="16" spans="1:25" s="60" customFormat="1">
      <c r="A16" s="59"/>
      <c r="H16" s="65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7"/>
    </row>
    <row r="17" spans="1:25" s="60" customFormat="1">
      <c r="A17" s="59"/>
      <c r="H17" s="65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7"/>
    </row>
    <row r="18" spans="1:25" s="60" customFormat="1" ht="12.95" thickBot="1">
      <c r="A18" s="59"/>
      <c r="H18" s="69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</row>
  </sheetData>
  <mergeCells count="11">
    <mergeCell ref="P3:Q3"/>
    <mergeCell ref="R3:U3"/>
    <mergeCell ref="V3:X3"/>
    <mergeCell ref="Y3:Y4"/>
    <mergeCell ref="H3:H4"/>
    <mergeCell ref="I3:O3"/>
    <mergeCell ref="B3:B4"/>
    <mergeCell ref="C3:C4"/>
    <mergeCell ref="D3:D4"/>
    <mergeCell ref="E3:E4"/>
    <mergeCell ref="F3:G3"/>
  </mergeCells>
  <phoneticPr fontId="7" type="noConversion"/>
  <pageMargins left="0.7" right="0.7" top="0.75" bottom="0.75" header="0.3" footer="0.3"/>
  <pageSetup paperSize="9"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T9"/>
  <sheetViews>
    <sheetView workbookViewId="0">
      <selection activeCell="L8" sqref="L8"/>
    </sheetView>
  </sheetViews>
  <sheetFormatPr defaultColWidth="8.875" defaultRowHeight="14.1"/>
  <cols>
    <col min="1" max="1" width="6.625" customWidth="1"/>
    <col min="2" max="2" width="23.125" customWidth="1"/>
    <col min="3" max="3" width="16.625" bestFit="1" customWidth="1"/>
    <col min="4" max="4" width="8" customWidth="1"/>
    <col min="5" max="5" width="10.625" customWidth="1"/>
    <col min="6" max="6" width="12" customWidth="1"/>
    <col min="7" max="7" width="15" customWidth="1"/>
    <col min="11" max="11" width="13.125" customWidth="1"/>
    <col min="12" max="12" width="10.125" bestFit="1" customWidth="1"/>
    <col min="13" max="13" width="14.25" customWidth="1"/>
    <col min="16" max="16" width="12.875" customWidth="1"/>
    <col min="17" max="18" width="15" customWidth="1"/>
    <col min="19" max="19" width="11.75" bestFit="1" customWidth="1"/>
    <col min="20" max="20" width="9.5" bestFit="1" customWidth="1"/>
  </cols>
  <sheetData>
    <row r="1" spans="1:20">
      <c r="A1" s="177" t="s">
        <v>107</v>
      </c>
      <c r="B1" s="177"/>
      <c r="C1" s="152" t="str">
        <f>PN!B5</f>
        <v>NNRoad (UE Corp)</v>
      </c>
    </row>
    <row r="2" spans="1:20">
      <c r="A2" s="177" t="s">
        <v>108</v>
      </c>
      <c r="B2" s="177"/>
      <c r="C2" s="138" t="s">
        <v>109</v>
      </c>
      <c r="D2" s="80" t="s">
        <v>110</v>
      </c>
      <c r="E2" s="138" t="s">
        <v>111</v>
      </c>
    </row>
    <row r="3" spans="1:20">
      <c r="A3" s="177" t="s">
        <v>112</v>
      </c>
      <c r="B3" s="177"/>
      <c r="C3" s="73" t="s">
        <v>113</v>
      </c>
    </row>
    <row r="6" spans="1:20" ht="14.65" thickBot="1"/>
    <row r="7" spans="1:20" s="72" customFormat="1" ht="42.95" thickBot="1">
      <c r="A7" s="81" t="s">
        <v>114</v>
      </c>
      <c r="B7" s="82" t="s">
        <v>115</v>
      </c>
      <c r="C7" s="82" t="s">
        <v>58</v>
      </c>
      <c r="D7" s="82" t="s">
        <v>59</v>
      </c>
      <c r="E7" s="82" t="s">
        <v>60</v>
      </c>
      <c r="F7" s="82" t="s">
        <v>64</v>
      </c>
      <c r="G7" s="82" t="s">
        <v>61</v>
      </c>
      <c r="H7" s="82" t="s">
        <v>62</v>
      </c>
      <c r="I7" s="82" t="s">
        <v>116</v>
      </c>
      <c r="J7" s="82" t="s">
        <v>63</v>
      </c>
      <c r="K7" s="82" t="s">
        <v>117</v>
      </c>
      <c r="L7" s="82" t="s">
        <v>118</v>
      </c>
      <c r="M7" s="82" t="s">
        <v>66</v>
      </c>
      <c r="N7" s="82" t="s">
        <v>67</v>
      </c>
      <c r="O7" s="82" t="s">
        <v>104</v>
      </c>
      <c r="P7" s="82" t="s">
        <v>119</v>
      </c>
      <c r="Q7" s="82" t="s">
        <v>120</v>
      </c>
      <c r="R7" s="82" t="s">
        <v>121</v>
      </c>
      <c r="S7" s="83" t="s">
        <v>122</v>
      </c>
    </row>
    <row r="8" spans="1:20" ht="15.95">
      <c r="A8" s="84" t="s">
        <v>123</v>
      </c>
      <c r="B8" s="146" t="s">
        <v>124</v>
      </c>
      <c r="C8" s="149">
        <f>ROUND(57448.3*1.03,2)</f>
        <v>59171.75</v>
      </c>
      <c r="D8" s="146"/>
      <c r="E8" s="149">
        <v>0</v>
      </c>
      <c r="F8" s="149"/>
      <c r="G8" s="149"/>
      <c r="H8" s="146"/>
      <c r="I8" s="146"/>
      <c r="J8" s="146">
        <v>9000</v>
      </c>
      <c r="K8" s="153">
        <v>39646.080000000002</v>
      </c>
      <c r="L8" s="149">
        <f>SUM(C8:J8)</f>
        <v>68171.75</v>
      </c>
      <c r="M8" s="147">
        <f>L8*2%</f>
        <v>1363.4349999999999</v>
      </c>
      <c r="N8" s="147">
        <f>MIN(5%*SUM(C8:J8),1500)</f>
        <v>1500</v>
      </c>
      <c r="O8" s="147">
        <f>-N8</f>
        <v>-1500</v>
      </c>
      <c r="P8" s="147"/>
      <c r="Q8" s="149"/>
      <c r="R8" s="149">
        <f>L8+O8+Q8+K8</f>
        <v>106317.83</v>
      </c>
      <c r="S8" s="150">
        <f>K8+L8+M8+N8+P8+Q8</f>
        <v>110681.265</v>
      </c>
      <c r="T8" s="77"/>
    </row>
    <row r="9" spans="1:20" ht="14.65" thickBot="1">
      <c r="A9" s="74"/>
      <c r="B9" s="75"/>
      <c r="C9" s="75"/>
      <c r="D9" s="75"/>
      <c r="E9" s="75"/>
      <c r="F9" s="75"/>
      <c r="G9" s="75"/>
      <c r="H9" s="75"/>
      <c r="I9" s="75"/>
      <c r="J9" s="154"/>
      <c r="K9" s="154"/>
      <c r="L9" s="75"/>
      <c r="M9" s="75"/>
      <c r="N9" s="75"/>
      <c r="O9" s="75"/>
      <c r="P9" s="75"/>
      <c r="Q9" s="75"/>
      <c r="R9" s="75"/>
      <c r="S9" s="76"/>
    </row>
  </sheetData>
  <mergeCells count="3">
    <mergeCell ref="A1:B1"/>
    <mergeCell ref="A2:B2"/>
    <mergeCell ref="A3:B3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81C1AA-15EC-4ADB-A46F-B6AE36F878FA}"/>
</file>

<file path=customXml/itemProps2.xml><?xml version="1.0" encoding="utf-8"?>
<ds:datastoreItem xmlns:ds="http://schemas.openxmlformats.org/officeDocument/2006/customXml" ds:itemID="{E2A9B423-83D3-49E0-BE6D-5522DEF8F0D3}"/>
</file>

<file path=customXml/itemProps3.xml><?xml version="1.0" encoding="utf-8"?>
<ds:datastoreItem xmlns:ds="http://schemas.openxmlformats.org/officeDocument/2006/customXml" ds:itemID="{4D35F6E4-7916-4F1D-9007-FE6575F4D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Chalotra, Komal</cp:lastModifiedBy>
  <cp:revision/>
  <dcterms:created xsi:type="dcterms:W3CDTF">2019-04-02T09:07:35Z</dcterms:created>
  <dcterms:modified xsi:type="dcterms:W3CDTF">2025-09-05T02:50:04Z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