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03"/>
  <workbookPr/>
  <mc:AlternateContent xmlns:mc="http://schemas.openxmlformats.org/markup-compatibility/2006">
    <mc:Choice Requires="x15">
      <x15ac:absPath xmlns:x15ac="http://schemas.microsoft.com/office/spreadsheetml/2010/11/ac" url="L:\MS\Payroll\2025\NNRoad\to PM\"/>
    </mc:Choice>
  </mc:AlternateContent>
  <xr:revisionPtr revIDLastSave="0" documentId="13_ncr:1_{8BBA4468-3C75-4B55-B42F-CEB296430EBC}" xr6:coauthVersionLast="47" xr6:coauthVersionMax="47" xr10:uidLastSave="{00000000-0000-0000-0000-000000000000}"/>
  <bookViews>
    <workbookView xWindow="-110" yWindow="-110" windowWidth="19420" windowHeight="11500" firstSheet="1" activeTab="1" xr2:uid="{00000000-000D-0000-FFFF-FFFF00000000}"/>
  </bookViews>
  <sheets>
    <sheet name="Summary" sheetId="3" r:id="rId1"/>
    <sheet name="Payroll calculation" sheetId="2" r:id="rId2"/>
    <sheet name="2025 PST HILI對照表" sheetId="7" state="hidden" r:id="rId3"/>
    <sheet name="2025 PST HILI對照表(外國)" sheetId="8" state="hidden" r:id="rId4"/>
  </sheets>
  <definedNames>
    <definedName name="_xlnm._FilterDatabase" localSheetId="1" hidden="1">'Payroll calculation'!$A$3:$BH$3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  <c r="K3" i="2"/>
  <c r="L3" i="2"/>
  <c r="M3" i="2"/>
  <c r="N3" i="2"/>
  <c r="O3" i="2"/>
  <c r="Q3" i="2"/>
  <c r="R3" i="2"/>
  <c r="S3" i="2"/>
  <c r="T3" i="2"/>
  <c r="U3" i="2"/>
  <c r="W3" i="2"/>
  <c r="Y3" i="2"/>
  <c r="AA3" i="2"/>
  <c r="AC3" i="2"/>
  <c r="AE3" i="2"/>
  <c r="AF3" i="2"/>
  <c r="AG3" i="2"/>
  <c r="AH3" i="2"/>
  <c r="AI3" i="2"/>
  <c r="AL3" i="2"/>
  <c r="AM3" i="2"/>
  <c r="AN3" i="2"/>
  <c r="AP3" i="2"/>
  <c r="AV3" i="2"/>
  <c r="AX3" i="2"/>
  <c r="AZ3" i="2"/>
  <c r="BB3" i="2"/>
  <c r="H3" i="2"/>
  <c r="AY3" i="2"/>
  <c r="AO3" i="2"/>
  <c r="BC3" i="2"/>
  <c r="AU3" i="2" l="1"/>
  <c r="AK3" i="2"/>
  <c r="P3" i="2" l="1"/>
  <c r="BG3" i="2" l="1"/>
  <c r="BG4" i="3"/>
  <c r="AD3" i="2" l="1"/>
  <c r="Z3" i="2"/>
  <c r="X3" i="2"/>
  <c r="AB3" i="2" l="1"/>
  <c r="V3" i="2"/>
  <c r="AJ3" i="2" l="1"/>
  <c r="AW3" i="2"/>
  <c r="AQ3" i="2"/>
  <c r="J3" i="2" l="1"/>
  <c r="BD3" i="2"/>
  <c r="BA3" i="2"/>
  <c r="AR3" i="2" l="1"/>
  <c r="AS3" i="2"/>
  <c r="AT3" i="2"/>
  <c r="BE3" i="2" l="1"/>
  <c r="BH3" i="2"/>
  <c r="BF3" i="2"/>
  <c r="B10" i="3"/>
  <c r="C10" i="3" s="1"/>
  <c r="B12" i="3"/>
  <c r="C12" i="3" s="1"/>
  <c r="B11" i="3" l="1"/>
  <c r="C11" i="3" s="1"/>
  <c r="C13" i="3" s="1"/>
  <c r="C14" i="3" l="1"/>
  <c r="C15" i="3" s="1"/>
  <c r="B13" i="3"/>
  <c r="B14" i="3" l="1"/>
  <c r="B15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Bella Chung</author>
  </authors>
  <commentList>
    <comment ref="AR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Bella Chung:</t>
        </r>
        <r>
          <rPr>
            <sz val="9"/>
            <color indexed="81"/>
            <rFont val="Tahoma"/>
            <family val="2"/>
          </rPr>
          <t xml:space="preserve">
No HI, charged if gross&gt;27,470</t>
        </r>
      </text>
    </comment>
  </commentList>
</comments>
</file>

<file path=xl/sharedStrings.xml><?xml version="1.0" encoding="utf-8"?>
<sst xmlns="http://schemas.openxmlformats.org/spreadsheetml/2006/main" count="156" uniqueCount="101">
  <si>
    <t>Client</t>
    <phoneticPr fontId="2" type="noConversion"/>
  </si>
  <si>
    <t>Coral Sea</t>
    <phoneticPr fontId="2" type="noConversion"/>
  </si>
  <si>
    <t>Payroll Month</t>
    <phoneticPr fontId="2" type="noConversion"/>
  </si>
  <si>
    <t>Period</t>
    <phoneticPr fontId="2" type="noConversion"/>
  </si>
  <si>
    <t>6/1-6/30</t>
    <phoneticPr fontId="2" type="noConversion"/>
  </si>
  <si>
    <t>Headcount</t>
    <phoneticPr fontId="2" type="noConversion"/>
  </si>
  <si>
    <t>Service Fee</t>
    <phoneticPr fontId="2" type="noConversion"/>
  </si>
  <si>
    <t>Minimum</t>
    <phoneticPr fontId="2" type="noConversion"/>
  </si>
  <si>
    <t>Expense Claim Operation Fee</t>
    <phoneticPr fontId="2" type="noConversion"/>
  </si>
  <si>
    <t>NTD</t>
    <phoneticPr fontId="2" type="noConversion"/>
  </si>
  <si>
    <t>USD</t>
    <phoneticPr fontId="2" type="noConversion"/>
  </si>
  <si>
    <t>Total Gross Salary</t>
  </si>
  <si>
    <t>ER Insurance(LI+GI+HI+2nd HI+PF6%)</t>
    <phoneticPr fontId="2" type="noConversion"/>
  </si>
  <si>
    <t>Service fee</t>
    <phoneticPr fontId="2" type="noConversion"/>
  </si>
  <si>
    <t>Sub Total</t>
  </si>
  <si>
    <t>Tax (5%)</t>
    <phoneticPr fontId="2" type="noConversion"/>
  </si>
  <si>
    <t>Grand Total</t>
    <phoneticPr fontId="2" type="noConversion"/>
  </si>
  <si>
    <t>Exchange rate</t>
  </si>
  <si>
    <t>Pay Items</t>
    <phoneticPr fontId="2" type="noConversion"/>
  </si>
  <si>
    <t xml:space="preserve">Overtime Details </t>
    <phoneticPr fontId="2" type="noConversion"/>
  </si>
  <si>
    <t>Social Insurance Grading</t>
    <phoneticPr fontId="2" type="noConversion"/>
  </si>
  <si>
    <t>EE Dedution</t>
    <phoneticPr fontId="2" type="noConversion"/>
  </si>
  <si>
    <t>ER Insurance contribution</t>
    <phoneticPr fontId="2" type="noConversion"/>
  </si>
  <si>
    <t>BU</t>
  </si>
  <si>
    <t>CN Name</t>
    <phoneticPr fontId="2" type="noConversion"/>
  </si>
  <si>
    <t>EN Name</t>
    <phoneticPr fontId="2" type="noConversion"/>
  </si>
  <si>
    <t xml:space="preserve">Position </t>
    <phoneticPr fontId="2" type="noConversion"/>
  </si>
  <si>
    <t>Start Date</t>
  </si>
  <si>
    <t>End Date</t>
  </si>
  <si>
    <t>FT/PT</t>
    <phoneticPr fontId="2" type="noConversion"/>
  </si>
  <si>
    <r>
      <rPr>
        <sz val="10"/>
        <color theme="1"/>
        <rFont val="細明體"/>
        <family val="3"/>
        <charset val="136"/>
      </rPr>
      <t>時薪</t>
    </r>
    <r>
      <rPr>
        <sz val="10"/>
        <color theme="1"/>
        <rFont val="Calibri"/>
        <family val="2"/>
      </rPr>
      <t xml:space="preserve"> Hourly Rate</t>
    </r>
    <phoneticPr fontId="2" type="noConversion"/>
  </si>
  <si>
    <r>
      <rPr>
        <sz val="10"/>
        <color theme="1"/>
        <rFont val="細明體"/>
        <family val="3"/>
        <charset val="136"/>
      </rPr>
      <t xml:space="preserve">時數
</t>
    </r>
    <r>
      <rPr>
        <sz val="10"/>
        <color theme="1"/>
        <rFont val="Calibri"/>
        <family val="2"/>
      </rPr>
      <t>Hours Worked</t>
    </r>
    <phoneticPr fontId="2" type="noConversion"/>
  </si>
  <si>
    <r>
      <rPr>
        <sz val="10"/>
        <color theme="1"/>
        <rFont val="細明體"/>
        <family val="3"/>
        <charset val="136"/>
      </rPr>
      <t xml:space="preserve">薪資
</t>
    </r>
    <r>
      <rPr>
        <sz val="10"/>
        <color theme="1"/>
        <rFont val="Calibri"/>
        <family val="2"/>
      </rPr>
      <t>Basic Salary</t>
    </r>
    <phoneticPr fontId="2" type="noConversion"/>
  </si>
  <si>
    <t>Allw- Phone/ Communication</t>
    <phoneticPr fontId="2" type="noConversion"/>
  </si>
  <si>
    <t>Allw 
Transportation</t>
    <phoneticPr fontId="2" type="noConversion"/>
  </si>
  <si>
    <t>Back Pay</t>
    <phoneticPr fontId="2" type="noConversion"/>
  </si>
  <si>
    <r>
      <rPr>
        <sz val="10"/>
        <color theme="1"/>
        <rFont val="細明體"/>
        <family val="3"/>
        <charset val="136"/>
      </rPr>
      <t>伙食津貼</t>
    </r>
    <r>
      <rPr>
        <sz val="10"/>
        <color theme="1"/>
        <rFont val="Calibri"/>
        <family val="2"/>
      </rPr>
      <t>Allw Meal</t>
    </r>
    <phoneticPr fontId="2" type="noConversion"/>
  </si>
  <si>
    <r>
      <rPr>
        <sz val="10"/>
        <color theme="1"/>
        <rFont val="細明體"/>
        <family val="3"/>
        <charset val="136"/>
      </rPr>
      <t>病假時數</t>
    </r>
    <r>
      <rPr>
        <sz val="10"/>
        <color theme="1"/>
        <rFont val="Calibri"/>
        <family val="2"/>
      </rPr>
      <t xml:space="preserve"> Sick Leave Hours</t>
    </r>
    <phoneticPr fontId="2" type="noConversion"/>
  </si>
  <si>
    <r>
      <rPr>
        <sz val="10"/>
        <color theme="1"/>
        <rFont val="細明體"/>
        <family val="3"/>
        <charset val="136"/>
      </rPr>
      <t xml:space="preserve">病假扣薪
</t>
    </r>
    <r>
      <rPr>
        <sz val="10"/>
        <color theme="1"/>
        <rFont val="Calibri"/>
        <family val="2"/>
      </rPr>
      <t>Sick Leave
(half pay)</t>
    </r>
    <phoneticPr fontId="2" type="noConversion"/>
  </si>
  <si>
    <t>Bonus VB</t>
    <phoneticPr fontId="2" type="noConversion"/>
  </si>
  <si>
    <t>Incentives</t>
    <phoneticPr fontId="2" type="noConversion"/>
  </si>
  <si>
    <r>
      <rPr>
        <sz val="10"/>
        <color theme="1"/>
        <rFont val="新細明體"/>
        <family val="2"/>
        <charset val="136"/>
      </rPr>
      <t xml:space="preserve">報帳
</t>
    </r>
    <r>
      <rPr>
        <sz val="10"/>
        <color theme="1"/>
        <rFont val="Calibri"/>
        <family val="2"/>
      </rPr>
      <t>Reimb Claim</t>
    </r>
    <phoneticPr fontId="2" type="noConversion"/>
  </si>
  <si>
    <r>
      <rPr>
        <sz val="10"/>
        <color theme="1"/>
        <rFont val="新細明體"/>
        <family val="2"/>
        <charset val="136"/>
      </rPr>
      <t xml:space="preserve">特休結算
</t>
    </r>
    <r>
      <rPr>
        <sz val="10"/>
        <color theme="1"/>
        <rFont val="Calibri"/>
        <family val="2"/>
      </rPr>
      <t>Untaken AL</t>
    </r>
    <phoneticPr fontId="2" type="noConversion"/>
  </si>
  <si>
    <t>資遣費
Severance</t>
    <phoneticPr fontId="2" type="noConversion"/>
  </si>
  <si>
    <r>
      <rPr>
        <sz val="10"/>
        <color theme="1"/>
        <rFont val="新細明體"/>
        <family val="2"/>
        <charset val="136"/>
      </rPr>
      <t xml:space="preserve">加班費
</t>
    </r>
    <r>
      <rPr>
        <sz val="10"/>
        <color theme="1"/>
        <rFont val="Calibri"/>
        <family val="2"/>
      </rPr>
      <t>Overtime Payment</t>
    </r>
    <phoneticPr fontId="2" type="noConversion"/>
  </si>
  <si>
    <t>Hr (1.34x)</t>
    <phoneticPr fontId="2" type="noConversion"/>
  </si>
  <si>
    <t>OT Payment (1.34x)</t>
    <phoneticPr fontId="2" type="noConversion"/>
  </si>
  <si>
    <t>Hr (1.67x)</t>
    <phoneticPr fontId="2" type="noConversion"/>
  </si>
  <si>
    <t>OT Payment (1.67x)</t>
    <phoneticPr fontId="2" type="noConversion"/>
  </si>
  <si>
    <t>Hr (1x)</t>
    <phoneticPr fontId="2" type="noConversion"/>
  </si>
  <si>
    <t>OT Payment (1x)</t>
    <phoneticPr fontId="2" type="noConversion"/>
  </si>
  <si>
    <t>Hr (2.67x)</t>
  </si>
  <si>
    <t>OT Payment (2.67x)</t>
  </si>
  <si>
    <r>
      <rPr>
        <sz val="10"/>
        <color theme="1"/>
        <rFont val="細明體"/>
        <family val="3"/>
        <charset val="136"/>
      </rPr>
      <t xml:space="preserve">勞保級距
</t>
    </r>
    <r>
      <rPr>
        <sz val="10"/>
        <color theme="1"/>
        <rFont val="Calibri"/>
        <family val="2"/>
      </rPr>
      <t>Insured Salary Grading - LI</t>
    </r>
    <phoneticPr fontId="2" type="noConversion"/>
  </si>
  <si>
    <r>
      <rPr>
        <sz val="10"/>
        <color theme="1"/>
        <rFont val="細明體"/>
        <family val="3"/>
        <charset val="136"/>
      </rPr>
      <t>勞退級距</t>
    </r>
    <r>
      <rPr>
        <sz val="10"/>
        <color theme="1"/>
        <rFont val="Calibri"/>
        <family val="2"/>
      </rPr>
      <t xml:space="preserve"> Pension Salary Grading</t>
    </r>
    <phoneticPr fontId="2" type="noConversion"/>
  </si>
  <si>
    <r>
      <rPr>
        <sz val="10"/>
        <color theme="1"/>
        <rFont val="細明體"/>
        <family val="3"/>
        <charset val="136"/>
      </rPr>
      <t xml:space="preserve">健保級距
</t>
    </r>
    <r>
      <rPr>
        <sz val="10"/>
        <color theme="1"/>
        <rFont val="Calibri"/>
        <family val="2"/>
      </rPr>
      <t>Insured Salary Grading - HI</t>
    </r>
    <phoneticPr fontId="2" type="noConversion"/>
  </si>
  <si>
    <r>
      <rPr>
        <sz val="10"/>
        <color theme="1"/>
        <rFont val="細明體"/>
        <family val="3"/>
        <charset val="136"/>
      </rPr>
      <t xml:space="preserve">健保眷屬
</t>
    </r>
    <r>
      <rPr>
        <sz val="10"/>
        <color theme="1"/>
        <rFont val="Calibri"/>
        <family val="2"/>
      </rPr>
      <t>HI Dependent (person)</t>
    </r>
    <phoneticPr fontId="2" type="noConversion"/>
  </si>
  <si>
    <r>
      <rPr>
        <sz val="10"/>
        <color theme="1"/>
        <rFont val="細明體"/>
        <family val="3"/>
        <charset val="136"/>
      </rPr>
      <t xml:space="preserve">勞保投保天數
</t>
    </r>
    <r>
      <rPr>
        <sz val="10"/>
        <color theme="1"/>
        <rFont val="Calibri"/>
        <family val="2"/>
      </rPr>
      <t>LI Days</t>
    </r>
    <phoneticPr fontId="2" type="noConversion"/>
  </si>
  <si>
    <r>
      <rPr>
        <sz val="10"/>
        <color theme="1"/>
        <rFont val="新細明體"/>
        <family val="2"/>
        <charset val="136"/>
      </rPr>
      <t xml:space="preserve">所得稅代扣
</t>
    </r>
    <r>
      <rPr>
        <sz val="10"/>
        <color theme="1"/>
        <rFont val="Calibri"/>
        <family val="2"/>
      </rPr>
      <t>Withholding Tax</t>
    </r>
    <phoneticPr fontId="2" type="noConversion"/>
  </si>
  <si>
    <r>
      <rPr>
        <sz val="10"/>
        <color theme="1"/>
        <rFont val="新細明體"/>
        <family val="2"/>
        <charset val="136"/>
      </rPr>
      <t xml:space="preserve">勞保自付
</t>
    </r>
    <r>
      <rPr>
        <sz val="10"/>
        <color theme="1"/>
        <rFont val="Calibri"/>
        <family val="2"/>
      </rPr>
      <t>LI EE</t>
    </r>
    <phoneticPr fontId="2" type="noConversion"/>
  </si>
  <si>
    <r>
      <rPr>
        <sz val="10"/>
        <color theme="1"/>
        <rFont val="細明體"/>
        <family val="3"/>
        <charset val="136"/>
      </rPr>
      <t>勞保自付</t>
    </r>
    <r>
      <rPr>
        <sz val="10"/>
        <color theme="1"/>
        <rFont val="Calibri"/>
        <family val="2"/>
      </rPr>
      <t>(</t>
    </r>
    <r>
      <rPr>
        <sz val="10"/>
        <color theme="1"/>
        <rFont val="細明體"/>
        <family val="3"/>
        <charset val="136"/>
      </rPr>
      <t>調整</t>
    </r>
    <r>
      <rPr>
        <sz val="10"/>
        <color theme="1"/>
        <rFont val="Calibri"/>
        <family val="2"/>
      </rPr>
      <t>)
LI EE 1T</t>
    </r>
    <phoneticPr fontId="2" type="noConversion"/>
  </si>
  <si>
    <r>
      <rPr>
        <sz val="10"/>
        <color theme="1"/>
        <rFont val="細明體"/>
        <family val="3"/>
        <charset val="136"/>
      </rPr>
      <t xml:space="preserve">勞退自提
</t>
    </r>
    <r>
      <rPr>
        <sz val="10"/>
        <color theme="1"/>
        <rFont val="Calibri"/>
        <family val="2"/>
      </rPr>
      <t>Pension EE</t>
    </r>
    <phoneticPr fontId="2" type="noConversion"/>
  </si>
  <si>
    <r>
      <rPr>
        <sz val="10"/>
        <color theme="1"/>
        <rFont val="細明體"/>
        <family val="3"/>
        <charset val="136"/>
      </rPr>
      <t>勞退自提</t>
    </r>
    <r>
      <rPr>
        <sz val="10"/>
        <color theme="1"/>
        <rFont val="Calibri"/>
        <family val="2"/>
      </rPr>
      <t xml:space="preserve"> (</t>
    </r>
    <r>
      <rPr>
        <sz val="10"/>
        <color theme="1"/>
        <rFont val="細明體"/>
        <family val="3"/>
        <charset val="136"/>
      </rPr>
      <t>調整</t>
    </r>
    <r>
      <rPr>
        <sz val="10"/>
        <color theme="1"/>
        <rFont val="Calibri"/>
        <family val="2"/>
      </rPr>
      <t>)
Pension EE 1T</t>
    </r>
    <phoneticPr fontId="2" type="noConversion"/>
  </si>
  <si>
    <r>
      <rPr>
        <sz val="10"/>
        <color theme="1"/>
        <rFont val="新細明體"/>
        <family val="2"/>
        <charset val="136"/>
      </rPr>
      <t xml:space="preserve">健保自付
</t>
    </r>
    <r>
      <rPr>
        <sz val="10"/>
        <color theme="1"/>
        <rFont val="Calibri"/>
        <family val="2"/>
      </rPr>
      <t>HI EE</t>
    </r>
    <phoneticPr fontId="2" type="noConversion"/>
  </si>
  <si>
    <r>
      <rPr>
        <sz val="10"/>
        <color theme="1"/>
        <rFont val="細明體"/>
        <family val="3"/>
        <charset val="136"/>
      </rPr>
      <t>健保自付</t>
    </r>
    <r>
      <rPr>
        <sz val="10"/>
        <color theme="1"/>
        <rFont val="Calibri"/>
        <family val="2"/>
      </rPr>
      <t>(</t>
    </r>
    <r>
      <rPr>
        <sz val="10"/>
        <color theme="1"/>
        <rFont val="細明體"/>
        <family val="3"/>
        <charset val="136"/>
      </rPr>
      <t>調整</t>
    </r>
    <r>
      <rPr>
        <sz val="10"/>
        <color theme="1"/>
        <rFont val="Calibri"/>
        <family val="2"/>
      </rPr>
      <t>)
HI EE 1T</t>
    </r>
    <phoneticPr fontId="2" type="noConversion"/>
  </si>
  <si>
    <t>健保眷屬
HI
Dep</t>
    <phoneticPr fontId="2" type="noConversion"/>
  </si>
  <si>
    <r>
      <rPr>
        <sz val="10"/>
        <color theme="1"/>
        <rFont val="新細明體"/>
        <family val="2"/>
        <charset val="136"/>
      </rPr>
      <t xml:space="preserve">二代健保
自付
</t>
    </r>
    <r>
      <rPr>
        <sz val="10"/>
        <color theme="1"/>
        <rFont val="Calibri"/>
        <family val="2"/>
      </rPr>
      <t>2G HI EE</t>
    </r>
    <phoneticPr fontId="2" type="noConversion"/>
  </si>
  <si>
    <t>Gross Taxable Income</t>
    <phoneticPr fontId="2" type="noConversion"/>
  </si>
  <si>
    <t>Net Salary</t>
    <phoneticPr fontId="2" type="noConversion"/>
  </si>
  <si>
    <r>
      <rPr>
        <sz val="10"/>
        <color theme="1"/>
        <rFont val="細明體"/>
        <family val="3"/>
        <charset val="136"/>
      </rPr>
      <t>勞保雇主</t>
    </r>
    <r>
      <rPr>
        <sz val="10"/>
        <color theme="1"/>
        <rFont val="Calibri"/>
        <family val="2"/>
      </rPr>
      <t xml:space="preserve"> 
LI ER</t>
    </r>
    <phoneticPr fontId="2" type="noConversion"/>
  </si>
  <si>
    <r>
      <rPr>
        <sz val="10"/>
        <color theme="1"/>
        <rFont val="細明體"/>
        <family val="3"/>
        <charset val="136"/>
      </rPr>
      <t xml:space="preserve">勞保雇主
</t>
    </r>
    <r>
      <rPr>
        <sz val="10"/>
        <color theme="1"/>
        <rFont val="Calibri"/>
        <family val="2"/>
      </rPr>
      <t>LI ER
1T</t>
    </r>
    <phoneticPr fontId="2" type="noConversion"/>
  </si>
  <si>
    <r>
      <rPr>
        <sz val="10"/>
        <color theme="1"/>
        <rFont val="細明體"/>
        <family val="3"/>
        <charset val="136"/>
      </rPr>
      <t xml:space="preserve">勞退雇主
</t>
    </r>
    <r>
      <rPr>
        <sz val="10"/>
        <color theme="1"/>
        <rFont val="Calibri"/>
        <family val="2"/>
      </rPr>
      <t>Pension ER 6%</t>
    </r>
    <phoneticPr fontId="2" type="noConversion"/>
  </si>
  <si>
    <r>
      <rPr>
        <sz val="10"/>
        <color theme="1"/>
        <rFont val="細明體"/>
        <family val="3"/>
        <charset val="136"/>
      </rPr>
      <t xml:space="preserve">勞退雇主
</t>
    </r>
    <r>
      <rPr>
        <sz val="10"/>
        <color theme="1"/>
        <rFont val="Calibri"/>
        <family val="2"/>
      </rPr>
      <t>Pension 
ER 1T</t>
    </r>
    <phoneticPr fontId="2" type="noConversion"/>
  </si>
  <si>
    <r>
      <rPr>
        <sz val="10"/>
        <color theme="1"/>
        <rFont val="細明體"/>
        <family val="3"/>
        <charset val="136"/>
      </rPr>
      <t xml:space="preserve">健保雇主
</t>
    </r>
    <r>
      <rPr>
        <sz val="10"/>
        <color theme="1"/>
        <rFont val="Calibri"/>
        <family val="2"/>
      </rPr>
      <t>HI ER</t>
    </r>
    <phoneticPr fontId="2" type="noConversion"/>
  </si>
  <si>
    <r>
      <rPr>
        <sz val="10"/>
        <color theme="1"/>
        <rFont val="細明體"/>
        <family val="3"/>
        <charset val="136"/>
      </rPr>
      <t xml:space="preserve">健保雇主
</t>
    </r>
    <r>
      <rPr>
        <sz val="10"/>
        <color theme="1"/>
        <rFont val="Calibri"/>
        <family val="2"/>
      </rPr>
      <t>HI ER
1T</t>
    </r>
    <phoneticPr fontId="2" type="noConversion"/>
  </si>
  <si>
    <r>
      <rPr>
        <sz val="10"/>
        <color theme="1"/>
        <rFont val="細明體"/>
        <family val="3"/>
        <charset val="136"/>
      </rPr>
      <t xml:space="preserve">二代健保
雇主
</t>
    </r>
    <r>
      <rPr>
        <sz val="10"/>
        <color theme="1"/>
        <rFont val="Calibri"/>
        <family val="2"/>
      </rPr>
      <t>2G HI ER</t>
    </r>
    <phoneticPr fontId="2" type="noConversion"/>
  </si>
  <si>
    <r>
      <rPr>
        <sz val="10"/>
        <color theme="1"/>
        <rFont val="細明體"/>
        <family val="3"/>
        <charset val="136"/>
      </rPr>
      <t xml:space="preserve">二代健保
雇主
</t>
    </r>
    <r>
      <rPr>
        <sz val="10"/>
        <color theme="1"/>
        <rFont val="Calibri"/>
        <family val="2"/>
      </rPr>
      <t>2G HI ER 
1T</t>
    </r>
    <phoneticPr fontId="2" type="noConversion"/>
  </si>
  <si>
    <r>
      <rPr>
        <sz val="10"/>
        <color theme="1"/>
        <rFont val="細明體"/>
        <family val="3"/>
        <charset val="136"/>
      </rPr>
      <t xml:space="preserve">團保
</t>
    </r>
    <r>
      <rPr>
        <sz val="10"/>
        <color theme="1"/>
        <rFont val="Calibri"/>
        <family val="2"/>
      </rPr>
      <t>GI</t>
    </r>
    <phoneticPr fontId="2" type="noConversion"/>
  </si>
  <si>
    <t>Gross Salary
(payable)</t>
    <phoneticPr fontId="2" type="noConversion"/>
  </si>
  <si>
    <t>ER Insurance</t>
    <phoneticPr fontId="2" type="noConversion"/>
  </si>
  <si>
    <t>Operation 
Fee</t>
    <phoneticPr fontId="2" type="noConversion"/>
  </si>
  <si>
    <t>Total</t>
    <phoneticPr fontId="2" type="noConversion"/>
  </si>
  <si>
    <t>Coral Sea</t>
  </si>
  <si>
    <t>王品涵</t>
  </si>
  <si>
    <t>Pin Han</t>
  </si>
  <si>
    <t>Aquarist</t>
  </si>
  <si>
    <t>PT</t>
    <phoneticPr fontId="2" type="noConversion"/>
  </si>
  <si>
    <t>David</t>
  </si>
  <si>
    <t>Diver</t>
  </si>
  <si>
    <t>Rates are available</t>
  </si>
  <si>
    <t>P</t>
  </si>
  <si>
    <t>Q</t>
  </si>
  <si>
    <t>R</t>
  </si>
  <si>
    <t>S</t>
  </si>
  <si>
    <t>Table to schedule</t>
  </si>
  <si>
    <t>Health Insurance</t>
  </si>
  <si>
    <t>Labour Insurance Local</t>
  </si>
  <si>
    <t>Sal Level</t>
  </si>
  <si>
    <t>Employee</t>
  </si>
  <si>
    <t>Employer</t>
  </si>
  <si>
    <t xml:space="preserve"> -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</si>
</sst>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  <numFmt numFmtId="167" formatCode="#,##0.0_);[Red]\(#,##0.0\)"/>
  </numFmts>
  <fonts count="22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name val="Comic Sans MS"/>
      <family val="4"/>
    </font>
    <font>
      <sz val="10"/>
      <color theme="1"/>
      <name val="Calibri"/>
      <family val="2"/>
    </font>
    <font>
      <sz val="10"/>
      <color theme="1"/>
      <name val="新細明體"/>
      <family val="2"/>
      <charset val="136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細明體"/>
      <family val="3"/>
      <charset val="136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sz val="10"/>
      <name val="Calibri"/>
      <family val="2"/>
    </font>
    <font>
      <b/>
      <sz val="12"/>
      <color theme="1"/>
      <name val="新細明體"/>
      <family val="2"/>
      <charset val="136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CFFFF"/>
        <bgColor rgb="FF000000"/>
      </patternFill>
    </fill>
    <fill>
      <patternFill patternType="solid">
        <fgColor rgb="FFFFFF99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7">
    <xf numFmtId="0" fontId="0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0" fontId="3" fillId="0" borderId="0"/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6" fillId="0" borderId="0"/>
    <xf numFmtId="43" fontId="3" fillId="0" borderId="0" applyFont="0" applyFill="0" applyBorder="0" applyAlignment="0" applyProtection="0"/>
  </cellStyleXfs>
  <cellXfs count="118">
    <xf numFmtId="0" fontId="0" fillId="0" borderId="0" xfId="0">
      <alignment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4" fillId="3" borderId="7" xfId="0" applyFont="1" applyFill="1" applyBorder="1">
      <alignment vertical="center"/>
    </xf>
    <xf numFmtId="0" fontId="4" fillId="3" borderId="7" xfId="0" applyFont="1" applyFill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38" fontId="4" fillId="3" borderId="7" xfId="0" applyNumberFormat="1" applyFont="1" applyFill="1" applyBorder="1">
      <alignment vertical="center"/>
    </xf>
    <xf numFmtId="38" fontId="8" fillId="0" borderId="0" xfId="1" applyNumberFormat="1" applyFont="1" applyFill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9" fontId="11" fillId="0" borderId="0" xfId="3" applyFont="1">
      <alignment vertical="center"/>
    </xf>
    <xf numFmtId="0" fontId="13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8" xfId="0" applyFont="1" applyBorder="1">
      <alignment vertical="center"/>
    </xf>
    <xf numFmtId="38" fontId="11" fillId="0" borderId="9" xfId="0" applyNumberFormat="1" applyFont="1" applyBorder="1">
      <alignment vertical="center"/>
    </xf>
    <xf numFmtId="0" fontId="11" fillId="0" borderId="10" xfId="0" applyFont="1" applyBorder="1">
      <alignment vertical="center"/>
    </xf>
    <xf numFmtId="38" fontId="11" fillId="0" borderId="11" xfId="0" applyNumberFormat="1" applyFont="1" applyBorder="1">
      <alignment vertical="center"/>
    </xf>
    <xf numFmtId="0" fontId="12" fillId="0" borderId="10" xfId="0" applyFont="1" applyBorder="1">
      <alignment vertical="center"/>
    </xf>
    <xf numFmtId="38" fontId="12" fillId="0" borderId="11" xfId="0" applyNumberFormat="1" applyFont="1" applyBorder="1">
      <alignment vertical="center"/>
    </xf>
    <xf numFmtId="0" fontId="12" fillId="0" borderId="12" xfId="0" applyFont="1" applyBorder="1">
      <alignment vertical="center"/>
    </xf>
    <xf numFmtId="38" fontId="12" fillId="0" borderId="13" xfId="0" applyNumberFormat="1" applyFont="1" applyBorder="1">
      <alignment vertical="center"/>
    </xf>
    <xf numFmtId="38" fontId="14" fillId="0" borderId="0" xfId="1" applyNumberFormat="1" applyFont="1" applyFill="1">
      <alignment vertical="center"/>
    </xf>
    <xf numFmtId="165" fontId="11" fillId="0" borderId="0" xfId="1" applyNumberFormat="1" applyFont="1">
      <alignment vertical="center"/>
    </xf>
    <xf numFmtId="17" fontId="11" fillId="0" borderId="0" xfId="0" applyNumberFormat="1" applyFont="1" applyAlignment="1">
      <alignment horizontal="right" vertical="center"/>
    </xf>
    <xf numFmtId="14" fontId="4" fillId="0" borderId="0" xfId="0" applyNumberFormat="1" applyFont="1">
      <alignment vertical="center"/>
    </xf>
    <xf numFmtId="166" fontId="16" fillId="0" borderId="1" xfId="5" applyNumberFormat="1" applyBorder="1"/>
    <xf numFmtId="0" fontId="16" fillId="0" borderId="1" xfId="5" applyBorder="1" applyAlignment="1">
      <alignment horizontal="center"/>
    </xf>
    <xf numFmtId="0" fontId="16" fillId="0" borderId="1" xfId="5" applyBorder="1"/>
    <xf numFmtId="166" fontId="17" fillId="0" borderId="1" xfId="5" applyNumberFormat="1" applyFont="1" applyBorder="1" applyAlignment="1">
      <alignment horizontal="center"/>
    </xf>
    <xf numFmtId="0" fontId="18" fillId="0" borderId="1" xfId="5" applyFont="1" applyBorder="1"/>
    <xf numFmtId="166" fontId="16" fillId="4" borderId="1" xfId="5" applyNumberFormat="1" applyFill="1" applyBorder="1"/>
    <xf numFmtId="166" fontId="17" fillId="4" borderId="1" xfId="5" applyNumberFormat="1" applyFont="1" applyFill="1" applyBorder="1"/>
    <xf numFmtId="0" fontId="15" fillId="0" borderId="0" xfId="0" applyFont="1">
      <alignment vertical="center"/>
    </xf>
    <xf numFmtId="166" fontId="16" fillId="5" borderId="1" xfId="5" applyNumberFormat="1" applyFill="1" applyBorder="1"/>
    <xf numFmtId="38" fontId="4" fillId="0" borderId="0" xfId="1" applyNumberFormat="1" applyFont="1" applyFill="1">
      <alignment vertical="center"/>
    </xf>
    <xf numFmtId="0" fontId="4" fillId="0" borderId="16" xfId="0" applyFont="1" applyBorder="1" applyAlignment="1">
      <alignment vertical="center" wrapText="1"/>
    </xf>
    <xf numFmtId="0" fontId="4" fillId="0" borderId="17" xfId="0" applyFont="1" applyBorder="1" applyAlignment="1">
      <alignment vertical="center" wrapText="1"/>
    </xf>
    <xf numFmtId="0" fontId="4" fillId="0" borderId="18" xfId="0" applyFont="1" applyBorder="1" applyAlignment="1">
      <alignment vertical="center" wrapText="1"/>
    </xf>
    <xf numFmtId="38" fontId="14" fillId="0" borderId="0" xfId="6" applyNumberFormat="1" applyFont="1" applyFill="1" applyBorder="1" applyAlignment="1">
      <alignment vertical="center"/>
    </xf>
    <xf numFmtId="38" fontId="14" fillId="0" borderId="0" xfId="6" applyNumberFormat="1" applyFont="1" applyFill="1" applyBorder="1" applyAlignment="1">
      <alignment horizontal="right" vertical="center" wrapText="1"/>
    </xf>
    <xf numFmtId="0" fontId="14" fillId="0" borderId="0" xfId="2" applyFont="1" applyAlignment="1">
      <alignment vertical="center"/>
    </xf>
    <xf numFmtId="38" fontId="14" fillId="0" borderId="0" xfId="2" applyNumberFormat="1" applyFont="1" applyAlignment="1">
      <alignment horizontal="right" vertical="center" wrapText="1"/>
    </xf>
    <xf numFmtId="0" fontId="14" fillId="0" borderId="0" xfId="2" applyFont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4" fillId="0" borderId="19" xfId="0" applyFont="1" applyBorder="1" applyAlignment="1">
      <alignment vertical="center" wrapText="1"/>
    </xf>
    <xf numFmtId="0" fontId="4" fillId="0" borderId="20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4" fillId="0" borderId="21" xfId="0" applyFont="1" applyBorder="1" applyAlignment="1">
      <alignment vertical="center" wrapText="1"/>
    </xf>
    <xf numFmtId="0" fontId="4" fillId="0" borderId="22" xfId="0" applyFont="1" applyBorder="1" applyAlignment="1">
      <alignment vertical="center" wrapText="1"/>
    </xf>
    <xf numFmtId="0" fontId="4" fillId="0" borderId="23" xfId="0" applyFont="1" applyBorder="1" applyAlignment="1">
      <alignment vertical="center" wrapText="1"/>
    </xf>
    <xf numFmtId="0" fontId="4" fillId="0" borderId="24" xfId="0" applyFont="1" applyBorder="1" applyAlignment="1">
      <alignment vertical="center" wrapText="1"/>
    </xf>
    <xf numFmtId="0" fontId="4" fillId="0" borderId="16" xfId="0" applyFont="1" applyBorder="1" applyAlignment="1">
      <alignment horizontal="center" vertical="center" wrapText="1"/>
    </xf>
    <xf numFmtId="0" fontId="8" fillId="0" borderId="19" xfId="0" applyFont="1" applyBorder="1" applyAlignment="1">
      <alignment vertical="center" wrapText="1"/>
    </xf>
    <xf numFmtId="0" fontId="8" fillId="0" borderId="20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2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26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167" fontId="14" fillId="0" borderId="0" xfId="1" applyNumberFormat="1" applyFont="1" applyFill="1">
      <alignment vertical="center"/>
    </xf>
    <xf numFmtId="0" fontId="14" fillId="0" borderId="0" xfId="0" applyFont="1">
      <alignment vertical="center"/>
    </xf>
    <xf numFmtId="0" fontId="8" fillId="0" borderId="22" xfId="0" applyFont="1" applyBorder="1">
      <alignment vertical="center"/>
    </xf>
    <xf numFmtId="0" fontId="8" fillId="0" borderId="24" xfId="0" applyFont="1" applyBorder="1">
      <alignment vertical="center"/>
    </xf>
    <xf numFmtId="0" fontId="4" fillId="0" borderId="12" xfId="0" applyFont="1" applyBorder="1">
      <alignment vertical="center"/>
    </xf>
    <xf numFmtId="38" fontId="14" fillId="0" borderId="0" xfId="1" applyNumberFormat="1" applyFont="1" applyFill="1" applyBorder="1">
      <alignment vertical="center"/>
    </xf>
    <xf numFmtId="38" fontId="14" fillId="2" borderId="0" xfId="1" applyNumberFormat="1" applyFont="1" applyFill="1" applyBorder="1">
      <alignment vertical="center"/>
    </xf>
    <xf numFmtId="38" fontId="14" fillId="2" borderId="0" xfId="1" applyNumberFormat="1" applyFont="1" applyFill="1">
      <alignment vertical="center"/>
    </xf>
    <xf numFmtId="0" fontId="11" fillId="0" borderId="12" xfId="0" applyFont="1" applyBorder="1">
      <alignment vertical="center"/>
    </xf>
    <xf numFmtId="38" fontId="11" fillId="0" borderId="13" xfId="0" applyNumberFormat="1" applyFont="1" applyBorder="1">
      <alignment vertical="center"/>
    </xf>
    <xf numFmtId="40" fontId="11" fillId="0" borderId="9" xfId="0" applyNumberFormat="1" applyFont="1" applyBorder="1">
      <alignment vertical="center"/>
    </xf>
    <xf numFmtId="40" fontId="11" fillId="0" borderId="11" xfId="0" applyNumberFormat="1" applyFont="1" applyBorder="1">
      <alignment vertical="center"/>
    </xf>
    <xf numFmtId="40" fontId="11" fillId="0" borderId="13" xfId="0" applyNumberFormat="1" applyFont="1" applyBorder="1">
      <alignment vertical="center"/>
    </xf>
    <xf numFmtId="40" fontId="12" fillId="0" borderId="11" xfId="0" applyNumberFormat="1" applyFont="1" applyBorder="1">
      <alignment vertical="center"/>
    </xf>
    <xf numFmtId="40" fontId="12" fillId="0" borderId="13" xfId="0" applyNumberFormat="1" applyFont="1" applyBorder="1">
      <alignment vertical="center"/>
    </xf>
    <xf numFmtId="40" fontId="11" fillId="0" borderId="0" xfId="0" applyNumberFormat="1" applyFont="1">
      <alignment vertical="center"/>
    </xf>
    <xf numFmtId="167" fontId="14" fillId="0" borderId="0" xfId="1" applyNumberFormat="1" applyFont="1" applyFill="1" applyBorder="1">
      <alignment vertical="center"/>
    </xf>
    <xf numFmtId="40" fontId="10" fillId="0" borderId="0" xfId="0" applyNumberFormat="1" applyFont="1">
      <alignment vertical="center"/>
    </xf>
    <xf numFmtId="40" fontId="14" fillId="0" borderId="0" xfId="1" applyNumberFormat="1" applyFont="1" applyFill="1" applyBorder="1">
      <alignment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14" fontId="21" fillId="0" borderId="0" xfId="0" applyNumberFormat="1" applyFont="1">
      <alignment vertical="center"/>
    </xf>
    <xf numFmtId="0" fontId="16" fillId="0" borderId="1" xfId="0" applyFont="1" applyBorder="1" applyAlignment="1"/>
    <xf numFmtId="0" fontId="16" fillId="0" borderId="1" xfId="0" applyFont="1" applyBorder="1" applyAlignment="1">
      <alignment horizontal="center"/>
    </xf>
    <xf numFmtId="0" fontId="0" fillId="0" borderId="0" xfId="0" applyAlignment="1"/>
    <xf numFmtId="0" fontId="17" fillId="0" borderId="1" xfId="0" applyFont="1" applyBorder="1" applyAlignment="1">
      <alignment horizontal="center"/>
    </xf>
    <xf numFmtId="0" fontId="18" fillId="0" borderId="1" xfId="0" applyFont="1" applyBorder="1" applyAlignment="1"/>
    <xf numFmtId="3" fontId="16" fillId="6" borderId="1" xfId="0" applyNumberFormat="1" applyFont="1" applyFill="1" applyBorder="1" applyAlignment="1"/>
    <xf numFmtId="0" fontId="16" fillId="6" borderId="1" xfId="0" applyFont="1" applyFill="1" applyBorder="1" applyAlignment="1"/>
    <xf numFmtId="3" fontId="17" fillId="6" borderId="1" xfId="0" applyNumberFormat="1" applyFont="1" applyFill="1" applyBorder="1" applyAlignment="1"/>
    <xf numFmtId="0" fontId="17" fillId="6" borderId="1" xfId="0" applyFont="1" applyFill="1" applyBorder="1" applyAlignment="1"/>
    <xf numFmtId="0" fontId="17" fillId="0" borderId="1" xfId="0" applyFont="1" applyBorder="1" applyAlignment="1"/>
    <xf numFmtId="3" fontId="16" fillId="7" borderId="1" xfId="0" applyNumberFormat="1" applyFont="1" applyFill="1" applyBorder="1" applyAlignment="1"/>
    <xf numFmtId="0" fontId="16" fillId="7" borderId="1" xfId="0" applyFont="1" applyFill="1" applyBorder="1" applyAlignment="1"/>
    <xf numFmtId="166" fontId="17" fillId="0" borderId="3" xfId="5" applyNumberFormat="1" applyFont="1" applyBorder="1" applyAlignment="1">
      <alignment horizontal="center"/>
    </xf>
    <xf numFmtId="166" fontId="17" fillId="0" borderId="14" xfId="5" applyNumberFormat="1" applyFont="1" applyBorder="1" applyAlignment="1">
      <alignment horizontal="center"/>
    </xf>
    <xf numFmtId="166" fontId="17" fillId="0" borderId="15" xfId="5" applyNumberFormat="1" applyFont="1" applyBorder="1" applyAlignment="1">
      <alignment horizontal="center"/>
    </xf>
    <xf numFmtId="0" fontId="16" fillId="0" borderId="3" xfId="0" applyFont="1" applyBorder="1" applyAlignment="1"/>
    <xf numFmtId="0" fontId="16" fillId="0" borderId="14" xfId="0" applyFont="1" applyBorder="1" applyAlignment="1"/>
    <xf numFmtId="0" fontId="17" fillId="0" borderId="3" xfId="0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166" fontId="16" fillId="0" borderId="3" xfId="5" applyNumberFormat="1" applyBorder="1" applyAlignment="1"/>
    <xf numFmtId="166" fontId="16" fillId="0" borderId="14" xfId="5" applyNumberFormat="1" applyBorder="1" applyAlignment="1"/>
  </cellXfs>
  <cellStyles count="7">
    <cellStyle name="Comma" xfId="1" builtinId="3"/>
    <cellStyle name="Normal" xfId="0" builtinId="0"/>
    <cellStyle name="Normal_Payroll Allowance &amp; Dedn - 201105" xfId="5" xr:uid="{00000000-0005-0000-0000-000000000000}"/>
    <cellStyle name="Percent" xfId="3" builtinId="5"/>
    <cellStyle name="一般 2" xfId="2" xr:uid="{00000000-0005-0000-0000-000002000000}"/>
    <cellStyle name="一般 3" xfId="4" xr:uid="{00000000-0005-0000-0000-000003000000}"/>
    <cellStyle name="千分位 2" xfId="6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20"/>
  <sheetViews>
    <sheetView workbookViewId="0"/>
  </sheetViews>
  <sheetFormatPr defaultColWidth="9" defaultRowHeight="15.6"/>
  <cols>
    <col min="1" max="1" width="32" style="14" customWidth="1"/>
    <col min="2" max="3" width="10.625" style="15" bestFit="1" customWidth="1"/>
    <col min="4" max="4" width="9" style="14"/>
    <col min="5" max="5" width="13.625" style="14" customWidth="1"/>
    <col min="6" max="16384" width="9" style="14"/>
  </cols>
  <sheetData>
    <row r="1" spans="1:59">
      <c r="A1" s="18" t="s">
        <v>0</v>
      </c>
      <c r="B1" s="16" t="s">
        <v>1</v>
      </c>
      <c r="C1" s="16"/>
    </row>
    <row r="2" spans="1:59">
      <c r="A2" s="14" t="s">
        <v>2</v>
      </c>
      <c r="B2" s="30">
        <v>45835</v>
      </c>
      <c r="C2" s="30"/>
    </row>
    <row r="3" spans="1:59">
      <c r="A3" s="14" t="s">
        <v>3</v>
      </c>
      <c r="B3" s="30" t="s">
        <v>4</v>
      </c>
      <c r="C3" s="30"/>
    </row>
    <row r="4" spans="1:59">
      <c r="A4" s="14" t="s">
        <v>5</v>
      </c>
      <c r="B4" s="15">
        <v>2</v>
      </c>
      <c r="BG4" s="14">
        <f>IF(ROUND((AT4-AN4-AO4+O4+U4+W4+AV4+AW4+AX4+AY4+AZ4+BA4+BC4+BD4+IF(BB4&gt;0,BB4,0))*Summary!B5,0)&lt;3000,3000,ROUND((AT4-AN4-AO4+O4+U4+W4+AV4+AW4+AX4+AY4+AZ4+BA4+BC4+BD4+IF(BB4&gt;0,BB4,0)),0))</f>
        <v>3000</v>
      </c>
    </row>
    <row r="5" spans="1:59">
      <c r="A5" s="14" t="s">
        <v>6</v>
      </c>
      <c r="B5" s="17">
        <v>7.0000000000000007E-2</v>
      </c>
      <c r="C5" s="17"/>
    </row>
    <row r="6" spans="1:59">
      <c r="A6" s="14" t="s">
        <v>7</v>
      </c>
      <c r="B6" s="29">
        <v>3000</v>
      </c>
      <c r="C6" s="29"/>
    </row>
    <row r="7" spans="1:59">
      <c r="A7" s="14" t="s">
        <v>8</v>
      </c>
      <c r="B7" s="29">
        <v>1000</v>
      </c>
      <c r="C7" s="29"/>
      <c r="D7" s="29"/>
    </row>
    <row r="8" spans="1:59">
      <c r="B8" s="29"/>
      <c r="C8" s="29"/>
    </row>
    <row r="9" spans="1:59" ht="15.95" thickBot="1">
      <c r="B9" s="19" t="s">
        <v>9</v>
      </c>
      <c r="C9" s="19" t="s">
        <v>10</v>
      </c>
    </row>
    <row r="10" spans="1:59" ht="15.75" customHeight="1">
      <c r="A10" s="20" t="s">
        <v>11</v>
      </c>
      <c r="B10" s="21">
        <f>'Payroll calculation'!AS3+'Payroll calculation'!N3+'Payroll calculation'!S3+'Payroll calculation'!T3+'Payroll calculation'!U3+'Payroll calculation'!V3-'Payroll calculation'!AM3</f>
        <v>45110</v>
      </c>
      <c r="C10" s="77">
        <f>ROUND(B10/$B$17,2)</f>
        <v>1512.39</v>
      </c>
      <c r="D10" s="45"/>
      <c r="E10" s="45"/>
      <c r="F10" s="46"/>
    </row>
    <row r="11" spans="1:59">
      <c r="A11" s="22" t="s">
        <v>12</v>
      </c>
      <c r="B11" s="23">
        <f>SUM('Payroll calculation'!AU3:AZ3,'Payroll calculation'!BB3,'Payroll calculation'!BC3,IF('Payroll calculation'!BA3&lt;0,0,'Payroll calculation'!BA3))</f>
        <v>8525</v>
      </c>
      <c r="C11" s="78">
        <f>ROUND(B11/$B$17,2)</f>
        <v>285.81</v>
      </c>
      <c r="D11" s="47"/>
      <c r="E11" s="47"/>
      <c r="F11" s="48"/>
    </row>
    <row r="12" spans="1:59" ht="15.95" thickBot="1">
      <c r="A12" s="75" t="s">
        <v>13</v>
      </c>
      <c r="B12" s="76">
        <f>'Payroll calculation'!BF3+'Payroll calculation'!BG3</f>
        <v>6141</v>
      </c>
      <c r="C12" s="79">
        <f>ROUND(B12/$B$17,2)</f>
        <v>205.89</v>
      </c>
      <c r="D12" s="47"/>
      <c r="E12" s="49"/>
      <c r="F12" s="48"/>
    </row>
    <row r="13" spans="1:59">
      <c r="A13" s="24" t="s">
        <v>14</v>
      </c>
      <c r="B13" s="25">
        <f>SUM(B10:B12)</f>
        <v>59776</v>
      </c>
      <c r="C13" s="80">
        <f>SUM(C10:C12)</f>
        <v>2004.0900000000001</v>
      </c>
    </row>
    <row r="14" spans="1:59">
      <c r="A14" s="22" t="s">
        <v>15</v>
      </c>
      <c r="B14" s="23">
        <f>ROUND(B13*5%,0)</f>
        <v>2989</v>
      </c>
      <c r="C14" s="78">
        <f>ROUND($C13*0.05,2)</f>
        <v>100.2</v>
      </c>
    </row>
    <row r="15" spans="1:59" ht="15.95" thickBot="1">
      <c r="A15" s="26" t="s">
        <v>16</v>
      </c>
      <c r="B15" s="27">
        <f>B13+B14</f>
        <v>62765</v>
      </c>
      <c r="C15" s="81">
        <f>SUM(C13:C14)</f>
        <v>2104.29</v>
      </c>
    </row>
    <row r="17" spans="1:4">
      <c r="A17" s="14" t="s">
        <v>17</v>
      </c>
      <c r="B17" s="15">
        <v>29.827000000000002</v>
      </c>
    </row>
    <row r="19" spans="1:4">
      <c r="C19" s="82"/>
    </row>
    <row r="20" spans="1:4">
      <c r="C20" s="82"/>
      <c r="D20" s="84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9"/>
  <sheetViews>
    <sheetView tabSelected="1" zoomScaleNormal="100" workbookViewId="0">
      <pane xSplit="3" ySplit="3" topLeftCell="D4" activePane="bottomRight" state="frozen"/>
      <selection pane="bottomRight"/>
      <selection pane="bottomLeft" activeCell="A4" sqref="A4"/>
      <selection pane="topRight" activeCell="E1" sqref="E1"/>
    </sheetView>
  </sheetViews>
  <sheetFormatPr defaultRowHeight="17.100000000000001" outlineLevelCol="1"/>
  <cols>
    <col min="1" max="1" width="8.75" style="2" customWidth="1"/>
    <col min="2" max="2" width="7.625" style="2" bestFit="1" customWidth="1"/>
    <col min="3" max="3" width="12.625" style="2" customWidth="1"/>
    <col min="4" max="4" width="18.75" style="2" bestFit="1" customWidth="1"/>
    <col min="5" max="5" width="8.75" style="2"/>
    <col min="6" max="6" width="9.125" style="2" bestFit="1" customWidth="1"/>
    <col min="7" max="7" width="5.125" style="2" bestFit="1" customWidth="1"/>
    <col min="8" max="11" width="9" style="2" customWidth="1"/>
    <col min="12" max="12" width="10.75" style="2" customWidth="1"/>
    <col min="13" max="13" width="9" style="2" customWidth="1"/>
    <col min="14" max="17" width="8.75" style="2"/>
    <col min="18" max="18" width="9" style="2" customWidth="1"/>
    <col min="19" max="22" width="8.75" style="2"/>
    <col min="23" max="25" width="8.75" style="2" hidden="1" customWidth="1" outlineLevel="1"/>
    <col min="26" max="26" width="9.25" style="2" hidden="1" customWidth="1" outlineLevel="1"/>
    <col min="27" max="30" width="8.75" style="2" hidden="1" customWidth="1" outlineLevel="1"/>
    <col min="31" max="31" width="8.75" style="2" collapsed="1"/>
    <col min="32" max="37" width="8.75" style="2"/>
    <col min="38" max="38" width="11.25" style="2" hidden="1" customWidth="1" outlineLevel="1"/>
    <col min="39" max="39" width="11.75" style="2" customWidth="1" collapsed="1"/>
    <col min="40" max="40" width="11.25" style="2" hidden="1" customWidth="1" outlineLevel="1"/>
    <col min="41" max="41" width="9.75" style="2" customWidth="1" collapsed="1"/>
    <col min="42" max="42" width="11.5" style="2" hidden="1" customWidth="1" outlineLevel="1"/>
    <col min="43" max="43" width="9.375" style="2" customWidth="1" collapsed="1"/>
    <col min="44" max="44" width="8.75" style="2"/>
    <col min="45" max="45" width="8.75" style="2" customWidth="1"/>
    <col min="46" max="46" width="8.75" style="2"/>
    <col min="47" max="47" width="8.75" style="2" customWidth="1"/>
    <col min="48" max="48" width="8.75" style="2" hidden="1" customWidth="1" outlineLevel="1"/>
    <col min="49" max="49" width="8.75" style="2" customWidth="1" collapsed="1"/>
    <col min="50" max="50" width="8.75" style="2" hidden="1" customWidth="1" outlineLevel="1"/>
    <col min="51" max="51" width="8.75" style="2" collapsed="1"/>
    <col min="52" max="52" width="8.75" style="3" hidden="1" customWidth="1" outlineLevel="1"/>
    <col min="53" max="53" width="8.75" style="3" collapsed="1"/>
    <col min="54" max="54" width="8.75" style="2" hidden="1" customWidth="1" outlineLevel="1"/>
    <col min="55" max="55" width="8.75" style="2" customWidth="1" collapsed="1"/>
    <col min="56" max="56" width="8.75" style="2"/>
    <col min="57" max="57" width="8.75" style="2" customWidth="1"/>
    <col min="58" max="58" width="0" hidden="1" customWidth="1"/>
    <col min="59" max="59" width="8.75" hidden="1" customWidth="1"/>
    <col min="60" max="60" width="8.75" style="2"/>
  </cols>
  <sheetData>
    <row r="1" spans="1:60" s="1" customFormat="1" ht="17.100000000000001" customHeight="1" thickBot="1">
      <c r="D1" s="68"/>
      <c r="I1" s="86" t="s">
        <v>18</v>
      </c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8"/>
      <c r="W1" s="86" t="s">
        <v>19</v>
      </c>
      <c r="X1" s="87"/>
      <c r="Y1" s="87"/>
      <c r="Z1" s="87"/>
      <c r="AA1" s="87"/>
      <c r="AB1" s="87"/>
      <c r="AC1" s="87"/>
      <c r="AD1" s="87"/>
      <c r="AE1" s="89" t="s">
        <v>20</v>
      </c>
      <c r="AF1" s="90"/>
      <c r="AG1" s="90"/>
      <c r="AH1" s="90"/>
      <c r="AI1" s="91"/>
      <c r="AJ1" s="86" t="s">
        <v>21</v>
      </c>
      <c r="AK1" s="87"/>
      <c r="AL1" s="87"/>
      <c r="AM1" s="87"/>
      <c r="AN1" s="87"/>
      <c r="AO1" s="87"/>
      <c r="AP1" s="87"/>
      <c r="AQ1" s="87"/>
      <c r="AR1" s="88"/>
      <c r="AS1" s="69"/>
      <c r="AT1" s="70"/>
      <c r="AU1" s="92" t="s">
        <v>22</v>
      </c>
      <c r="AV1" s="93"/>
      <c r="AW1" s="93"/>
      <c r="AX1" s="93"/>
      <c r="AY1" s="93"/>
      <c r="AZ1" s="93"/>
      <c r="BA1" s="93"/>
      <c r="BB1" s="93"/>
      <c r="BC1" s="94"/>
      <c r="BD1" s="71"/>
    </row>
    <row r="2" spans="1:60" s="66" customFormat="1" ht="57.6" customHeight="1" thickBot="1">
      <c r="A2" s="4" t="s">
        <v>23</v>
      </c>
      <c r="B2" s="4" t="s">
        <v>24</v>
      </c>
      <c r="C2" s="4" t="s">
        <v>25</v>
      </c>
      <c r="D2" s="50" t="s">
        <v>26</v>
      </c>
      <c r="E2" s="4" t="s">
        <v>27</v>
      </c>
      <c r="F2" s="4" t="s">
        <v>28</v>
      </c>
      <c r="G2" s="4" t="s">
        <v>29</v>
      </c>
      <c r="H2" s="11" t="s">
        <v>30</v>
      </c>
      <c r="I2" s="51" t="s">
        <v>31</v>
      </c>
      <c r="J2" s="51" t="s">
        <v>32</v>
      </c>
      <c r="K2" s="42" t="s">
        <v>33</v>
      </c>
      <c r="L2" s="5" t="s">
        <v>34</v>
      </c>
      <c r="M2" s="42" t="s">
        <v>35</v>
      </c>
      <c r="N2" s="42" t="s">
        <v>36</v>
      </c>
      <c r="O2" s="42" t="s">
        <v>37</v>
      </c>
      <c r="P2" s="42" t="s">
        <v>38</v>
      </c>
      <c r="Q2" s="42" t="s">
        <v>39</v>
      </c>
      <c r="R2" s="42" t="s">
        <v>40</v>
      </c>
      <c r="S2" s="42" t="s">
        <v>41</v>
      </c>
      <c r="T2" s="42" t="s">
        <v>42</v>
      </c>
      <c r="U2" s="42" t="s">
        <v>43</v>
      </c>
      <c r="V2" s="52" t="s">
        <v>44</v>
      </c>
      <c r="W2" s="53" t="s">
        <v>45</v>
      </c>
      <c r="X2" s="54" t="s">
        <v>46</v>
      </c>
      <c r="Y2" s="54" t="s">
        <v>47</v>
      </c>
      <c r="Z2" s="54" t="s">
        <v>48</v>
      </c>
      <c r="AA2" s="54" t="s">
        <v>49</v>
      </c>
      <c r="AB2" s="54" t="s">
        <v>50</v>
      </c>
      <c r="AC2" s="54" t="s">
        <v>51</v>
      </c>
      <c r="AD2" s="54" t="s">
        <v>52</v>
      </c>
      <c r="AE2" s="55" t="s">
        <v>53</v>
      </c>
      <c r="AF2" s="56" t="s">
        <v>54</v>
      </c>
      <c r="AG2" s="56" t="s">
        <v>55</v>
      </c>
      <c r="AH2" s="56" t="s">
        <v>56</v>
      </c>
      <c r="AI2" s="57" t="s">
        <v>57</v>
      </c>
      <c r="AJ2" s="44" t="s">
        <v>58</v>
      </c>
      <c r="AK2" s="42" t="s">
        <v>59</v>
      </c>
      <c r="AL2" s="42" t="s">
        <v>60</v>
      </c>
      <c r="AM2" s="42" t="s">
        <v>61</v>
      </c>
      <c r="AN2" s="42" t="s">
        <v>62</v>
      </c>
      <c r="AO2" s="42" t="s">
        <v>63</v>
      </c>
      <c r="AP2" s="43" t="s">
        <v>64</v>
      </c>
      <c r="AQ2" s="58" t="s">
        <v>65</v>
      </c>
      <c r="AR2" s="52" t="s">
        <v>66</v>
      </c>
      <c r="AS2" s="59" t="s">
        <v>67</v>
      </c>
      <c r="AT2" s="60" t="s">
        <v>68</v>
      </c>
      <c r="AU2" s="61" t="s">
        <v>69</v>
      </c>
      <c r="AV2" s="62" t="s">
        <v>70</v>
      </c>
      <c r="AW2" s="63" t="s">
        <v>71</v>
      </c>
      <c r="AX2" s="63" t="s">
        <v>72</v>
      </c>
      <c r="AY2" s="63" t="s">
        <v>73</v>
      </c>
      <c r="AZ2" s="63" t="s">
        <v>74</v>
      </c>
      <c r="BA2" s="63" t="s">
        <v>75</v>
      </c>
      <c r="BB2" s="64" t="s">
        <v>76</v>
      </c>
      <c r="BC2" s="65" t="s">
        <v>77</v>
      </c>
      <c r="BD2" s="6" t="s">
        <v>78</v>
      </c>
      <c r="BE2" s="7" t="s">
        <v>79</v>
      </c>
      <c r="BF2" s="6" t="s">
        <v>6</v>
      </c>
      <c r="BG2" s="8" t="s">
        <v>80</v>
      </c>
      <c r="BH2" s="7" t="s">
        <v>81</v>
      </c>
    </row>
    <row r="3" spans="1:60">
      <c r="A3" s="9"/>
      <c r="B3" s="9"/>
      <c r="C3" s="9"/>
      <c r="D3" s="9"/>
      <c r="E3" s="9"/>
      <c r="F3" s="9"/>
      <c r="G3" s="10"/>
      <c r="H3" s="12">
        <f>SUM(H4:H8)</f>
        <v>861</v>
      </c>
      <c r="I3" s="12">
        <f t="shared" ref="I3:BH3" si="0">SUM(I4:I8)</f>
        <v>103</v>
      </c>
      <c r="J3" s="12">
        <f t="shared" si="0"/>
        <v>46263</v>
      </c>
      <c r="K3" s="12">
        <f t="shared" si="0"/>
        <v>0</v>
      </c>
      <c r="L3" s="12">
        <f t="shared" si="0"/>
        <v>0</v>
      </c>
      <c r="M3" s="12">
        <f t="shared" si="0"/>
        <v>0</v>
      </c>
      <c r="N3" s="12">
        <f t="shared" si="0"/>
        <v>0</v>
      </c>
      <c r="O3" s="12">
        <f t="shared" si="0"/>
        <v>5</v>
      </c>
      <c r="P3" s="12">
        <f t="shared" si="0"/>
        <v>-1153</v>
      </c>
      <c r="Q3" s="12">
        <f t="shared" si="0"/>
        <v>0</v>
      </c>
      <c r="R3" s="12">
        <f t="shared" si="0"/>
        <v>0</v>
      </c>
      <c r="S3" s="12">
        <f t="shared" si="0"/>
        <v>0</v>
      </c>
      <c r="T3" s="12">
        <f t="shared" si="0"/>
        <v>0</v>
      </c>
      <c r="U3" s="12">
        <f t="shared" si="0"/>
        <v>0</v>
      </c>
      <c r="V3" s="12">
        <f t="shared" si="0"/>
        <v>0</v>
      </c>
      <c r="W3" s="12">
        <f t="shared" si="0"/>
        <v>0</v>
      </c>
      <c r="X3" s="12">
        <f t="shared" si="0"/>
        <v>0</v>
      </c>
      <c r="Y3" s="12">
        <f t="shared" si="0"/>
        <v>0</v>
      </c>
      <c r="Z3" s="12">
        <f t="shared" si="0"/>
        <v>0</v>
      </c>
      <c r="AA3" s="12">
        <f t="shared" si="0"/>
        <v>0</v>
      </c>
      <c r="AB3" s="12">
        <f t="shared" si="0"/>
        <v>0</v>
      </c>
      <c r="AC3" s="12">
        <f t="shared" si="0"/>
        <v>0</v>
      </c>
      <c r="AD3" s="12">
        <f t="shared" si="0"/>
        <v>0</v>
      </c>
      <c r="AE3" s="12">
        <f t="shared" si="0"/>
        <v>49300</v>
      </c>
      <c r="AF3" s="12">
        <f t="shared" si="0"/>
        <v>46900</v>
      </c>
      <c r="AG3" s="12">
        <f t="shared" si="0"/>
        <v>28590</v>
      </c>
      <c r="AH3" s="12">
        <f t="shared" si="0"/>
        <v>0</v>
      </c>
      <c r="AI3" s="12">
        <f t="shared" si="0"/>
        <v>53</v>
      </c>
      <c r="AJ3" s="12">
        <f t="shared" si="0"/>
        <v>-480</v>
      </c>
      <c r="AK3" s="12">
        <f t="shared" si="0"/>
        <v>-1151</v>
      </c>
      <c r="AL3" s="12">
        <f t="shared" si="0"/>
        <v>0</v>
      </c>
      <c r="AM3" s="12">
        <f t="shared" si="0"/>
        <v>0</v>
      </c>
      <c r="AN3" s="12">
        <f t="shared" si="0"/>
        <v>0</v>
      </c>
      <c r="AO3" s="12">
        <f t="shared" si="0"/>
        <v>-443</v>
      </c>
      <c r="AP3" s="12">
        <f t="shared" si="0"/>
        <v>0</v>
      </c>
      <c r="AQ3" s="12">
        <f t="shared" si="0"/>
        <v>0</v>
      </c>
      <c r="AR3" s="12">
        <f t="shared" si="0"/>
        <v>-783</v>
      </c>
      <c r="AS3" s="12">
        <f t="shared" si="0"/>
        <v>45110</v>
      </c>
      <c r="AT3" s="12">
        <f t="shared" si="0"/>
        <v>42253</v>
      </c>
      <c r="AU3" s="12">
        <f t="shared" si="0"/>
        <v>4105</v>
      </c>
      <c r="AV3" s="12">
        <f t="shared" si="0"/>
        <v>0</v>
      </c>
      <c r="AW3" s="12">
        <f t="shared" si="0"/>
        <v>2452</v>
      </c>
      <c r="AX3" s="12">
        <f t="shared" si="0"/>
        <v>0</v>
      </c>
      <c r="AY3" s="12">
        <f t="shared" si="0"/>
        <v>1384</v>
      </c>
      <c r="AZ3" s="12">
        <f t="shared" si="0"/>
        <v>0</v>
      </c>
      <c r="BA3" s="12">
        <f t="shared" si="0"/>
        <v>349</v>
      </c>
      <c r="BB3" s="12">
        <f t="shared" si="0"/>
        <v>0</v>
      </c>
      <c r="BC3" s="12">
        <f t="shared" si="0"/>
        <v>235</v>
      </c>
      <c r="BD3" s="12">
        <f t="shared" si="0"/>
        <v>45110</v>
      </c>
      <c r="BE3" s="12">
        <f t="shared" si="0"/>
        <v>8525</v>
      </c>
      <c r="BF3" s="12">
        <f t="shared" si="0"/>
        <v>6141</v>
      </c>
      <c r="BG3" s="12">
        <f t="shared" si="0"/>
        <v>0</v>
      </c>
      <c r="BH3" s="12">
        <f t="shared" si="0"/>
        <v>59776</v>
      </c>
    </row>
    <row r="4" spans="1:60" s="1" customFormat="1" ht="12.95">
      <c r="A4" s="1" t="s">
        <v>82</v>
      </c>
      <c r="B4" s="1" t="s">
        <v>83</v>
      </c>
      <c r="C4" s="1" t="s">
        <v>84</v>
      </c>
      <c r="D4" s="1" t="s">
        <v>85</v>
      </c>
      <c r="E4" s="31">
        <v>44137</v>
      </c>
      <c r="F4" s="31"/>
      <c r="G4" s="1" t="s">
        <v>86</v>
      </c>
      <c r="H4" s="28">
        <v>461</v>
      </c>
      <c r="I4" s="67">
        <v>83</v>
      </c>
      <c r="J4" s="74">
        <v>38263</v>
      </c>
      <c r="K4" s="28">
        <v>0</v>
      </c>
      <c r="L4" s="28">
        <v>0</v>
      </c>
      <c r="M4" s="28">
        <v>0</v>
      </c>
      <c r="N4" s="28">
        <v>0</v>
      </c>
      <c r="O4" s="28">
        <v>5</v>
      </c>
      <c r="P4" s="73">
        <v>-1153</v>
      </c>
      <c r="Q4" s="72">
        <v>0</v>
      </c>
      <c r="R4" s="72">
        <v>0</v>
      </c>
      <c r="S4" s="72">
        <v>0</v>
      </c>
      <c r="T4" s="72">
        <v>0</v>
      </c>
      <c r="U4" s="72">
        <v>0</v>
      </c>
      <c r="V4" s="72">
        <v>0</v>
      </c>
      <c r="W4" s="72">
        <v>0</v>
      </c>
      <c r="X4" s="73">
        <v>0</v>
      </c>
      <c r="Y4" s="72">
        <v>0</v>
      </c>
      <c r="Z4" s="73">
        <v>0</v>
      </c>
      <c r="AA4" s="72">
        <v>0</v>
      </c>
      <c r="AB4" s="73">
        <v>0</v>
      </c>
      <c r="AC4" s="72">
        <v>0</v>
      </c>
      <c r="AD4" s="73">
        <v>0</v>
      </c>
      <c r="AE4" s="72">
        <v>38200</v>
      </c>
      <c r="AF4" s="72">
        <v>38200</v>
      </c>
      <c r="AG4" s="72">
        <v>0</v>
      </c>
      <c r="AH4" s="72">
        <v>0</v>
      </c>
      <c r="AI4" s="72">
        <v>30</v>
      </c>
      <c r="AJ4" s="73">
        <v>0</v>
      </c>
      <c r="AK4" s="73">
        <v>-955</v>
      </c>
      <c r="AL4" s="73">
        <v>0</v>
      </c>
      <c r="AM4" s="73">
        <v>0</v>
      </c>
      <c r="AN4" s="73">
        <v>0</v>
      </c>
      <c r="AO4" s="73">
        <v>0</v>
      </c>
      <c r="AP4" s="73">
        <v>0</v>
      </c>
      <c r="AQ4" s="73">
        <v>0</v>
      </c>
      <c r="AR4" s="73">
        <v>-783</v>
      </c>
      <c r="AS4" s="72">
        <v>37110</v>
      </c>
      <c r="AT4" s="72">
        <v>35372</v>
      </c>
      <c r="AU4" s="73">
        <v>3394</v>
      </c>
      <c r="AV4" s="73">
        <v>0</v>
      </c>
      <c r="AW4" s="73">
        <v>2292</v>
      </c>
      <c r="AX4" s="73">
        <v>0</v>
      </c>
      <c r="AY4" s="73">
        <v>0</v>
      </c>
      <c r="AZ4" s="73">
        <v>0</v>
      </c>
      <c r="BA4" s="73">
        <v>783</v>
      </c>
      <c r="BB4" s="73">
        <v>0</v>
      </c>
      <c r="BC4" s="73">
        <v>133</v>
      </c>
      <c r="BD4" s="72">
        <v>37110</v>
      </c>
      <c r="BE4" s="72">
        <v>6602</v>
      </c>
      <c r="BF4" s="72">
        <v>3141</v>
      </c>
      <c r="BG4" s="1">
        <v>0</v>
      </c>
      <c r="BH4" s="72">
        <v>46853</v>
      </c>
    </row>
    <row r="5" spans="1:60" s="1" customFormat="1" ht="12.95">
      <c r="A5" s="1" t="s">
        <v>82</v>
      </c>
      <c r="C5" s="1" t="s">
        <v>87</v>
      </c>
      <c r="D5" s="1" t="s">
        <v>88</v>
      </c>
      <c r="E5" s="31">
        <v>45816</v>
      </c>
      <c r="F5" s="95"/>
      <c r="G5" s="1" t="s">
        <v>86</v>
      </c>
      <c r="H5" s="28">
        <v>400</v>
      </c>
      <c r="I5" s="67">
        <v>20</v>
      </c>
      <c r="J5" s="74">
        <v>8000</v>
      </c>
      <c r="K5" s="28">
        <v>0</v>
      </c>
      <c r="L5" s="28">
        <v>0</v>
      </c>
      <c r="M5" s="28">
        <v>0</v>
      </c>
      <c r="N5" s="28">
        <v>0</v>
      </c>
      <c r="O5" s="28">
        <v>0</v>
      </c>
      <c r="P5" s="73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83">
        <v>0</v>
      </c>
      <c r="X5" s="73">
        <v>0</v>
      </c>
      <c r="Y5" s="83">
        <v>0</v>
      </c>
      <c r="Z5" s="73">
        <v>0</v>
      </c>
      <c r="AA5" s="72">
        <v>0</v>
      </c>
      <c r="AB5" s="73">
        <v>0</v>
      </c>
      <c r="AC5" s="85">
        <v>0</v>
      </c>
      <c r="AD5" s="73">
        <v>0</v>
      </c>
      <c r="AE5" s="72">
        <v>11100</v>
      </c>
      <c r="AF5" s="72">
        <v>8700</v>
      </c>
      <c r="AG5" s="72">
        <v>28590</v>
      </c>
      <c r="AH5" s="72">
        <v>0</v>
      </c>
      <c r="AI5" s="72">
        <v>23</v>
      </c>
      <c r="AJ5" s="73">
        <v>-480</v>
      </c>
      <c r="AK5" s="73">
        <v>-196</v>
      </c>
      <c r="AL5" s="73">
        <v>0</v>
      </c>
      <c r="AM5" s="73">
        <v>0</v>
      </c>
      <c r="AN5" s="73">
        <v>0</v>
      </c>
      <c r="AO5" s="73">
        <v>-443</v>
      </c>
      <c r="AP5" s="73">
        <v>0</v>
      </c>
      <c r="AQ5" s="73">
        <v>0</v>
      </c>
      <c r="AR5" s="73">
        <v>0</v>
      </c>
      <c r="AS5" s="72">
        <v>8000</v>
      </c>
      <c r="AT5" s="72">
        <v>6881</v>
      </c>
      <c r="AU5" s="73">
        <v>711</v>
      </c>
      <c r="AV5" s="73">
        <v>0</v>
      </c>
      <c r="AW5" s="73">
        <v>160</v>
      </c>
      <c r="AX5" s="73">
        <v>0</v>
      </c>
      <c r="AY5" s="73">
        <v>1384</v>
      </c>
      <c r="AZ5" s="73">
        <v>0</v>
      </c>
      <c r="BA5" s="73">
        <v>-434</v>
      </c>
      <c r="BB5" s="73">
        <v>0</v>
      </c>
      <c r="BC5" s="73">
        <v>102</v>
      </c>
      <c r="BD5" s="72">
        <v>8000</v>
      </c>
      <c r="BE5" s="72">
        <v>1923</v>
      </c>
      <c r="BF5" s="72">
        <v>3000</v>
      </c>
      <c r="BG5" s="1">
        <v>0</v>
      </c>
      <c r="BH5" s="72">
        <v>12923</v>
      </c>
    </row>
    <row r="6" spans="1:60">
      <c r="A6" s="1"/>
      <c r="G6" s="1"/>
      <c r="H6" s="28"/>
      <c r="I6" s="28"/>
      <c r="J6" s="28"/>
      <c r="K6" s="28"/>
      <c r="L6" s="28"/>
      <c r="M6" s="28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28"/>
      <c r="AM6" s="28"/>
      <c r="AN6" s="28"/>
      <c r="AO6" s="28"/>
      <c r="AP6" s="28"/>
      <c r="AQ6" s="41"/>
      <c r="AR6" s="41"/>
      <c r="AS6" s="41"/>
      <c r="AT6" s="41"/>
      <c r="AU6" s="41"/>
      <c r="AV6" s="41"/>
      <c r="AW6" s="41"/>
      <c r="AX6" s="41"/>
      <c r="AY6" s="41"/>
      <c r="AZ6" s="13"/>
      <c r="BA6" s="13"/>
      <c r="BB6" s="41"/>
      <c r="BC6" s="41"/>
      <c r="BD6" s="41"/>
      <c r="BE6" s="41"/>
      <c r="BF6" s="41"/>
      <c r="BG6" s="41"/>
      <c r="BH6" s="41"/>
    </row>
    <row r="7" spans="1:60">
      <c r="A7" s="1"/>
      <c r="G7" s="1"/>
      <c r="H7" s="28"/>
      <c r="I7" s="28"/>
      <c r="J7" s="28"/>
      <c r="K7" s="28"/>
      <c r="L7" s="28"/>
      <c r="M7" s="28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28"/>
      <c r="AM7" s="28"/>
      <c r="AN7" s="28"/>
      <c r="AO7" s="28"/>
      <c r="AP7" s="28"/>
      <c r="AQ7" s="41"/>
      <c r="AR7" s="41"/>
      <c r="AS7" s="41"/>
      <c r="AT7" s="41"/>
      <c r="AU7" s="41"/>
      <c r="AV7" s="41"/>
      <c r="AW7" s="41"/>
      <c r="AX7" s="41"/>
      <c r="AY7" s="41"/>
      <c r="AZ7" s="13"/>
      <c r="BA7" s="13"/>
      <c r="BB7" s="41"/>
      <c r="BC7" s="41"/>
      <c r="BD7" s="41"/>
      <c r="BE7" s="41"/>
      <c r="BF7" s="41"/>
      <c r="BG7" s="41"/>
      <c r="BH7" s="41"/>
    </row>
    <row r="8" spans="1:60">
      <c r="A8" s="1"/>
      <c r="G8" s="1"/>
      <c r="H8" s="28"/>
      <c r="I8" s="28"/>
      <c r="J8" s="28"/>
      <c r="K8" s="28"/>
      <c r="L8" s="28"/>
      <c r="M8" s="28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28"/>
      <c r="AM8" s="28"/>
      <c r="AN8" s="28"/>
      <c r="AO8" s="28"/>
      <c r="AP8" s="28"/>
      <c r="AQ8" s="41"/>
      <c r="AR8" s="41"/>
      <c r="AS8" s="41"/>
      <c r="AT8" s="41"/>
      <c r="AU8" s="41"/>
      <c r="AV8" s="41"/>
      <c r="AW8" s="41"/>
      <c r="AX8" s="41"/>
      <c r="AY8" s="41"/>
      <c r="AZ8" s="13"/>
      <c r="BA8" s="13"/>
      <c r="BB8" s="41"/>
      <c r="BC8" s="41"/>
      <c r="BD8" s="41"/>
      <c r="BE8" s="41"/>
      <c r="BF8" s="41"/>
      <c r="BG8" s="41"/>
      <c r="BH8" s="41"/>
    </row>
    <row r="9" spans="1:60">
      <c r="A9" s="1"/>
      <c r="G9" s="1"/>
      <c r="H9" s="28"/>
      <c r="I9" s="28"/>
      <c r="J9" s="28"/>
      <c r="K9" s="28"/>
      <c r="L9" s="28"/>
      <c r="M9" s="28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28"/>
      <c r="AM9" s="28"/>
      <c r="AN9" s="28"/>
      <c r="AO9" s="28"/>
      <c r="AP9" s="28"/>
      <c r="AQ9" s="41"/>
      <c r="AR9" s="41"/>
      <c r="AS9" s="41"/>
      <c r="AT9" s="41"/>
      <c r="AU9" s="41"/>
      <c r="AV9" s="41"/>
      <c r="AW9" s="41"/>
      <c r="AX9" s="41"/>
      <c r="AY9" s="41"/>
      <c r="AZ9" s="13"/>
      <c r="BA9" s="13"/>
      <c r="BB9" s="41"/>
      <c r="BC9" s="41"/>
      <c r="BD9" s="41"/>
      <c r="BE9" s="41"/>
      <c r="BF9" s="41"/>
      <c r="BG9" s="41"/>
      <c r="BH9" s="41"/>
    </row>
  </sheetData>
  <phoneticPr fontId="2" type="noConversion"/>
  <pageMargins left="0.7" right="0.7" top="0.75" bottom="0.75" header="0.3" footer="0.3"/>
  <pageSetup paperSize="9" orientation="portrait" r:id="rId1"/>
  <colBreaks count="1" manualBreakCount="1">
    <brk id="2" max="1048575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0"/>
  <sheetViews>
    <sheetView zoomScaleNormal="100" workbookViewId="0">
      <selection activeCell="C41" sqref="C41"/>
    </sheetView>
  </sheetViews>
  <sheetFormatPr defaultRowHeight="17.100000000000001"/>
  <sheetData>
    <row r="1" spans="1:9">
      <c r="A1" s="32" t="s">
        <v>89</v>
      </c>
      <c r="B1" s="33"/>
      <c r="C1" s="32"/>
      <c r="D1" s="32"/>
      <c r="E1" s="32"/>
      <c r="F1" s="34"/>
      <c r="G1" s="32"/>
      <c r="H1" s="32"/>
      <c r="I1" s="32"/>
    </row>
    <row r="2" spans="1:9">
      <c r="A2" s="32"/>
      <c r="B2" s="33"/>
      <c r="C2" s="32"/>
      <c r="D2" s="32"/>
      <c r="E2" s="32"/>
      <c r="F2" s="34" t="s">
        <v>90</v>
      </c>
      <c r="G2" s="32" t="s">
        <v>91</v>
      </c>
      <c r="H2" s="34" t="s">
        <v>92</v>
      </c>
      <c r="I2" s="32" t="s">
        <v>93</v>
      </c>
    </row>
    <row r="3" spans="1:9">
      <c r="A3" s="32"/>
      <c r="B3" s="33"/>
      <c r="C3" s="32" t="s">
        <v>94</v>
      </c>
      <c r="D3" s="32"/>
      <c r="E3" s="32"/>
      <c r="F3" s="34"/>
      <c r="G3" s="116" t="s">
        <v>94</v>
      </c>
      <c r="H3" s="117"/>
      <c r="I3" s="117"/>
    </row>
    <row r="4" spans="1:9">
      <c r="A4" s="35"/>
      <c r="B4" s="33"/>
      <c r="C4" s="108" t="s">
        <v>95</v>
      </c>
      <c r="D4" s="109"/>
      <c r="E4" s="110"/>
      <c r="F4" s="34"/>
      <c r="G4" s="108" t="s">
        <v>96</v>
      </c>
      <c r="H4" s="109"/>
      <c r="I4" s="110"/>
    </row>
    <row r="5" spans="1:9">
      <c r="A5" s="32" t="s">
        <v>97</v>
      </c>
      <c r="B5" s="33"/>
      <c r="C5" s="32" t="s">
        <v>97</v>
      </c>
      <c r="D5" s="32" t="s">
        <v>98</v>
      </c>
      <c r="E5" s="32" t="s">
        <v>99</v>
      </c>
      <c r="F5" s="36"/>
      <c r="G5" s="32" t="s">
        <v>97</v>
      </c>
      <c r="H5" s="32" t="s">
        <v>98</v>
      </c>
      <c r="I5" s="32" t="s">
        <v>99</v>
      </c>
    </row>
    <row r="6" spans="1:9">
      <c r="A6" s="37">
        <v>11100</v>
      </c>
      <c r="B6" s="33">
        <v>1</v>
      </c>
      <c r="C6" s="37">
        <v>11100</v>
      </c>
      <c r="D6" s="37">
        <v>0</v>
      </c>
      <c r="E6" s="37">
        <v>0</v>
      </c>
      <c r="F6" s="34">
        <v>1</v>
      </c>
      <c r="G6" s="37">
        <v>11100</v>
      </c>
      <c r="H6" s="37">
        <v>277</v>
      </c>
      <c r="I6" s="37">
        <v>1006</v>
      </c>
    </row>
    <row r="7" spans="1:9">
      <c r="A7" s="37">
        <v>12540</v>
      </c>
      <c r="B7" s="33">
        <v>2</v>
      </c>
      <c r="C7" s="37">
        <v>12540</v>
      </c>
      <c r="D7" s="37">
        <v>0</v>
      </c>
      <c r="E7" s="37">
        <v>0</v>
      </c>
      <c r="F7" s="34">
        <v>2</v>
      </c>
      <c r="G7" s="37">
        <v>12540</v>
      </c>
      <c r="H7" s="37">
        <v>313</v>
      </c>
      <c r="I7" s="37">
        <v>1131</v>
      </c>
    </row>
    <row r="8" spans="1:9">
      <c r="A8" s="37">
        <v>13500</v>
      </c>
      <c r="B8" s="33">
        <v>3</v>
      </c>
      <c r="C8" s="37">
        <v>13500</v>
      </c>
      <c r="D8" s="37">
        <v>0</v>
      </c>
      <c r="E8" s="37">
        <v>0</v>
      </c>
      <c r="F8" s="34">
        <v>3</v>
      </c>
      <c r="G8" s="37">
        <v>13500</v>
      </c>
      <c r="H8" s="37">
        <v>338</v>
      </c>
      <c r="I8" s="37">
        <v>1216</v>
      </c>
    </row>
    <row r="9" spans="1:9">
      <c r="A9" s="37">
        <v>15840</v>
      </c>
      <c r="B9" s="33">
        <v>4</v>
      </c>
      <c r="C9" s="37">
        <v>15840</v>
      </c>
      <c r="D9" s="37">
        <v>0</v>
      </c>
      <c r="E9" s="37">
        <v>0</v>
      </c>
      <c r="F9" s="34">
        <v>4</v>
      </c>
      <c r="G9" s="37">
        <v>15840</v>
      </c>
      <c r="H9" s="37">
        <v>396</v>
      </c>
      <c r="I9" s="37">
        <v>1421</v>
      </c>
    </row>
    <row r="10" spans="1:9">
      <c r="A10" s="37">
        <v>16500</v>
      </c>
      <c r="B10" s="33">
        <v>5</v>
      </c>
      <c r="C10" s="37">
        <v>16500</v>
      </c>
      <c r="D10" s="37">
        <v>0</v>
      </c>
      <c r="E10" s="37">
        <v>0</v>
      </c>
      <c r="F10" s="34">
        <v>5</v>
      </c>
      <c r="G10" s="37">
        <v>16500</v>
      </c>
      <c r="H10" s="37">
        <v>413</v>
      </c>
      <c r="I10" s="37">
        <v>1479</v>
      </c>
    </row>
    <row r="11" spans="1:9">
      <c r="A11" s="37">
        <v>17280</v>
      </c>
      <c r="B11" s="33">
        <v>6</v>
      </c>
      <c r="C11" s="37">
        <v>17280</v>
      </c>
      <c r="D11" s="37">
        <v>0</v>
      </c>
      <c r="E11" s="37">
        <v>0</v>
      </c>
      <c r="F11" s="34">
        <v>6</v>
      </c>
      <c r="G11" s="37">
        <v>17280</v>
      </c>
      <c r="H11" s="37">
        <v>432</v>
      </c>
      <c r="I11" s="37">
        <v>1547</v>
      </c>
    </row>
    <row r="12" spans="1:9">
      <c r="A12" s="37">
        <v>17880</v>
      </c>
      <c r="B12" s="33">
        <v>7</v>
      </c>
      <c r="C12" s="37">
        <v>17880</v>
      </c>
      <c r="D12" s="37">
        <v>0</v>
      </c>
      <c r="E12" s="37">
        <v>0</v>
      </c>
      <c r="F12" s="34">
        <v>7</v>
      </c>
      <c r="G12" s="37">
        <v>17880</v>
      </c>
      <c r="H12" s="37">
        <v>447</v>
      </c>
      <c r="I12" s="37">
        <v>1599</v>
      </c>
    </row>
    <row r="13" spans="1:9">
      <c r="A13" s="37">
        <v>19047</v>
      </c>
      <c r="B13" s="33">
        <v>8</v>
      </c>
      <c r="C13" s="37">
        <v>19047</v>
      </c>
      <c r="D13" s="37">
        <v>0</v>
      </c>
      <c r="E13" s="37">
        <v>0</v>
      </c>
      <c r="F13" s="34">
        <v>8</v>
      </c>
      <c r="G13" s="37">
        <v>19047</v>
      </c>
      <c r="H13" s="37">
        <v>476</v>
      </c>
      <c r="I13" s="37">
        <v>1702</v>
      </c>
    </row>
    <row r="14" spans="1:9">
      <c r="A14" s="37">
        <v>20008</v>
      </c>
      <c r="B14" s="33">
        <v>9</v>
      </c>
      <c r="C14" s="37">
        <v>20008</v>
      </c>
      <c r="D14" s="37">
        <v>0</v>
      </c>
      <c r="E14" s="37">
        <v>0</v>
      </c>
      <c r="F14" s="34">
        <v>9</v>
      </c>
      <c r="G14" s="37">
        <v>20008</v>
      </c>
      <c r="H14" s="37">
        <v>500</v>
      </c>
      <c r="I14" s="37">
        <v>1787</v>
      </c>
    </row>
    <row r="15" spans="1:9">
      <c r="A15" s="37">
        <v>21009</v>
      </c>
      <c r="B15" s="33">
        <v>10</v>
      </c>
      <c r="C15" s="37">
        <v>21009</v>
      </c>
      <c r="D15" s="37">
        <v>0</v>
      </c>
      <c r="E15" s="37">
        <v>0</v>
      </c>
      <c r="F15" s="34">
        <v>10</v>
      </c>
      <c r="G15" s="37">
        <v>21009</v>
      </c>
      <c r="H15" s="37">
        <v>525</v>
      </c>
      <c r="I15" s="37">
        <v>1874</v>
      </c>
    </row>
    <row r="16" spans="1:9">
      <c r="A16" s="37">
        <v>22000</v>
      </c>
      <c r="B16" s="33">
        <v>11</v>
      </c>
      <c r="C16" s="37">
        <v>22000</v>
      </c>
      <c r="D16" s="37">
        <v>0</v>
      </c>
      <c r="E16" s="37">
        <v>0</v>
      </c>
      <c r="F16" s="34">
        <v>11</v>
      </c>
      <c r="G16" s="37">
        <v>22000</v>
      </c>
      <c r="H16" s="37">
        <v>550</v>
      </c>
      <c r="I16" s="37">
        <v>1962</v>
      </c>
    </row>
    <row r="17" spans="1:9">
      <c r="A17" s="37">
        <v>23100</v>
      </c>
      <c r="B17" s="33">
        <v>12</v>
      </c>
      <c r="C17" s="37">
        <v>23100</v>
      </c>
      <c r="D17" s="37">
        <v>0</v>
      </c>
      <c r="E17" s="37">
        <v>0</v>
      </c>
      <c r="F17" s="34">
        <v>12</v>
      </c>
      <c r="G17" s="37">
        <v>23100</v>
      </c>
      <c r="H17" s="37">
        <v>577</v>
      </c>
      <c r="I17" s="37">
        <v>2059</v>
      </c>
    </row>
    <row r="18" spans="1:9">
      <c r="A18" s="37">
        <v>24000</v>
      </c>
      <c r="B18" s="33">
        <v>13</v>
      </c>
      <c r="C18" s="37">
        <v>24000</v>
      </c>
      <c r="D18" s="37">
        <v>0</v>
      </c>
      <c r="E18" s="37">
        <v>0</v>
      </c>
      <c r="F18" s="34">
        <v>13</v>
      </c>
      <c r="G18" s="37">
        <v>24000</v>
      </c>
      <c r="H18" s="37">
        <v>600</v>
      </c>
      <c r="I18" s="37">
        <v>2137</v>
      </c>
    </row>
    <row r="19" spans="1:9">
      <c r="A19" s="37">
        <v>25250</v>
      </c>
      <c r="B19" s="33">
        <v>14</v>
      </c>
      <c r="C19" s="37">
        <v>25250</v>
      </c>
      <c r="D19" s="37">
        <v>0</v>
      </c>
      <c r="E19" s="37">
        <v>0</v>
      </c>
      <c r="F19" s="34">
        <v>14</v>
      </c>
      <c r="G19" s="37">
        <v>25250</v>
      </c>
      <c r="H19" s="37">
        <v>632</v>
      </c>
      <c r="I19" s="37">
        <v>2247</v>
      </c>
    </row>
    <row r="20" spans="1:9" s="39" customFormat="1">
      <c r="A20" s="37">
        <v>26400</v>
      </c>
      <c r="B20" s="33">
        <v>15</v>
      </c>
      <c r="C20" s="37">
        <v>26400</v>
      </c>
      <c r="D20" s="37">
        <v>0</v>
      </c>
      <c r="E20" s="37">
        <v>0</v>
      </c>
      <c r="F20" s="34">
        <v>15</v>
      </c>
      <c r="G20" s="37">
        <v>26400</v>
      </c>
      <c r="H20" s="37">
        <v>660</v>
      </c>
      <c r="I20" s="37">
        <v>2348</v>
      </c>
    </row>
    <row r="21" spans="1:9">
      <c r="A21" s="37">
        <v>27600</v>
      </c>
      <c r="B21" s="33">
        <v>16</v>
      </c>
      <c r="C21" s="37">
        <v>27600</v>
      </c>
      <c r="D21" s="37">
        <v>0</v>
      </c>
      <c r="E21" s="37">
        <v>0</v>
      </c>
      <c r="F21" s="34">
        <v>16</v>
      </c>
      <c r="G21" s="37">
        <v>27600</v>
      </c>
      <c r="H21" s="37">
        <v>690</v>
      </c>
      <c r="I21" s="37">
        <v>2453</v>
      </c>
    </row>
    <row r="22" spans="1:9" s="39" customFormat="1">
      <c r="A22" s="38">
        <v>28590</v>
      </c>
      <c r="B22" s="33">
        <v>17</v>
      </c>
      <c r="C22" s="38">
        <v>28590</v>
      </c>
      <c r="D22" s="38">
        <v>443</v>
      </c>
      <c r="E22" s="38">
        <v>1384</v>
      </c>
      <c r="F22" s="34">
        <v>17</v>
      </c>
      <c r="G22" s="38">
        <v>28590</v>
      </c>
      <c r="H22" s="38">
        <v>715</v>
      </c>
      <c r="I22" s="38">
        <v>2539</v>
      </c>
    </row>
    <row r="23" spans="1:9">
      <c r="A23" s="37">
        <v>28800</v>
      </c>
      <c r="B23" s="33">
        <v>18</v>
      </c>
      <c r="C23" s="37">
        <v>28800</v>
      </c>
      <c r="D23" s="37">
        <v>447</v>
      </c>
      <c r="E23" s="37">
        <v>1394</v>
      </c>
      <c r="F23" s="34">
        <v>18</v>
      </c>
      <c r="G23" s="37">
        <v>28800</v>
      </c>
      <c r="H23" s="37">
        <v>720</v>
      </c>
      <c r="I23" s="37">
        <v>2559</v>
      </c>
    </row>
    <row r="24" spans="1:9">
      <c r="A24" s="37">
        <v>30300</v>
      </c>
      <c r="B24" s="33">
        <v>19</v>
      </c>
      <c r="C24" s="37">
        <v>30300</v>
      </c>
      <c r="D24" s="37">
        <v>470</v>
      </c>
      <c r="E24" s="37">
        <v>1466</v>
      </c>
      <c r="F24" s="34">
        <v>19</v>
      </c>
      <c r="G24" s="37">
        <v>30300</v>
      </c>
      <c r="H24" s="37">
        <v>758</v>
      </c>
      <c r="I24" s="37">
        <v>2692</v>
      </c>
    </row>
    <row r="25" spans="1:9">
      <c r="A25" s="37">
        <v>31800</v>
      </c>
      <c r="B25" s="33">
        <v>20</v>
      </c>
      <c r="C25" s="37">
        <v>31800</v>
      </c>
      <c r="D25" s="37">
        <v>493</v>
      </c>
      <c r="E25" s="37">
        <v>1539</v>
      </c>
      <c r="F25" s="34">
        <v>20</v>
      </c>
      <c r="G25" s="37">
        <v>31800</v>
      </c>
      <c r="H25" s="37">
        <v>795</v>
      </c>
      <c r="I25" s="37">
        <v>2826</v>
      </c>
    </row>
    <row r="26" spans="1:9">
      <c r="A26" s="37">
        <v>33300</v>
      </c>
      <c r="B26" s="33">
        <v>21</v>
      </c>
      <c r="C26" s="37">
        <v>33300</v>
      </c>
      <c r="D26" s="37">
        <v>516</v>
      </c>
      <c r="E26" s="37">
        <v>1611</v>
      </c>
      <c r="F26" s="34">
        <v>21</v>
      </c>
      <c r="G26" s="37">
        <v>33300</v>
      </c>
      <c r="H26" s="37">
        <v>833</v>
      </c>
      <c r="I26" s="37">
        <v>2959</v>
      </c>
    </row>
    <row r="27" spans="1:9">
      <c r="A27" s="37">
        <v>34800</v>
      </c>
      <c r="B27" s="33">
        <v>22</v>
      </c>
      <c r="C27" s="37">
        <v>34800</v>
      </c>
      <c r="D27" s="37">
        <v>540</v>
      </c>
      <c r="E27" s="37">
        <v>1684</v>
      </c>
      <c r="F27" s="34">
        <v>22</v>
      </c>
      <c r="G27" s="37">
        <v>34800</v>
      </c>
      <c r="H27" s="37">
        <v>870</v>
      </c>
      <c r="I27" s="37">
        <v>3092</v>
      </c>
    </row>
    <row r="28" spans="1:9">
      <c r="A28" s="37">
        <v>36300</v>
      </c>
      <c r="B28" s="33">
        <v>23</v>
      </c>
      <c r="C28" s="37">
        <v>36300</v>
      </c>
      <c r="D28" s="37">
        <v>563</v>
      </c>
      <c r="E28" s="37">
        <v>1757</v>
      </c>
      <c r="F28" s="34">
        <v>23</v>
      </c>
      <c r="G28" s="37">
        <v>36300</v>
      </c>
      <c r="H28" s="37">
        <v>908</v>
      </c>
      <c r="I28" s="37">
        <v>3225</v>
      </c>
    </row>
    <row r="29" spans="1:9">
      <c r="A29" s="37">
        <v>38200</v>
      </c>
      <c r="B29" s="33">
        <v>24</v>
      </c>
      <c r="C29" s="37">
        <v>38200</v>
      </c>
      <c r="D29" s="37">
        <v>592</v>
      </c>
      <c r="E29" s="37">
        <v>1849</v>
      </c>
      <c r="F29" s="34">
        <v>24</v>
      </c>
      <c r="G29" s="37">
        <v>38200</v>
      </c>
      <c r="H29" s="37">
        <v>955</v>
      </c>
      <c r="I29" s="37">
        <v>3394</v>
      </c>
    </row>
    <row r="30" spans="1:9">
      <c r="A30" s="37">
        <v>40100</v>
      </c>
      <c r="B30" s="33">
        <v>25</v>
      </c>
      <c r="C30" s="37">
        <v>40100</v>
      </c>
      <c r="D30" s="37">
        <v>622</v>
      </c>
      <c r="E30" s="37">
        <v>1940</v>
      </c>
      <c r="F30" s="34">
        <v>25</v>
      </c>
      <c r="G30" s="37">
        <v>40100</v>
      </c>
      <c r="H30" s="37">
        <v>1002</v>
      </c>
      <c r="I30" s="37">
        <v>3563</v>
      </c>
    </row>
    <row r="31" spans="1:9">
      <c r="A31" s="37">
        <v>42000</v>
      </c>
      <c r="B31" s="33">
        <v>26</v>
      </c>
      <c r="C31" s="37">
        <v>42000</v>
      </c>
      <c r="D31" s="37">
        <v>651</v>
      </c>
      <c r="E31" s="37">
        <v>2032</v>
      </c>
      <c r="F31" s="34">
        <v>26</v>
      </c>
      <c r="G31" s="37">
        <v>42000</v>
      </c>
      <c r="H31" s="37">
        <v>1050</v>
      </c>
      <c r="I31" s="37">
        <v>3732</v>
      </c>
    </row>
    <row r="32" spans="1:9">
      <c r="A32" s="37">
        <v>43900</v>
      </c>
      <c r="B32" s="33">
        <v>27</v>
      </c>
      <c r="C32" s="37">
        <v>43900</v>
      </c>
      <c r="D32" s="37">
        <v>681</v>
      </c>
      <c r="E32" s="37">
        <v>2124</v>
      </c>
      <c r="F32" s="34">
        <v>27</v>
      </c>
      <c r="G32" s="37">
        <v>43900</v>
      </c>
      <c r="H32" s="37">
        <v>1098</v>
      </c>
      <c r="I32" s="37">
        <v>3900</v>
      </c>
    </row>
    <row r="33" spans="1:9" s="39" customFormat="1">
      <c r="A33" s="38">
        <v>45800</v>
      </c>
      <c r="B33" s="33">
        <v>28</v>
      </c>
      <c r="C33" s="38">
        <v>45800</v>
      </c>
      <c r="D33" s="38">
        <v>710</v>
      </c>
      <c r="E33" s="38">
        <v>2216</v>
      </c>
      <c r="F33" s="34">
        <v>28</v>
      </c>
      <c r="G33" s="38">
        <v>45800</v>
      </c>
      <c r="H33" s="38">
        <v>1145</v>
      </c>
      <c r="I33" s="38">
        <v>4069</v>
      </c>
    </row>
    <row r="34" spans="1:9">
      <c r="A34" s="40">
        <v>48200</v>
      </c>
      <c r="B34" s="33">
        <v>29</v>
      </c>
      <c r="C34" s="40">
        <v>48200</v>
      </c>
      <c r="D34" s="40">
        <v>748</v>
      </c>
      <c r="E34" s="40">
        <v>2332</v>
      </c>
      <c r="F34" s="34">
        <v>29</v>
      </c>
      <c r="G34" s="40">
        <v>48200</v>
      </c>
      <c r="H34" s="40">
        <v>1145</v>
      </c>
      <c r="I34" s="40">
        <v>4072</v>
      </c>
    </row>
    <row r="35" spans="1:9">
      <c r="A35" s="40">
        <v>50600</v>
      </c>
      <c r="B35" s="33">
        <v>30</v>
      </c>
      <c r="C35" s="40">
        <v>50600</v>
      </c>
      <c r="D35" s="40">
        <v>785</v>
      </c>
      <c r="E35" s="40">
        <v>2449</v>
      </c>
      <c r="F35" s="34">
        <v>30</v>
      </c>
      <c r="G35" s="40">
        <v>50600</v>
      </c>
      <c r="H35" s="40">
        <v>1145</v>
      </c>
      <c r="I35" s="40">
        <v>4075</v>
      </c>
    </row>
    <row r="36" spans="1:9">
      <c r="A36" s="40">
        <v>53000</v>
      </c>
      <c r="B36" s="33">
        <v>31</v>
      </c>
      <c r="C36" s="40">
        <v>53000</v>
      </c>
      <c r="D36" s="40">
        <v>822</v>
      </c>
      <c r="E36" s="40">
        <v>2565</v>
      </c>
      <c r="F36" s="34">
        <v>31</v>
      </c>
      <c r="G36" s="40">
        <v>53000</v>
      </c>
      <c r="H36" s="40">
        <v>1145</v>
      </c>
      <c r="I36" s="40">
        <v>4077</v>
      </c>
    </row>
    <row r="37" spans="1:9">
      <c r="A37" s="40">
        <v>55400</v>
      </c>
      <c r="B37" s="33">
        <v>32</v>
      </c>
      <c r="C37" s="40">
        <v>55400</v>
      </c>
      <c r="D37" s="40">
        <v>859</v>
      </c>
      <c r="E37" s="40">
        <v>2681</v>
      </c>
      <c r="F37" s="34">
        <v>32</v>
      </c>
      <c r="G37" s="40">
        <v>55400</v>
      </c>
      <c r="H37" s="40">
        <v>1145</v>
      </c>
      <c r="I37" s="40">
        <v>4080</v>
      </c>
    </row>
    <row r="38" spans="1:9">
      <c r="A38" s="40">
        <v>57800</v>
      </c>
      <c r="B38" s="33">
        <v>33</v>
      </c>
      <c r="C38" s="40">
        <v>57800</v>
      </c>
      <c r="D38" s="40">
        <v>896</v>
      </c>
      <c r="E38" s="40">
        <v>2797</v>
      </c>
      <c r="F38" s="34">
        <v>33</v>
      </c>
      <c r="G38" s="40">
        <v>57800</v>
      </c>
      <c r="H38" s="40">
        <v>1145</v>
      </c>
      <c r="I38" s="40">
        <v>4083</v>
      </c>
    </row>
    <row r="39" spans="1:9">
      <c r="A39" s="40">
        <v>60800</v>
      </c>
      <c r="B39" s="33">
        <v>34</v>
      </c>
      <c r="C39" s="40">
        <v>60800</v>
      </c>
      <c r="D39" s="40">
        <v>943</v>
      </c>
      <c r="E39" s="40">
        <v>2942</v>
      </c>
      <c r="F39" s="34">
        <v>34</v>
      </c>
      <c r="G39" s="40">
        <v>60800</v>
      </c>
      <c r="H39" s="40">
        <v>1145</v>
      </c>
      <c r="I39" s="40">
        <v>4086</v>
      </c>
    </row>
    <row r="40" spans="1:9">
      <c r="A40" s="40">
        <v>63800</v>
      </c>
      <c r="B40" s="33">
        <v>35</v>
      </c>
      <c r="C40" s="40">
        <v>63800</v>
      </c>
      <c r="D40" s="40">
        <v>990</v>
      </c>
      <c r="E40" s="40">
        <v>3087</v>
      </c>
      <c r="F40" s="34">
        <v>35</v>
      </c>
      <c r="G40" s="40">
        <v>63800</v>
      </c>
      <c r="H40" s="40">
        <v>1145</v>
      </c>
      <c r="I40" s="40">
        <v>4089</v>
      </c>
    </row>
    <row r="41" spans="1:9">
      <c r="A41" s="40">
        <v>66800</v>
      </c>
      <c r="B41" s="33">
        <v>36</v>
      </c>
      <c r="C41" s="40">
        <v>66800</v>
      </c>
      <c r="D41" s="40">
        <v>1036</v>
      </c>
      <c r="E41" s="40">
        <v>3233</v>
      </c>
      <c r="F41" s="34">
        <v>36</v>
      </c>
      <c r="G41" s="40">
        <v>66800</v>
      </c>
      <c r="H41" s="40">
        <v>1145</v>
      </c>
      <c r="I41" s="40">
        <v>4092</v>
      </c>
    </row>
    <row r="42" spans="1:9">
      <c r="A42" s="40">
        <v>69800</v>
      </c>
      <c r="B42" s="33">
        <v>37</v>
      </c>
      <c r="C42" s="40">
        <v>69800</v>
      </c>
      <c r="D42" s="40">
        <v>1083</v>
      </c>
      <c r="E42" s="40">
        <v>3378</v>
      </c>
      <c r="F42" s="34">
        <v>37</v>
      </c>
      <c r="G42" s="40">
        <v>69800</v>
      </c>
      <c r="H42" s="40">
        <v>1145</v>
      </c>
      <c r="I42" s="40">
        <v>4096</v>
      </c>
    </row>
    <row r="43" spans="1:9">
      <c r="A43" s="40">
        <v>72800</v>
      </c>
      <c r="B43" s="33">
        <v>38</v>
      </c>
      <c r="C43" s="40">
        <v>72800</v>
      </c>
      <c r="D43" s="40">
        <v>1129</v>
      </c>
      <c r="E43" s="40">
        <v>3523</v>
      </c>
      <c r="F43" s="34">
        <v>38</v>
      </c>
      <c r="G43" s="40">
        <v>72800</v>
      </c>
      <c r="H43" s="40">
        <v>1145</v>
      </c>
      <c r="I43" s="40">
        <v>4099</v>
      </c>
    </row>
    <row r="44" spans="1:9">
      <c r="A44" s="40">
        <v>76500</v>
      </c>
      <c r="B44" s="33">
        <v>39</v>
      </c>
      <c r="C44" s="40">
        <v>76500</v>
      </c>
      <c r="D44" s="40">
        <v>1187</v>
      </c>
      <c r="E44" s="40">
        <v>3702</v>
      </c>
      <c r="F44" s="34">
        <v>39</v>
      </c>
      <c r="G44" s="40">
        <v>76500</v>
      </c>
      <c r="H44" s="40">
        <v>1145</v>
      </c>
      <c r="I44" s="40">
        <v>4099</v>
      </c>
    </row>
    <row r="45" spans="1:9">
      <c r="A45" s="40">
        <v>80200</v>
      </c>
      <c r="B45" s="33">
        <v>40</v>
      </c>
      <c r="C45" s="40">
        <v>80200</v>
      </c>
      <c r="D45" s="40">
        <v>1244</v>
      </c>
      <c r="E45" s="40">
        <v>3881</v>
      </c>
      <c r="F45" s="34">
        <v>40</v>
      </c>
      <c r="G45" s="40">
        <v>80200</v>
      </c>
      <c r="H45" s="40">
        <v>1145</v>
      </c>
      <c r="I45" s="40">
        <v>4099</v>
      </c>
    </row>
    <row r="46" spans="1:9">
      <c r="A46" s="40">
        <v>83900</v>
      </c>
      <c r="B46" s="33">
        <v>41</v>
      </c>
      <c r="C46" s="40">
        <v>83900</v>
      </c>
      <c r="D46" s="40">
        <v>1301</v>
      </c>
      <c r="E46" s="40">
        <v>4060</v>
      </c>
      <c r="F46" s="34">
        <v>41</v>
      </c>
      <c r="G46" s="40">
        <v>83900</v>
      </c>
      <c r="H46" s="40">
        <v>1145</v>
      </c>
      <c r="I46" s="40">
        <v>4099</v>
      </c>
    </row>
    <row r="47" spans="1:9">
      <c r="A47" s="40">
        <v>87600</v>
      </c>
      <c r="B47" s="33">
        <v>42</v>
      </c>
      <c r="C47" s="40">
        <v>87600</v>
      </c>
      <c r="D47" s="40">
        <v>1359</v>
      </c>
      <c r="E47" s="40">
        <v>4239</v>
      </c>
      <c r="F47" s="34">
        <v>42</v>
      </c>
      <c r="G47" s="40">
        <v>87600</v>
      </c>
      <c r="H47" s="40">
        <v>1145</v>
      </c>
      <c r="I47" s="40">
        <v>4099</v>
      </c>
    </row>
    <row r="48" spans="1:9">
      <c r="A48" s="40">
        <v>92100</v>
      </c>
      <c r="B48" s="33">
        <v>43</v>
      </c>
      <c r="C48" s="40">
        <v>92100</v>
      </c>
      <c r="D48" s="40">
        <v>1428</v>
      </c>
      <c r="E48" s="40">
        <v>4457</v>
      </c>
      <c r="F48" s="34">
        <v>43</v>
      </c>
      <c r="G48" s="40">
        <v>92100</v>
      </c>
      <c r="H48" s="40">
        <v>1145</v>
      </c>
      <c r="I48" s="40">
        <v>4099</v>
      </c>
    </row>
    <row r="49" spans="1:9">
      <c r="A49" s="40">
        <v>96600</v>
      </c>
      <c r="B49" s="33">
        <v>44</v>
      </c>
      <c r="C49" s="40">
        <v>96600</v>
      </c>
      <c r="D49" s="40">
        <v>1498</v>
      </c>
      <c r="E49" s="40">
        <v>4675</v>
      </c>
      <c r="F49" s="34">
        <v>44</v>
      </c>
      <c r="G49" s="40">
        <v>96600</v>
      </c>
      <c r="H49" s="40">
        <v>1145</v>
      </c>
      <c r="I49" s="40">
        <v>4099</v>
      </c>
    </row>
    <row r="50" spans="1:9">
      <c r="A50" s="40">
        <v>101100</v>
      </c>
      <c r="B50" s="33">
        <v>45</v>
      </c>
      <c r="C50" s="40">
        <v>101100</v>
      </c>
      <c r="D50" s="40">
        <v>1568</v>
      </c>
      <c r="E50" s="40">
        <v>4892</v>
      </c>
      <c r="F50" s="34">
        <v>45</v>
      </c>
      <c r="G50" s="40">
        <v>101100</v>
      </c>
      <c r="H50" s="40">
        <v>1145</v>
      </c>
      <c r="I50" s="40">
        <v>4099</v>
      </c>
    </row>
    <row r="51" spans="1:9">
      <c r="A51" s="40">
        <v>105600</v>
      </c>
      <c r="B51" s="33">
        <v>46</v>
      </c>
      <c r="C51" s="40">
        <v>105600</v>
      </c>
      <c r="D51" s="40">
        <v>1638</v>
      </c>
      <c r="E51" s="40">
        <v>5110</v>
      </c>
      <c r="F51" s="34">
        <v>46</v>
      </c>
      <c r="G51" s="40">
        <v>105600</v>
      </c>
      <c r="H51" s="40">
        <v>1145</v>
      </c>
      <c r="I51" s="40">
        <v>4099</v>
      </c>
    </row>
    <row r="52" spans="1:9">
      <c r="A52" s="40">
        <v>110100</v>
      </c>
      <c r="B52" s="33">
        <v>47</v>
      </c>
      <c r="C52" s="40">
        <v>110100</v>
      </c>
      <c r="D52" s="40">
        <v>1708</v>
      </c>
      <c r="E52" s="40">
        <v>5328</v>
      </c>
      <c r="F52" s="34">
        <v>47</v>
      </c>
      <c r="G52" s="40">
        <v>110100</v>
      </c>
      <c r="H52" s="40">
        <v>1145</v>
      </c>
      <c r="I52" s="40">
        <v>4099</v>
      </c>
    </row>
    <row r="53" spans="1:9">
      <c r="A53" s="40">
        <v>115500</v>
      </c>
      <c r="B53" s="33">
        <v>48</v>
      </c>
      <c r="C53" s="40">
        <v>115500</v>
      </c>
      <c r="D53" s="40">
        <v>1791</v>
      </c>
      <c r="E53" s="40">
        <v>5589</v>
      </c>
      <c r="F53" s="34">
        <v>48</v>
      </c>
      <c r="G53" s="40">
        <v>115500</v>
      </c>
      <c r="H53" s="40">
        <v>1145</v>
      </c>
      <c r="I53" s="40">
        <v>4099</v>
      </c>
    </row>
    <row r="54" spans="1:9">
      <c r="A54" s="40">
        <v>120900</v>
      </c>
      <c r="B54" s="33">
        <v>49</v>
      </c>
      <c r="C54" s="40">
        <v>120900</v>
      </c>
      <c r="D54" s="40">
        <v>1875</v>
      </c>
      <c r="E54" s="40">
        <v>5850</v>
      </c>
      <c r="F54" s="34">
        <v>49</v>
      </c>
      <c r="G54" s="40">
        <v>120900</v>
      </c>
      <c r="H54" s="40">
        <v>1145</v>
      </c>
      <c r="I54" s="40">
        <v>4099</v>
      </c>
    </row>
    <row r="55" spans="1:9">
      <c r="A55" s="40">
        <v>126300</v>
      </c>
      <c r="B55" s="33">
        <v>50</v>
      </c>
      <c r="C55" s="40">
        <v>126300</v>
      </c>
      <c r="D55" s="40">
        <v>1959</v>
      </c>
      <c r="E55" s="40">
        <v>6112</v>
      </c>
      <c r="F55" s="34">
        <v>50</v>
      </c>
      <c r="G55" s="40">
        <v>126300</v>
      </c>
      <c r="H55" s="40">
        <v>1145</v>
      </c>
      <c r="I55" s="40">
        <v>4099</v>
      </c>
    </row>
    <row r="56" spans="1:9">
      <c r="A56" s="40">
        <v>131700</v>
      </c>
      <c r="B56" s="33">
        <v>51</v>
      </c>
      <c r="C56" s="40">
        <v>131700</v>
      </c>
      <c r="D56" s="40">
        <v>2043</v>
      </c>
      <c r="E56" s="40">
        <v>6373</v>
      </c>
      <c r="F56" s="34">
        <v>51</v>
      </c>
      <c r="G56" s="40">
        <v>131700</v>
      </c>
      <c r="H56" s="40">
        <v>1145</v>
      </c>
      <c r="I56" s="40">
        <v>4099</v>
      </c>
    </row>
    <row r="57" spans="1:9">
      <c r="A57" s="40">
        <v>137100</v>
      </c>
      <c r="B57" s="33">
        <v>52</v>
      </c>
      <c r="C57" s="40">
        <v>137100</v>
      </c>
      <c r="D57" s="40">
        <v>2126</v>
      </c>
      <c r="E57" s="40">
        <v>6634</v>
      </c>
      <c r="F57" s="34">
        <v>52</v>
      </c>
      <c r="G57" s="40">
        <v>137100</v>
      </c>
      <c r="H57" s="40">
        <v>1145</v>
      </c>
      <c r="I57" s="40">
        <v>4099</v>
      </c>
    </row>
    <row r="58" spans="1:9">
      <c r="A58" s="40">
        <v>142500</v>
      </c>
      <c r="B58" s="33">
        <v>53</v>
      </c>
      <c r="C58" s="40">
        <v>142500</v>
      </c>
      <c r="D58" s="40">
        <v>2210</v>
      </c>
      <c r="E58" s="40">
        <v>6896</v>
      </c>
      <c r="F58" s="34">
        <v>53</v>
      </c>
      <c r="G58" s="40">
        <v>142500</v>
      </c>
      <c r="H58" s="40">
        <v>1145</v>
      </c>
      <c r="I58" s="40">
        <v>4099</v>
      </c>
    </row>
    <row r="59" spans="1:9">
      <c r="A59" s="40">
        <v>147900</v>
      </c>
      <c r="B59" s="33">
        <v>54</v>
      </c>
      <c r="C59" s="40">
        <v>147900</v>
      </c>
      <c r="D59" s="40">
        <v>2294</v>
      </c>
      <c r="E59" s="40">
        <v>7157</v>
      </c>
      <c r="F59" s="34">
        <v>54</v>
      </c>
      <c r="G59" s="40">
        <v>147900</v>
      </c>
      <c r="H59" s="40">
        <v>1145</v>
      </c>
      <c r="I59" s="40">
        <v>4099</v>
      </c>
    </row>
    <row r="60" spans="1:9">
      <c r="A60" s="40">
        <v>150000</v>
      </c>
      <c r="B60" s="33">
        <v>55</v>
      </c>
      <c r="C60" s="40">
        <v>150000</v>
      </c>
      <c r="D60" s="40">
        <v>2327</v>
      </c>
      <c r="E60" s="40">
        <v>7259</v>
      </c>
      <c r="F60" s="34">
        <v>55</v>
      </c>
      <c r="G60" s="40">
        <v>150000</v>
      </c>
      <c r="H60" s="40">
        <v>1145</v>
      </c>
      <c r="I60" s="40">
        <v>4099</v>
      </c>
    </row>
    <row r="61" spans="1:9">
      <c r="A61" s="40">
        <v>156400</v>
      </c>
      <c r="B61" s="33">
        <v>56</v>
      </c>
      <c r="C61" s="40">
        <v>156400</v>
      </c>
      <c r="D61" s="40">
        <v>2426</v>
      </c>
      <c r="E61" s="40">
        <v>7568</v>
      </c>
      <c r="F61" s="34">
        <v>56</v>
      </c>
      <c r="G61" s="40">
        <v>156400</v>
      </c>
      <c r="H61" s="40">
        <v>1145</v>
      </c>
      <c r="I61" s="40">
        <v>4099</v>
      </c>
    </row>
    <row r="62" spans="1:9">
      <c r="A62" s="40">
        <v>162800</v>
      </c>
      <c r="B62" s="33">
        <v>57</v>
      </c>
      <c r="C62" s="40">
        <v>162800</v>
      </c>
      <c r="D62" s="40">
        <v>2525</v>
      </c>
      <c r="E62" s="40">
        <v>7878</v>
      </c>
      <c r="F62" s="34">
        <v>57</v>
      </c>
      <c r="G62" s="40">
        <v>162800</v>
      </c>
      <c r="H62" s="40">
        <v>1145</v>
      </c>
      <c r="I62" s="40">
        <v>4099</v>
      </c>
    </row>
    <row r="63" spans="1:9">
      <c r="A63" s="40">
        <v>169200</v>
      </c>
      <c r="B63" s="33">
        <v>58</v>
      </c>
      <c r="C63" s="40">
        <v>169200</v>
      </c>
      <c r="D63" s="40">
        <v>2624</v>
      </c>
      <c r="E63" s="40">
        <v>8188</v>
      </c>
      <c r="F63" s="34">
        <v>58</v>
      </c>
      <c r="G63" s="40">
        <v>169200</v>
      </c>
      <c r="H63" s="40">
        <v>1145</v>
      </c>
      <c r="I63" s="40">
        <v>4099</v>
      </c>
    </row>
    <row r="64" spans="1:9">
      <c r="A64" s="40">
        <v>175600</v>
      </c>
      <c r="B64" s="33">
        <v>59</v>
      </c>
      <c r="C64" s="40">
        <v>175600</v>
      </c>
      <c r="D64" s="40">
        <v>2724</v>
      </c>
      <c r="E64" s="40">
        <v>8497</v>
      </c>
      <c r="F64" s="34">
        <v>59</v>
      </c>
      <c r="G64" s="40">
        <v>175600</v>
      </c>
      <c r="H64" s="40">
        <v>1145</v>
      </c>
      <c r="I64" s="40">
        <v>4099</v>
      </c>
    </row>
    <row r="65" spans="1:9">
      <c r="A65" s="40">
        <v>182000</v>
      </c>
      <c r="B65" s="33">
        <v>60</v>
      </c>
      <c r="C65" s="40">
        <v>182000</v>
      </c>
      <c r="D65" s="40">
        <v>2823</v>
      </c>
      <c r="E65" s="40">
        <v>8807</v>
      </c>
      <c r="F65" s="34">
        <v>60</v>
      </c>
      <c r="G65" s="40">
        <v>182000</v>
      </c>
      <c r="H65" s="40">
        <v>1145</v>
      </c>
      <c r="I65" s="40">
        <v>4099</v>
      </c>
    </row>
    <row r="66" spans="1:9">
      <c r="A66" s="40">
        <v>189500</v>
      </c>
      <c r="B66" s="33">
        <v>61</v>
      </c>
      <c r="C66" s="40">
        <v>189500</v>
      </c>
      <c r="D66" s="40">
        <v>2939</v>
      </c>
      <c r="E66" s="40">
        <v>9170</v>
      </c>
      <c r="F66" s="34">
        <v>61</v>
      </c>
      <c r="G66" s="40">
        <v>189500</v>
      </c>
      <c r="H66" s="40">
        <v>1145</v>
      </c>
      <c r="I66" s="40">
        <v>4099</v>
      </c>
    </row>
    <row r="67" spans="1:9">
      <c r="A67" s="40">
        <v>197000</v>
      </c>
      <c r="B67" s="33">
        <v>62</v>
      </c>
      <c r="C67" s="40">
        <v>197000</v>
      </c>
      <c r="D67" s="40">
        <v>3055</v>
      </c>
      <c r="E67" s="40">
        <v>9533</v>
      </c>
      <c r="F67" s="34">
        <v>62</v>
      </c>
      <c r="G67" s="40">
        <v>197000</v>
      </c>
      <c r="H67" s="40">
        <v>1145</v>
      </c>
      <c r="I67" s="40">
        <v>4099</v>
      </c>
    </row>
    <row r="68" spans="1:9">
      <c r="A68" s="40">
        <v>204500</v>
      </c>
      <c r="B68" s="33">
        <v>63</v>
      </c>
      <c r="C68" s="40">
        <v>204500</v>
      </c>
      <c r="D68" s="40">
        <v>3172</v>
      </c>
      <c r="E68" s="40">
        <v>9896</v>
      </c>
      <c r="F68" s="34">
        <v>63</v>
      </c>
      <c r="G68" s="40">
        <v>204500</v>
      </c>
      <c r="H68" s="40">
        <v>1145</v>
      </c>
      <c r="I68" s="40">
        <v>4099</v>
      </c>
    </row>
    <row r="69" spans="1:9">
      <c r="A69" s="40">
        <v>212000</v>
      </c>
      <c r="B69" s="33">
        <v>64</v>
      </c>
      <c r="C69" s="40">
        <v>212000</v>
      </c>
      <c r="D69" s="40">
        <v>3288</v>
      </c>
      <c r="E69" s="40">
        <v>10259</v>
      </c>
      <c r="F69" s="34">
        <v>64</v>
      </c>
      <c r="G69" s="40">
        <v>212000</v>
      </c>
      <c r="H69" s="40">
        <v>1145</v>
      </c>
      <c r="I69" s="40">
        <v>4099</v>
      </c>
    </row>
    <row r="70" spans="1:9">
      <c r="A70" s="40">
        <v>219500</v>
      </c>
      <c r="B70" s="33">
        <v>65</v>
      </c>
      <c r="C70" s="40">
        <v>219500</v>
      </c>
      <c r="D70" s="40">
        <v>3404</v>
      </c>
      <c r="E70" s="40">
        <v>10622</v>
      </c>
      <c r="F70" s="34">
        <v>65</v>
      </c>
      <c r="G70" s="40">
        <v>219500</v>
      </c>
      <c r="H70" s="40">
        <v>1145</v>
      </c>
      <c r="I70" s="40">
        <v>4099</v>
      </c>
    </row>
    <row r="71" spans="1:9">
      <c r="A71" s="40">
        <v>228200</v>
      </c>
      <c r="B71" s="33">
        <v>66</v>
      </c>
      <c r="C71" s="40">
        <v>228200</v>
      </c>
      <c r="D71" s="40">
        <v>3539</v>
      </c>
      <c r="E71" s="40">
        <v>11043</v>
      </c>
      <c r="F71" s="34">
        <v>66</v>
      </c>
      <c r="G71" s="40">
        <v>228200</v>
      </c>
      <c r="H71" s="40">
        <v>1145</v>
      </c>
      <c r="I71" s="40">
        <v>4099</v>
      </c>
    </row>
    <row r="72" spans="1:9">
      <c r="A72" s="40">
        <v>236900</v>
      </c>
      <c r="B72" s="33">
        <v>67</v>
      </c>
      <c r="C72" s="40">
        <v>236900</v>
      </c>
      <c r="D72" s="40">
        <v>3674</v>
      </c>
      <c r="E72" s="40">
        <v>11464</v>
      </c>
      <c r="F72" s="34">
        <v>67</v>
      </c>
      <c r="G72" s="40">
        <v>236900</v>
      </c>
      <c r="H72" s="40">
        <v>1145</v>
      </c>
      <c r="I72" s="40">
        <v>4099</v>
      </c>
    </row>
    <row r="73" spans="1:9">
      <c r="A73" s="40">
        <v>245600</v>
      </c>
      <c r="B73" s="33">
        <v>68</v>
      </c>
      <c r="C73" s="40">
        <v>245600</v>
      </c>
      <c r="D73" s="40">
        <v>3809</v>
      </c>
      <c r="E73" s="40">
        <v>11885</v>
      </c>
      <c r="F73" s="34">
        <v>68</v>
      </c>
      <c r="G73" s="40">
        <v>245600</v>
      </c>
      <c r="H73" s="40">
        <v>1145</v>
      </c>
      <c r="I73" s="40">
        <v>4099</v>
      </c>
    </row>
    <row r="74" spans="1:9">
      <c r="A74" s="40">
        <v>254300</v>
      </c>
      <c r="B74" s="33">
        <v>69</v>
      </c>
      <c r="C74" s="40">
        <v>254300</v>
      </c>
      <c r="D74" s="40">
        <v>3944</v>
      </c>
      <c r="E74" s="40">
        <v>12306</v>
      </c>
      <c r="F74" s="34">
        <v>69</v>
      </c>
      <c r="G74" s="40">
        <v>254300</v>
      </c>
      <c r="H74" s="40">
        <v>1145</v>
      </c>
      <c r="I74" s="40">
        <v>4099</v>
      </c>
    </row>
    <row r="75" spans="1:9">
      <c r="A75" s="40">
        <v>263000</v>
      </c>
      <c r="B75" s="33">
        <v>70</v>
      </c>
      <c r="C75" s="40">
        <v>263000</v>
      </c>
      <c r="D75" s="40">
        <v>4079</v>
      </c>
      <c r="E75" s="40">
        <v>12727</v>
      </c>
      <c r="F75" s="34">
        <v>70</v>
      </c>
      <c r="G75" s="40">
        <v>263000</v>
      </c>
      <c r="H75" s="40">
        <v>1145</v>
      </c>
      <c r="I75" s="40">
        <v>4099</v>
      </c>
    </row>
    <row r="76" spans="1:9">
      <c r="A76" s="40">
        <v>273000</v>
      </c>
      <c r="B76" s="33">
        <v>71</v>
      </c>
      <c r="C76" s="40">
        <v>273000</v>
      </c>
      <c r="D76" s="40">
        <v>4234</v>
      </c>
      <c r="E76" s="40">
        <v>13211</v>
      </c>
      <c r="F76" s="34">
        <v>71</v>
      </c>
      <c r="G76" s="40">
        <v>273000</v>
      </c>
      <c r="H76" s="40">
        <v>1145</v>
      </c>
      <c r="I76" s="40">
        <v>4099</v>
      </c>
    </row>
    <row r="77" spans="1:9">
      <c r="A77" s="40">
        <v>283000</v>
      </c>
      <c r="B77" s="33">
        <v>72</v>
      </c>
      <c r="C77" s="40">
        <v>283000</v>
      </c>
      <c r="D77" s="40">
        <v>4389</v>
      </c>
      <c r="E77" s="40">
        <v>13695</v>
      </c>
      <c r="F77" s="34">
        <v>72</v>
      </c>
      <c r="G77" s="40">
        <v>283000</v>
      </c>
      <c r="H77" s="40">
        <v>1145</v>
      </c>
      <c r="I77" s="40">
        <v>4099</v>
      </c>
    </row>
    <row r="78" spans="1:9">
      <c r="A78" s="40">
        <v>293000</v>
      </c>
      <c r="B78" s="33">
        <v>73</v>
      </c>
      <c r="C78" s="40">
        <v>293000</v>
      </c>
      <c r="D78" s="40">
        <v>4544</v>
      </c>
      <c r="E78" s="40">
        <v>14179</v>
      </c>
      <c r="F78" s="34">
        <v>73</v>
      </c>
      <c r="G78" s="40">
        <v>293000</v>
      </c>
      <c r="H78" s="40">
        <v>1145</v>
      </c>
      <c r="I78" s="40">
        <v>4099</v>
      </c>
    </row>
    <row r="79" spans="1:9">
      <c r="A79" s="40">
        <v>303000</v>
      </c>
      <c r="B79" s="33">
        <v>74</v>
      </c>
      <c r="C79" s="40">
        <v>303000</v>
      </c>
      <c r="D79" s="40">
        <v>4700</v>
      </c>
      <c r="E79" s="40">
        <v>14663</v>
      </c>
      <c r="F79" s="34">
        <v>74</v>
      </c>
      <c r="G79" s="40">
        <v>303000</v>
      </c>
      <c r="H79" s="40">
        <v>1145</v>
      </c>
      <c r="I79" s="40">
        <v>4099</v>
      </c>
    </row>
    <row r="80" spans="1:9">
      <c r="A80" s="40">
        <v>313000</v>
      </c>
      <c r="B80" s="33">
        <v>75</v>
      </c>
      <c r="C80" s="40">
        <v>313000</v>
      </c>
      <c r="D80" s="40">
        <v>4855</v>
      </c>
      <c r="E80" s="40">
        <v>15146</v>
      </c>
      <c r="F80" s="34">
        <v>75</v>
      </c>
      <c r="G80" s="40">
        <v>313000</v>
      </c>
      <c r="H80" s="40">
        <v>1145</v>
      </c>
      <c r="I80" s="40">
        <v>4099</v>
      </c>
    </row>
  </sheetData>
  <mergeCells count="3">
    <mergeCell ref="G3:I3"/>
    <mergeCell ref="C4:E4"/>
    <mergeCell ref="G4:I4"/>
  </mergeCells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51084-769D-4064-85A0-7C4135CF1C67}">
  <dimension ref="A1:I80"/>
  <sheetViews>
    <sheetView workbookViewId="0">
      <selection activeCell="M11" sqref="M11"/>
    </sheetView>
  </sheetViews>
  <sheetFormatPr defaultColWidth="8.75" defaultRowHeight="17.100000000000001"/>
  <cols>
    <col min="1" max="16384" width="8.75" style="98"/>
  </cols>
  <sheetData>
    <row r="1" spans="1:9">
      <c r="A1" s="96" t="s">
        <v>89</v>
      </c>
      <c r="B1" s="97"/>
      <c r="C1" s="96"/>
      <c r="D1" s="96"/>
      <c r="E1" s="96"/>
      <c r="F1" s="96"/>
      <c r="G1" s="96"/>
      <c r="H1" s="96"/>
      <c r="I1" s="96"/>
    </row>
    <row r="2" spans="1:9">
      <c r="A2" s="96"/>
      <c r="B2" s="97"/>
      <c r="C2" s="96"/>
      <c r="D2" s="96"/>
      <c r="E2" s="96"/>
      <c r="F2" s="96" t="s">
        <v>90</v>
      </c>
      <c r="G2" s="96" t="s">
        <v>91</v>
      </c>
      <c r="H2" s="96" t="s">
        <v>92</v>
      </c>
      <c r="I2" s="96" t="s">
        <v>93</v>
      </c>
    </row>
    <row r="3" spans="1:9">
      <c r="A3" s="96"/>
      <c r="B3" s="97"/>
      <c r="C3" s="96" t="s">
        <v>94</v>
      </c>
      <c r="D3" s="96"/>
      <c r="E3" s="96"/>
      <c r="F3" s="96"/>
      <c r="G3" s="111" t="s">
        <v>94</v>
      </c>
      <c r="H3" s="112"/>
      <c r="I3" s="112"/>
    </row>
    <row r="4" spans="1:9">
      <c r="A4" s="99"/>
      <c r="B4" s="97"/>
      <c r="C4" s="113" t="s">
        <v>95</v>
      </c>
      <c r="D4" s="114"/>
      <c r="E4" s="115"/>
      <c r="F4" s="96"/>
      <c r="G4" s="113" t="s">
        <v>96</v>
      </c>
      <c r="H4" s="114"/>
      <c r="I4" s="114"/>
    </row>
    <row r="5" spans="1:9">
      <c r="A5" s="96" t="s">
        <v>97</v>
      </c>
      <c r="B5" s="97"/>
      <c r="C5" s="96" t="s">
        <v>97</v>
      </c>
      <c r="D5" s="96" t="s">
        <v>98</v>
      </c>
      <c r="E5" s="96" t="s">
        <v>99</v>
      </c>
      <c r="F5" s="100"/>
      <c r="G5" s="96" t="s">
        <v>97</v>
      </c>
      <c r="H5" s="96" t="s">
        <v>98</v>
      </c>
      <c r="I5" s="96" t="s">
        <v>99</v>
      </c>
    </row>
    <row r="6" spans="1:9">
      <c r="A6" s="101">
        <v>11100</v>
      </c>
      <c r="B6" s="97">
        <v>1</v>
      </c>
      <c r="C6" s="101">
        <v>11100</v>
      </c>
      <c r="D6" s="102" t="s">
        <v>100</v>
      </c>
      <c r="E6" s="102" t="s">
        <v>100</v>
      </c>
      <c r="F6" s="96">
        <v>1</v>
      </c>
      <c r="G6" s="101">
        <v>11100</v>
      </c>
      <c r="H6" s="102">
        <v>255</v>
      </c>
      <c r="I6" s="102">
        <v>928</v>
      </c>
    </row>
    <row r="7" spans="1:9">
      <c r="A7" s="101">
        <v>12540</v>
      </c>
      <c r="B7" s="97">
        <v>2</v>
      </c>
      <c r="C7" s="101">
        <v>12540</v>
      </c>
      <c r="D7" s="102" t="s">
        <v>100</v>
      </c>
      <c r="E7" s="102" t="s">
        <v>100</v>
      </c>
      <c r="F7" s="96">
        <v>2</v>
      </c>
      <c r="G7" s="101">
        <v>12540</v>
      </c>
      <c r="H7" s="102">
        <v>288</v>
      </c>
      <c r="I7" s="101">
        <v>1043</v>
      </c>
    </row>
    <row r="8" spans="1:9">
      <c r="A8" s="101">
        <v>13500</v>
      </c>
      <c r="B8" s="97">
        <v>3</v>
      </c>
      <c r="C8" s="101">
        <v>13500</v>
      </c>
      <c r="D8" s="102" t="s">
        <v>100</v>
      </c>
      <c r="E8" s="102" t="s">
        <v>100</v>
      </c>
      <c r="F8" s="96">
        <v>3</v>
      </c>
      <c r="G8" s="101">
        <v>13500</v>
      </c>
      <c r="H8" s="102">
        <v>311</v>
      </c>
      <c r="I8" s="101">
        <v>1121</v>
      </c>
    </row>
    <row r="9" spans="1:9">
      <c r="A9" s="101">
        <v>15840</v>
      </c>
      <c r="B9" s="97">
        <v>4</v>
      </c>
      <c r="C9" s="101">
        <v>15840</v>
      </c>
      <c r="D9" s="102" t="s">
        <v>100</v>
      </c>
      <c r="E9" s="102" t="s">
        <v>100</v>
      </c>
      <c r="F9" s="96">
        <v>4</v>
      </c>
      <c r="G9" s="101">
        <v>15840</v>
      </c>
      <c r="H9" s="102">
        <v>364</v>
      </c>
      <c r="I9" s="101">
        <v>1310</v>
      </c>
    </row>
    <row r="10" spans="1:9">
      <c r="A10" s="101">
        <v>16500</v>
      </c>
      <c r="B10" s="97">
        <v>5</v>
      </c>
      <c r="C10" s="101">
        <v>16500</v>
      </c>
      <c r="D10" s="102" t="s">
        <v>100</v>
      </c>
      <c r="E10" s="102" t="s">
        <v>100</v>
      </c>
      <c r="F10" s="96">
        <v>5</v>
      </c>
      <c r="G10" s="101">
        <v>16500</v>
      </c>
      <c r="H10" s="102">
        <v>380</v>
      </c>
      <c r="I10" s="101">
        <v>1363</v>
      </c>
    </row>
    <row r="11" spans="1:9">
      <c r="A11" s="101">
        <v>17280</v>
      </c>
      <c r="B11" s="97">
        <v>6</v>
      </c>
      <c r="C11" s="101">
        <v>17280</v>
      </c>
      <c r="D11" s="102" t="s">
        <v>100</v>
      </c>
      <c r="E11" s="102" t="s">
        <v>100</v>
      </c>
      <c r="F11" s="96">
        <v>6</v>
      </c>
      <c r="G11" s="101">
        <v>17280</v>
      </c>
      <c r="H11" s="102">
        <v>397</v>
      </c>
      <c r="I11" s="101">
        <v>1426</v>
      </c>
    </row>
    <row r="12" spans="1:9">
      <c r="A12" s="101">
        <v>17880</v>
      </c>
      <c r="B12" s="97">
        <v>7</v>
      </c>
      <c r="C12" s="101">
        <v>17880</v>
      </c>
      <c r="D12" s="102" t="s">
        <v>100</v>
      </c>
      <c r="E12" s="102" t="s">
        <v>100</v>
      </c>
      <c r="F12" s="96">
        <v>7</v>
      </c>
      <c r="G12" s="101">
        <v>17880</v>
      </c>
      <c r="H12" s="102">
        <v>411</v>
      </c>
      <c r="I12" s="101">
        <v>1474</v>
      </c>
    </row>
    <row r="13" spans="1:9">
      <c r="A13" s="101">
        <v>19047</v>
      </c>
      <c r="B13" s="97">
        <v>8</v>
      </c>
      <c r="C13" s="101">
        <v>19047</v>
      </c>
      <c r="D13" s="102" t="s">
        <v>100</v>
      </c>
      <c r="E13" s="102" t="s">
        <v>100</v>
      </c>
      <c r="F13" s="96">
        <v>8</v>
      </c>
      <c r="G13" s="101">
        <v>19047</v>
      </c>
      <c r="H13" s="102">
        <v>438</v>
      </c>
      <c r="I13" s="101">
        <v>1569</v>
      </c>
    </row>
    <row r="14" spans="1:9">
      <c r="A14" s="101">
        <v>20008</v>
      </c>
      <c r="B14" s="97">
        <v>9</v>
      </c>
      <c r="C14" s="101">
        <v>20008</v>
      </c>
      <c r="D14" s="102" t="s">
        <v>100</v>
      </c>
      <c r="E14" s="102" t="s">
        <v>100</v>
      </c>
      <c r="F14" s="96">
        <v>9</v>
      </c>
      <c r="G14" s="101">
        <v>20008</v>
      </c>
      <c r="H14" s="102">
        <v>460</v>
      </c>
      <c r="I14" s="101">
        <v>1647</v>
      </c>
    </row>
    <row r="15" spans="1:9">
      <c r="A15" s="101">
        <v>21009</v>
      </c>
      <c r="B15" s="97">
        <v>10</v>
      </c>
      <c r="C15" s="101">
        <v>21009</v>
      </c>
      <c r="D15" s="102" t="s">
        <v>100</v>
      </c>
      <c r="E15" s="102" t="s">
        <v>100</v>
      </c>
      <c r="F15" s="96">
        <v>10</v>
      </c>
      <c r="G15" s="101">
        <v>21009</v>
      </c>
      <c r="H15" s="102">
        <v>483</v>
      </c>
      <c r="I15" s="101">
        <v>1727</v>
      </c>
    </row>
    <row r="16" spans="1:9">
      <c r="A16" s="101">
        <v>22000</v>
      </c>
      <c r="B16" s="97">
        <v>11</v>
      </c>
      <c r="C16" s="101">
        <v>22000</v>
      </c>
      <c r="D16" s="102" t="s">
        <v>100</v>
      </c>
      <c r="E16" s="102" t="s">
        <v>100</v>
      </c>
      <c r="F16" s="96">
        <v>11</v>
      </c>
      <c r="G16" s="101">
        <v>22000</v>
      </c>
      <c r="H16" s="102">
        <v>506</v>
      </c>
      <c r="I16" s="101">
        <v>1808</v>
      </c>
    </row>
    <row r="17" spans="1:9">
      <c r="A17" s="101">
        <v>23100</v>
      </c>
      <c r="B17" s="97">
        <v>12</v>
      </c>
      <c r="C17" s="101">
        <v>23100</v>
      </c>
      <c r="D17" s="102" t="s">
        <v>100</v>
      </c>
      <c r="E17" s="102" t="s">
        <v>100</v>
      </c>
      <c r="F17" s="96">
        <v>12</v>
      </c>
      <c r="G17" s="101">
        <v>23100</v>
      </c>
      <c r="H17" s="102">
        <v>531</v>
      </c>
      <c r="I17" s="101">
        <v>1897</v>
      </c>
    </row>
    <row r="18" spans="1:9">
      <c r="A18" s="101">
        <v>24000</v>
      </c>
      <c r="B18" s="97">
        <v>13</v>
      </c>
      <c r="C18" s="101">
        <v>24000</v>
      </c>
      <c r="D18" s="102" t="s">
        <v>100</v>
      </c>
      <c r="E18" s="102" t="s">
        <v>100</v>
      </c>
      <c r="F18" s="96">
        <v>13</v>
      </c>
      <c r="G18" s="101">
        <v>24000</v>
      </c>
      <c r="H18" s="102">
        <v>552</v>
      </c>
      <c r="I18" s="101">
        <v>1969</v>
      </c>
    </row>
    <row r="19" spans="1:9">
      <c r="A19" s="101">
        <v>25250</v>
      </c>
      <c r="B19" s="97">
        <v>14</v>
      </c>
      <c r="C19" s="101">
        <v>25250</v>
      </c>
      <c r="D19" s="102" t="s">
        <v>100</v>
      </c>
      <c r="E19" s="102" t="s">
        <v>100</v>
      </c>
      <c r="F19" s="96">
        <v>14</v>
      </c>
      <c r="G19" s="101">
        <v>25250</v>
      </c>
      <c r="H19" s="102">
        <v>581</v>
      </c>
      <c r="I19" s="101">
        <v>2070</v>
      </c>
    </row>
    <row r="20" spans="1:9">
      <c r="A20" s="101">
        <v>26400</v>
      </c>
      <c r="B20" s="97">
        <v>15</v>
      </c>
      <c r="C20" s="101">
        <v>26400</v>
      </c>
      <c r="D20" s="102" t="s">
        <v>100</v>
      </c>
      <c r="E20" s="102" t="s">
        <v>100</v>
      </c>
      <c r="F20" s="96">
        <v>15</v>
      </c>
      <c r="G20" s="101">
        <v>26400</v>
      </c>
      <c r="H20" s="102">
        <v>607</v>
      </c>
      <c r="I20" s="101">
        <v>2163</v>
      </c>
    </row>
    <row r="21" spans="1:9">
      <c r="A21" s="101">
        <v>27600</v>
      </c>
      <c r="B21" s="97">
        <v>16</v>
      </c>
      <c r="C21" s="101">
        <v>27600</v>
      </c>
      <c r="D21" s="102" t="s">
        <v>100</v>
      </c>
      <c r="E21" s="102" t="s">
        <v>100</v>
      </c>
      <c r="F21" s="96">
        <v>16</v>
      </c>
      <c r="G21" s="101">
        <v>27600</v>
      </c>
      <c r="H21" s="102">
        <v>635</v>
      </c>
      <c r="I21" s="101">
        <v>2260</v>
      </c>
    </row>
    <row r="22" spans="1:9">
      <c r="A22" s="103">
        <v>28590</v>
      </c>
      <c r="B22" s="97">
        <v>17</v>
      </c>
      <c r="C22" s="103">
        <v>28590</v>
      </c>
      <c r="D22" s="104">
        <v>443</v>
      </c>
      <c r="E22" s="103">
        <v>1384</v>
      </c>
      <c r="F22" s="105">
        <v>17</v>
      </c>
      <c r="G22" s="103">
        <v>28590</v>
      </c>
      <c r="H22" s="104">
        <v>658</v>
      </c>
      <c r="I22" s="103">
        <v>2339</v>
      </c>
    </row>
    <row r="23" spans="1:9">
      <c r="A23" s="101">
        <v>28800</v>
      </c>
      <c r="B23" s="97">
        <v>18</v>
      </c>
      <c r="C23" s="101">
        <v>28800</v>
      </c>
      <c r="D23" s="102">
        <v>447</v>
      </c>
      <c r="E23" s="101">
        <v>1394</v>
      </c>
      <c r="F23" s="96">
        <v>18</v>
      </c>
      <c r="G23" s="101">
        <v>28800</v>
      </c>
      <c r="H23" s="102">
        <v>662</v>
      </c>
      <c r="I23" s="101">
        <v>2357</v>
      </c>
    </row>
    <row r="24" spans="1:9">
      <c r="A24" s="101">
        <v>30300</v>
      </c>
      <c r="B24" s="97">
        <v>19</v>
      </c>
      <c r="C24" s="101">
        <v>30300</v>
      </c>
      <c r="D24" s="102">
        <v>470</v>
      </c>
      <c r="E24" s="101">
        <v>1466</v>
      </c>
      <c r="F24" s="96">
        <v>19</v>
      </c>
      <c r="G24" s="101">
        <v>30300</v>
      </c>
      <c r="H24" s="102">
        <v>697</v>
      </c>
      <c r="I24" s="101">
        <v>2480</v>
      </c>
    </row>
    <row r="25" spans="1:9">
      <c r="A25" s="101">
        <v>31800</v>
      </c>
      <c r="B25" s="97">
        <v>20</v>
      </c>
      <c r="C25" s="101">
        <v>31800</v>
      </c>
      <c r="D25" s="102">
        <v>493</v>
      </c>
      <c r="E25" s="101">
        <v>1539</v>
      </c>
      <c r="F25" s="96">
        <v>20</v>
      </c>
      <c r="G25" s="101">
        <v>31800</v>
      </c>
      <c r="H25" s="102">
        <v>731</v>
      </c>
      <c r="I25" s="101">
        <v>2603</v>
      </c>
    </row>
    <row r="26" spans="1:9">
      <c r="A26" s="101">
        <v>33300</v>
      </c>
      <c r="B26" s="97">
        <v>21</v>
      </c>
      <c r="C26" s="101">
        <v>33300</v>
      </c>
      <c r="D26" s="102">
        <v>516</v>
      </c>
      <c r="E26" s="101">
        <v>1611</v>
      </c>
      <c r="F26" s="96">
        <v>21</v>
      </c>
      <c r="G26" s="101">
        <v>33300</v>
      </c>
      <c r="H26" s="102">
        <v>766</v>
      </c>
      <c r="I26" s="101">
        <v>2726</v>
      </c>
    </row>
    <row r="27" spans="1:9">
      <c r="A27" s="101">
        <v>34800</v>
      </c>
      <c r="B27" s="97">
        <v>22</v>
      </c>
      <c r="C27" s="101">
        <v>34800</v>
      </c>
      <c r="D27" s="102">
        <v>540</v>
      </c>
      <c r="E27" s="101">
        <v>1684</v>
      </c>
      <c r="F27" s="96">
        <v>22</v>
      </c>
      <c r="G27" s="101">
        <v>34800</v>
      </c>
      <c r="H27" s="102">
        <v>800</v>
      </c>
      <c r="I27" s="101">
        <v>2848</v>
      </c>
    </row>
    <row r="28" spans="1:9">
      <c r="A28" s="101">
        <v>36300</v>
      </c>
      <c r="B28" s="97">
        <v>23</v>
      </c>
      <c r="C28" s="101">
        <v>36300</v>
      </c>
      <c r="D28" s="102">
        <v>563</v>
      </c>
      <c r="E28" s="101">
        <v>1757</v>
      </c>
      <c r="F28" s="96">
        <v>23</v>
      </c>
      <c r="G28" s="101">
        <v>36300</v>
      </c>
      <c r="H28" s="102">
        <v>835</v>
      </c>
      <c r="I28" s="101">
        <v>2971</v>
      </c>
    </row>
    <row r="29" spans="1:9">
      <c r="A29" s="101">
        <v>38200</v>
      </c>
      <c r="B29" s="97">
        <v>24</v>
      </c>
      <c r="C29" s="101">
        <v>38200</v>
      </c>
      <c r="D29" s="102">
        <v>592</v>
      </c>
      <c r="E29" s="101">
        <v>1849</v>
      </c>
      <c r="F29" s="96">
        <v>24</v>
      </c>
      <c r="G29" s="101">
        <v>38200</v>
      </c>
      <c r="H29" s="102">
        <v>879</v>
      </c>
      <c r="I29" s="101">
        <v>3127</v>
      </c>
    </row>
    <row r="30" spans="1:9">
      <c r="A30" s="101">
        <v>40100</v>
      </c>
      <c r="B30" s="97">
        <v>25</v>
      </c>
      <c r="C30" s="101">
        <v>40100</v>
      </c>
      <c r="D30" s="102">
        <v>622</v>
      </c>
      <c r="E30" s="101">
        <v>1940</v>
      </c>
      <c r="F30" s="96">
        <v>25</v>
      </c>
      <c r="G30" s="101">
        <v>40100</v>
      </c>
      <c r="H30" s="102">
        <v>922</v>
      </c>
      <c r="I30" s="101">
        <v>3282</v>
      </c>
    </row>
    <row r="31" spans="1:9">
      <c r="A31" s="101">
        <v>42000</v>
      </c>
      <c r="B31" s="97">
        <v>26</v>
      </c>
      <c r="C31" s="101">
        <v>42000</v>
      </c>
      <c r="D31" s="102">
        <v>651</v>
      </c>
      <c r="E31" s="101">
        <v>2032</v>
      </c>
      <c r="F31" s="96">
        <v>26</v>
      </c>
      <c r="G31" s="101">
        <v>42000</v>
      </c>
      <c r="H31" s="102">
        <v>966</v>
      </c>
      <c r="I31" s="101">
        <v>3438</v>
      </c>
    </row>
    <row r="32" spans="1:9">
      <c r="A32" s="101">
        <v>43900</v>
      </c>
      <c r="B32" s="97">
        <v>27</v>
      </c>
      <c r="C32" s="101">
        <v>43900</v>
      </c>
      <c r="D32" s="102">
        <v>681</v>
      </c>
      <c r="E32" s="101">
        <v>2124</v>
      </c>
      <c r="F32" s="96">
        <v>27</v>
      </c>
      <c r="G32" s="101">
        <v>43900</v>
      </c>
      <c r="H32" s="101">
        <v>1010</v>
      </c>
      <c r="I32" s="101">
        <v>3593</v>
      </c>
    </row>
    <row r="33" spans="1:9">
      <c r="A33" s="103">
        <v>45800</v>
      </c>
      <c r="B33" s="97">
        <v>28</v>
      </c>
      <c r="C33" s="103">
        <v>45800</v>
      </c>
      <c r="D33" s="104">
        <v>710</v>
      </c>
      <c r="E33" s="103">
        <v>2216</v>
      </c>
      <c r="F33" s="96">
        <v>28</v>
      </c>
      <c r="G33" s="103">
        <v>45800</v>
      </c>
      <c r="H33" s="103">
        <v>1053</v>
      </c>
      <c r="I33" s="103">
        <v>3748</v>
      </c>
    </row>
    <row r="34" spans="1:9">
      <c r="A34" s="106">
        <v>48200</v>
      </c>
      <c r="B34" s="97">
        <v>29</v>
      </c>
      <c r="C34" s="106">
        <v>48200</v>
      </c>
      <c r="D34" s="107">
        <v>748</v>
      </c>
      <c r="E34" s="106">
        <v>2332</v>
      </c>
      <c r="F34" s="96">
        <v>29</v>
      </c>
      <c r="G34" s="106">
        <v>48200</v>
      </c>
      <c r="H34" s="106">
        <v>1053</v>
      </c>
      <c r="I34" s="106">
        <v>3751</v>
      </c>
    </row>
    <row r="35" spans="1:9">
      <c r="A35" s="106">
        <v>50600</v>
      </c>
      <c r="B35" s="97">
        <v>30</v>
      </c>
      <c r="C35" s="106">
        <v>50600</v>
      </c>
      <c r="D35" s="107">
        <v>785</v>
      </c>
      <c r="E35" s="106">
        <v>2449</v>
      </c>
      <c r="F35" s="96">
        <v>30</v>
      </c>
      <c r="G35" s="106">
        <v>50600</v>
      </c>
      <c r="H35" s="106">
        <v>1053</v>
      </c>
      <c r="I35" s="106">
        <v>3754</v>
      </c>
    </row>
    <row r="36" spans="1:9">
      <c r="A36" s="106">
        <v>53000</v>
      </c>
      <c r="B36" s="97">
        <v>31</v>
      </c>
      <c r="C36" s="106">
        <v>53000</v>
      </c>
      <c r="D36" s="107">
        <v>822</v>
      </c>
      <c r="E36" s="106">
        <v>2565</v>
      </c>
      <c r="F36" s="96">
        <v>31</v>
      </c>
      <c r="G36" s="106">
        <v>53000</v>
      </c>
      <c r="H36" s="106">
        <v>1053</v>
      </c>
      <c r="I36" s="106">
        <v>3756</v>
      </c>
    </row>
    <row r="37" spans="1:9">
      <c r="A37" s="106">
        <v>55400</v>
      </c>
      <c r="B37" s="97">
        <v>32</v>
      </c>
      <c r="C37" s="106">
        <v>55400</v>
      </c>
      <c r="D37" s="107">
        <v>859</v>
      </c>
      <c r="E37" s="106">
        <v>2681</v>
      </c>
      <c r="F37" s="96">
        <v>32</v>
      </c>
      <c r="G37" s="106">
        <v>55400</v>
      </c>
      <c r="H37" s="106">
        <v>1053</v>
      </c>
      <c r="I37" s="106">
        <v>3759</v>
      </c>
    </row>
    <row r="38" spans="1:9">
      <c r="A38" s="106">
        <v>57800</v>
      </c>
      <c r="B38" s="97">
        <v>33</v>
      </c>
      <c r="C38" s="106">
        <v>57800</v>
      </c>
      <c r="D38" s="107">
        <v>896</v>
      </c>
      <c r="E38" s="106">
        <v>2797</v>
      </c>
      <c r="F38" s="96">
        <v>33</v>
      </c>
      <c r="G38" s="106">
        <v>57800</v>
      </c>
      <c r="H38" s="106">
        <v>1053</v>
      </c>
      <c r="I38" s="106">
        <v>3762</v>
      </c>
    </row>
    <row r="39" spans="1:9">
      <c r="A39" s="106">
        <v>60800</v>
      </c>
      <c r="B39" s="97">
        <v>34</v>
      </c>
      <c r="C39" s="106">
        <v>60800</v>
      </c>
      <c r="D39" s="107">
        <v>943</v>
      </c>
      <c r="E39" s="106">
        <v>2942</v>
      </c>
      <c r="F39" s="96">
        <v>34</v>
      </c>
      <c r="G39" s="106">
        <v>60800</v>
      </c>
      <c r="H39" s="106">
        <v>1053</v>
      </c>
      <c r="I39" s="106">
        <v>3765</v>
      </c>
    </row>
    <row r="40" spans="1:9">
      <c r="A40" s="106">
        <v>63800</v>
      </c>
      <c r="B40" s="97">
        <v>35</v>
      </c>
      <c r="C40" s="106">
        <v>63800</v>
      </c>
      <c r="D40" s="107">
        <v>990</v>
      </c>
      <c r="E40" s="106">
        <v>3087</v>
      </c>
      <c r="F40" s="96">
        <v>35</v>
      </c>
      <c r="G40" s="106">
        <v>63800</v>
      </c>
      <c r="H40" s="106">
        <v>1053</v>
      </c>
      <c r="I40" s="106">
        <v>3768</v>
      </c>
    </row>
    <row r="41" spans="1:9">
      <c r="A41" s="106">
        <v>66800</v>
      </c>
      <c r="B41" s="97">
        <v>36</v>
      </c>
      <c r="C41" s="106">
        <v>66800</v>
      </c>
      <c r="D41" s="106">
        <v>1036</v>
      </c>
      <c r="E41" s="106">
        <v>3233</v>
      </c>
      <c r="F41" s="96">
        <v>36</v>
      </c>
      <c r="G41" s="106">
        <v>66800</v>
      </c>
      <c r="H41" s="106">
        <v>1053</v>
      </c>
      <c r="I41" s="106">
        <v>3771</v>
      </c>
    </row>
    <row r="42" spans="1:9">
      <c r="A42" s="106">
        <v>69800</v>
      </c>
      <c r="B42" s="97">
        <v>37</v>
      </c>
      <c r="C42" s="106">
        <v>69800</v>
      </c>
      <c r="D42" s="106">
        <v>1083</v>
      </c>
      <c r="E42" s="106">
        <v>3378</v>
      </c>
      <c r="F42" s="96">
        <v>37</v>
      </c>
      <c r="G42" s="106">
        <v>69800</v>
      </c>
      <c r="H42" s="106">
        <v>1053</v>
      </c>
      <c r="I42" s="106">
        <v>3775</v>
      </c>
    </row>
    <row r="43" spans="1:9">
      <c r="A43" s="106">
        <v>72800</v>
      </c>
      <c r="B43" s="97">
        <v>38</v>
      </c>
      <c r="C43" s="106">
        <v>72800</v>
      </c>
      <c r="D43" s="106">
        <v>1129</v>
      </c>
      <c r="E43" s="106">
        <v>3523</v>
      </c>
      <c r="F43" s="96">
        <v>38</v>
      </c>
      <c r="G43" s="106">
        <v>72800</v>
      </c>
      <c r="H43" s="106">
        <v>1053</v>
      </c>
      <c r="I43" s="106">
        <v>3778</v>
      </c>
    </row>
    <row r="44" spans="1:9">
      <c r="A44" s="106">
        <v>76500</v>
      </c>
      <c r="B44" s="97">
        <v>39</v>
      </c>
      <c r="C44" s="106">
        <v>76500</v>
      </c>
      <c r="D44" s="106">
        <v>1187</v>
      </c>
      <c r="E44" s="106">
        <v>3702</v>
      </c>
      <c r="F44" s="96">
        <v>39</v>
      </c>
      <c r="G44" s="106">
        <v>76500</v>
      </c>
      <c r="H44" s="106">
        <v>1053</v>
      </c>
      <c r="I44" s="106">
        <v>3778</v>
      </c>
    </row>
    <row r="45" spans="1:9">
      <c r="A45" s="106">
        <v>80200</v>
      </c>
      <c r="B45" s="97">
        <v>40</v>
      </c>
      <c r="C45" s="106">
        <v>80200</v>
      </c>
      <c r="D45" s="106">
        <v>1244</v>
      </c>
      <c r="E45" s="106">
        <v>3881</v>
      </c>
      <c r="F45" s="96">
        <v>40</v>
      </c>
      <c r="G45" s="106">
        <v>80200</v>
      </c>
      <c r="H45" s="106">
        <v>1053</v>
      </c>
      <c r="I45" s="106">
        <v>3778</v>
      </c>
    </row>
    <row r="46" spans="1:9">
      <c r="A46" s="106">
        <v>83900</v>
      </c>
      <c r="B46" s="97">
        <v>41</v>
      </c>
      <c r="C46" s="106">
        <v>83900</v>
      </c>
      <c r="D46" s="106">
        <v>1301</v>
      </c>
      <c r="E46" s="106">
        <v>4060</v>
      </c>
      <c r="F46" s="96">
        <v>41</v>
      </c>
      <c r="G46" s="106">
        <v>83900</v>
      </c>
      <c r="H46" s="106">
        <v>1053</v>
      </c>
      <c r="I46" s="106">
        <v>3778</v>
      </c>
    </row>
    <row r="47" spans="1:9">
      <c r="A47" s="106">
        <v>87600</v>
      </c>
      <c r="B47" s="97">
        <v>42</v>
      </c>
      <c r="C47" s="106">
        <v>87600</v>
      </c>
      <c r="D47" s="106">
        <v>1359</v>
      </c>
      <c r="E47" s="106">
        <v>4239</v>
      </c>
      <c r="F47" s="96">
        <v>42</v>
      </c>
      <c r="G47" s="106">
        <v>87600</v>
      </c>
      <c r="H47" s="106">
        <v>1053</v>
      </c>
      <c r="I47" s="106">
        <v>3778</v>
      </c>
    </row>
    <row r="48" spans="1:9">
      <c r="A48" s="106">
        <v>92100</v>
      </c>
      <c r="B48" s="97">
        <v>43</v>
      </c>
      <c r="C48" s="106">
        <v>92100</v>
      </c>
      <c r="D48" s="106">
        <v>1428</v>
      </c>
      <c r="E48" s="106">
        <v>4457</v>
      </c>
      <c r="F48" s="96">
        <v>43</v>
      </c>
      <c r="G48" s="106">
        <v>92100</v>
      </c>
      <c r="H48" s="106">
        <v>1053</v>
      </c>
      <c r="I48" s="106">
        <v>3778</v>
      </c>
    </row>
    <row r="49" spans="1:9">
      <c r="A49" s="106">
        <v>96600</v>
      </c>
      <c r="B49" s="97">
        <v>44</v>
      </c>
      <c r="C49" s="106">
        <v>96600</v>
      </c>
      <c r="D49" s="106">
        <v>1498</v>
      </c>
      <c r="E49" s="106">
        <v>4675</v>
      </c>
      <c r="F49" s="96">
        <v>44</v>
      </c>
      <c r="G49" s="106">
        <v>96600</v>
      </c>
      <c r="H49" s="106">
        <v>1053</v>
      </c>
      <c r="I49" s="106">
        <v>3778</v>
      </c>
    </row>
    <row r="50" spans="1:9">
      <c r="A50" s="106">
        <v>101100</v>
      </c>
      <c r="B50" s="97">
        <v>45</v>
      </c>
      <c r="C50" s="106">
        <v>101100</v>
      </c>
      <c r="D50" s="106">
        <v>1568</v>
      </c>
      <c r="E50" s="106">
        <v>4892</v>
      </c>
      <c r="F50" s="96">
        <v>45</v>
      </c>
      <c r="G50" s="106">
        <v>101100</v>
      </c>
      <c r="H50" s="106">
        <v>1053</v>
      </c>
      <c r="I50" s="106">
        <v>3778</v>
      </c>
    </row>
    <row r="51" spans="1:9">
      <c r="A51" s="106">
        <v>105600</v>
      </c>
      <c r="B51" s="97">
        <v>46</v>
      </c>
      <c r="C51" s="106">
        <v>105600</v>
      </c>
      <c r="D51" s="106">
        <v>1638</v>
      </c>
      <c r="E51" s="106">
        <v>5110</v>
      </c>
      <c r="F51" s="96">
        <v>46</v>
      </c>
      <c r="G51" s="106">
        <v>105600</v>
      </c>
      <c r="H51" s="106">
        <v>1053</v>
      </c>
      <c r="I51" s="106">
        <v>3778</v>
      </c>
    </row>
    <row r="52" spans="1:9">
      <c r="A52" s="106">
        <v>110100</v>
      </c>
      <c r="B52" s="97">
        <v>47</v>
      </c>
      <c r="C52" s="106">
        <v>110100</v>
      </c>
      <c r="D52" s="106">
        <v>1708</v>
      </c>
      <c r="E52" s="106">
        <v>5328</v>
      </c>
      <c r="F52" s="96">
        <v>47</v>
      </c>
      <c r="G52" s="106">
        <v>110100</v>
      </c>
      <c r="H52" s="106">
        <v>1053</v>
      </c>
      <c r="I52" s="106">
        <v>3778</v>
      </c>
    </row>
    <row r="53" spans="1:9">
      <c r="A53" s="106">
        <v>115500</v>
      </c>
      <c r="B53" s="97">
        <v>48</v>
      </c>
      <c r="C53" s="106">
        <v>115500</v>
      </c>
      <c r="D53" s="106">
        <v>1791</v>
      </c>
      <c r="E53" s="106">
        <v>5589</v>
      </c>
      <c r="F53" s="96">
        <v>48</v>
      </c>
      <c r="G53" s="106">
        <v>115500</v>
      </c>
      <c r="H53" s="106">
        <v>1053</v>
      </c>
      <c r="I53" s="106">
        <v>3778</v>
      </c>
    </row>
    <row r="54" spans="1:9">
      <c r="A54" s="106">
        <v>120900</v>
      </c>
      <c r="B54" s="97">
        <v>49</v>
      </c>
      <c r="C54" s="106">
        <v>120900</v>
      </c>
      <c r="D54" s="106">
        <v>1875</v>
      </c>
      <c r="E54" s="106">
        <v>5850</v>
      </c>
      <c r="F54" s="96">
        <v>49</v>
      </c>
      <c r="G54" s="106">
        <v>120900</v>
      </c>
      <c r="H54" s="106">
        <v>1053</v>
      </c>
      <c r="I54" s="106">
        <v>3778</v>
      </c>
    </row>
    <row r="55" spans="1:9">
      <c r="A55" s="106">
        <v>126300</v>
      </c>
      <c r="B55" s="97">
        <v>50</v>
      </c>
      <c r="C55" s="106">
        <v>126300</v>
      </c>
      <c r="D55" s="106">
        <v>1959</v>
      </c>
      <c r="E55" s="106">
        <v>6112</v>
      </c>
      <c r="F55" s="96">
        <v>50</v>
      </c>
      <c r="G55" s="106">
        <v>126300</v>
      </c>
      <c r="H55" s="106">
        <v>1053</v>
      </c>
      <c r="I55" s="106">
        <v>3778</v>
      </c>
    </row>
    <row r="56" spans="1:9">
      <c r="A56" s="106">
        <v>131700</v>
      </c>
      <c r="B56" s="97">
        <v>51</v>
      </c>
      <c r="C56" s="106">
        <v>131700</v>
      </c>
      <c r="D56" s="106">
        <v>2043</v>
      </c>
      <c r="E56" s="106">
        <v>6373</v>
      </c>
      <c r="F56" s="96">
        <v>51</v>
      </c>
      <c r="G56" s="106">
        <v>131700</v>
      </c>
      <c r="H56" s="106">
        <v>1053</v>
      </c>
      <c r="I56" s="106">
        <v>3778</v>
      </c>
    </row>
    <row r="57" spans="1:9">
      <c r="A57" s="106">
        <v>137100</v>
      </c>
      <c r="B57" s="97">
        <v>52</v>
      </c>
      <c r="C57" s="106">
        <v>137100</v>
      </c>
      <c r="D57" s="106">
        <v>2126</v>
      </c>
      <c r="E57" s="106">
        <v>6634</v>
      </c>
      <c r="F57" s="96">
        <v>52</v>
      </c>
      <c r="G57" s="106">
        <v>137100</v>
      </c>
      <c r="H57" s="106">
        <v>1053</v>
      </c>
      <c r="I57" s="106">
        <v>3778</v>
      </c>
    </row>
    <row r="58" spans="1:9">
      <c r="A58" s="106">
        <v>142500</v>
      </c>
      <c r="B58" s="97">
        <v>53</v>
      </c>
      <c r="C58" s="106">
        <v>142500</v>
      </c>
      <c r="D58" s="106">
        <v>2210</v>
      </c>
      <c r="E58" s="106">
        <v>6896</v>
      </c>
      <c r="F58" s="96">
        <v>53</v>
      </c>
      <c r="G58" s="106">
        <v>142500</v>
      </c>
      <c r="H58" s="106">
        <v>1053</v>
      </c>
      <c r="I58" s="106">
        <v>3778</v>
      </c>
    </row>
    <row r="59" spans="1:9">
      <c r="A59" s="106">
        <v>147900</v>
      </c>
      <c r="B59" s="97">
        <v>54</v>
      </c>
      <c r="C59" s="106">
        <v>147900</v>
      </c>
      <c r="D59" s="106">
        <v>2294</v>
      </c>
      <c r="E59" s="106">
        <v>7157</v>
      </c>
      <c r="F59" s="96">
        <v>54</v>
      </c>
      <c r="G59" s="106">
        <v>147900</v>
      </c>
      <c r="H59" s="106">
        <v>1053</v>
      </c>
      <c r="I59" s="106">
        <v>3778</v>
      </c>
    </row>
    <row r="60" spans="1:9">
      <c r="A60" s="106">
        <v>150000</v>
      </c>
      <c r="B60" s="97">
        <v>55</v>
      </c>
      <c r="C60" s="106">
        <v>150000</v>
      </c>
      <c r="D60" s="106">
        <v>2327</v>
      </c>
      <c r="E60" s="106">
        <v>7259</v>
      </c>
      <c r="F60" s="96">
        <v>55</v>
      </c>
      <c r="G60" s="106">
        <v>150000</v>
      </c>
      <c r="H60" s="106">
        <v>1053</v>
      </c>
      <c r="I60" s="106">
        <v>3778</v>
      </c>
    </row>
    <row r="61" spans="1:9">
      <c r="A61" s="106">
        <v>156400</v>
      </c>
      <c r="B61" s="97">
        <v>56</v>
      </c>
      <c r="C61" s="106">
        <v>156400</v>
      </c>
      <c r="D61" s="106">
        <v>2426</v>
      </c>
      <c r="E61" s="106">
        <v>7568</v>
      </c>
      <c r="F61" s="96">
        <v>56</v>
      </c>
      <c r="G61" s="106">
        <v>156400</v>
      </c>
      <c r="H61" s="106">
        <v>1053</v>
      </c>
      <c r="I61" s="106">
        <v>3778</v>
      </c>
    </row>
    <row r="62" spans="1:9">
      <c r="A62" s="106">
        <v>162800</v>
      </c>
      <c r="B62" s="97">
        <v>57</v>
      </c>
      <c r="C62" s="106">
        <v>162800</v>
      </c>
      <c r="D62" s="106">
        <v>2525</v>
      </c>
      <c r="E62" s="106">
        <v>7878</v>
      </c>
      <c r="F62" s="96">
        <v>57</v>
      </c>
      <c r="G62" s="106">
        <v>162800</v>
      </c>
      <c r="H62" s="106">
        <v>1053</v>
      </c>
      <c r="I62" s="106">
        <v>3778</v>
      </c>
    </row>
    <row r="63" spans="1:9">
      <c r="A63" s="106">
        <v>169200</v>
      </c>
      <c r="B63" s="97">
        <v>58</v>
      </c>
      <c r="C63" s="106">
        <v>169200</v>
      </c>
      <c r="D63" s="106">
        <v>2624</v>
      </c>
      <c r="E63" s="106">
        <v>8188</v>
      </c>
      <c r="F63" s="96">
        <v>58</v>
      </c>
      <c r="G63" s="106">
        <v>169200</v>
      </c>
      <c r="H63" s="106">
        <v>1053</v>
      </c>
      <c r="I63" s="106">
        <v>3778</v>
      </c>
    </row>
    <row r="64" spans="1:9">
      <c r="A64" s="106">
        <v>175600</v>
      </c>
      <c r="B64" s="97">
        <v>59</v>
      </c>
      <c r="C64" s="106">
        <v>175600</v>
      </c>
      <c r="D64" s="106">
        <v>2724</v>
      </c>
      <c r="E64" s="106">
        <v>8497</v>
      </c>
      <c r="F64" s="96">
        <v>59</v>
      </c>
      <c r="G64" s="106">
        <v>175600</v>
      </c>
      <c r="H64" s="106">
        <v>1053</v>
      </c>
      <c r="I64" s="106">
        <v>3778</v>
      </c>
    </row>
    <row r="65" spans="1:9">
      <c r="A65" s="106">
        <v>182000</v>
      </c>
      <c r="B65" s="97">
        <v>60</v>
      </c>
      <c r="C65" s="106">
        <v>182000</v>
      </c>
      <c r="D65" s="106">
        <v>2823</v>
      </c>
      <c r="E65" s="106">
        <v>8807</v>
      </c>
      <c r="F65" s="96">
        <v>60</v>
      </c>
      <c r="G65" s="106">
        <v>182000</v>
      </c>
      <c r="H65" s="106">
        <v>1053</v>
      </c>
      <c r="I65" s="106">
        <v>3778</v>
      </c>
    </row>
    <row r="66" spans="1:9">
      <c r="A66" s="106">
        <v>189500</v>
      </c>
      <c r="B66" s="97">
        <v>61</v>
      </c>
      <c r="C66" s="106">
        <v>189500</v>
      </c>
      <c r="D66" s="106">
        <v>2939</v>
      </c>
      <c r="E66" s="106">
        <v>9170</v>
      </c>
      <c r="F66" s="96">
        <v>61</v>
      </c>
      <c r="G66" s="106">
        <v>189500</v>
      </c>
      <c r="H66" s="106">
        <v>1053</v>
      </c>
      <c r="I66" s="106">
        <v>3778</v>
      </c>
    </row>
    <row r="67" spans="1:9">
      <c r="A67" s="106">
        <v>197000</v>
      </c>
      <c r="B67" s="97">
        <v>62</v>
      </c>
      <c r="C67" s="106">
        <v>197000</v>
      </c>
      <c r="D67" s="106">
        <v>3055</v>
      </c>
      <c r="E67" s="106">
        <v>9533</v>
      </c>
      <c r="F67" s="96">
        <v>62</v>
      </c>
      <c r="G67" s="106">
        <v>197000</v>
      </c>
      <c r="H67" s="106">
        <v>1053</v>
      </c>
      <c r="I67" s="106">
        <v>3778</v>
      </c>
    </row>
    <row r="68" spans="1:9">
      <c r="A68" s="106">
        <v>204500</v>
      </c>
      <c r="B68" s="97">
        <v>63</v>
      </c>
      <c r="C68" s="106">
        <v>204500</v>
      </c>
      <c r="D68" s="106">
        <v>3172</v>
      </c>
      <c r="E68" s="106">
        <v>9896</v>
      </c>
      <c r="F68" s="96">
        <v>63</v>
      </c>
      <c r="G68" s="106">
        <v>204500</v>
      </c>
      <c r="H68" s="106">
        <v>1053</v>
      </c>
      <c r="I68" s="106">
        <v>3778</v>
      </c>
    </row>
    <row r="69" spans="1:9">
      <c r="A69" s="106">
        <v>212000</v>
      </c>
      <c r="B69" s="97">
        <v>64</v>
      </c>
      <c r="C69" s="106">
        <v>212000</v>
      </c>
      <c r="D69" s="106">
        <v>3288</v>
      </c>
      <c r="E69" s="106">
        <v>10259</v>
      </c>
      <c r="F69" s="96">
        <v>64</v>
      </c>
      <c r="G69" s="106">
        <v>212000</v>
      </c>
      <c r="H69" s="106">
        <v>1053</v>
      </c>
      <c r="I69" s="106">
        <v>3778</v>
      </c>
    </row>
    <row r="70" spans="1:9">
      <c r="A70" s="106">
        <v>219500</v>
      </c>
      <c r="B70" s="97">
        <v>65</v>
      </c>
      <c r="C70" s="106">
        <v>219500</v>
      </c>
      <c r="D70" s="106">
        <v>3404</v>
      </c>
      <c r="E70" s="106">
        <v>10622</v>
      </c>
      <c r="F70" s="96">
        <v>65</v>
      </c>
      <c r="G70" s="106">
        <v>219500</v>
      </c>
      <c r="H70" s="106">
        <v>1053</v>
      </c>
      <c r="I70" s="106">
        <v>3778</v>
      </c>
    </row>
    <row r="71" spans="1:9">
      <c r="A71" s="106">
        <v>228200</v>
      </c>
      <c r="B71" s="97">
        <v>66</v>
      </c>
      <c r="C71" s="106">
        <v>228200</v>
      </c>
      <c r="D71" s="106">
        <v>3539</v>
      </c>
      <c r="E71" s="106">
        <v>11043</v>
      </c>
      <c r="F71" s="96">
        <v>66</v>
      </c>
      <c r="G71" s="106">
        <v>228200</v>
      </c>
      <c r="H71" s="106">
        <v>1053</v>
      </c>
      <c r="I71" s="106">
        <v>3778</v>
      </c>
    </row>
    <row r="72" spans="1:9">
      <c r="A72" s="106">
        <v>236900</v>
      </c>
      <c r="B72" s="97">
        <v>67</v>
      </c>
      <c r="C72" s="106">
        <v>236900</v>
      </c>
      <c r="D72" s="106">
        <v>3674</v>
      </c>
      <c r="E72" s="106">
        <v>11464</v>
      </c>
      <c r="F72" s="96">
        <v>67</v>
      </c>
      <c r="G72" s="106">
        <v>236900</v>
      </c>
      <c r="H72" s="106">
        <v>1053</v>
      </c>
      <c r="I72" s="106">
        <v>3778</v>
      </c>
    </row>
    <row r="73" spans="1:9">
      <c r="A73" s="106">
        <v>245600</v>
      </c>
      <c r="B73" s="97">
        <v>68</v>
      </c>
      <c r="C73" s="106">
        <v>245600</v>
      </c>
      <c r="D73" s="106">
        <v>3809</v>
      </c>
      <c r="E73" s="106">
        <v>11885</v>
      </c>
      <c r="F73" s="96">
        <v>68</v>
      </c>
      <c r="G73" s="106">
        <v>245600</v>
      </c>
      <c r="H73" s="106">
        <v>1053</v>
      </c>
      <c r="I73" s="106">
        <v>3778</v>
      </c>
    </row>
    <row r="74" spans="1:9">
      <c r="A74" s="106">
        <v>254300</v>
      </c>
      <c r="B74" s="97">
        <v>69</v>
      </c>
      <c r="C74" s="106">
        <v>254300</v>
      </c>
      <c r="D74" s="106">
        <v>3944</v>
      </c>
      <c r="E74" s="106">
        <v>12306</v>
      </c>
      <c r="F74" s="96">
        <v>69</v>
      </c>
      <c r="G74" s="106">
        <v>254300</v>
      </c>
      <c r="H74" s="106">
        <v>1053</v>
      </c>
      <c r="I74" s="106">
        <v>3778</v>
      </c>
    </row>
    <row r="75" spans="1:9">
      <c r="A75" s="106">
        <v>263000</v>
      </c>
      <c r="B75" s="97">
        <v>70</v>
      </c>
      <c r="C75" s="106">
        <v>263000</v>
      </c>
      <c r="D75" s="106">
        <v>4079</v>
      </c>
      <c r="E75" s="106">
        <v>12727</v>
      </c>
      <c r="F75" s="96">
        <v>70</v>
      </c>
      <c r="G75" s="106">
        <v>263000</v>
      </c>
      <c r="H75" s="106">
        <v>1053</v>
      </c>
      <c r="I75" s="106">
        <v>3778</v>
      </c>
    </row>
    <row r="76" spans="1:9">
      <c r="A76" s="106">
        <v>273000</v>
      </c>
      <c r="B76" s="97">
        <v>71</v>
      </c>
      <c r="C76" s="106">
        <v>273000</v>
      </c>
      <c r="D76" s="106">
        <v>4234</v>
      </c>
      <c r="E76" s="106">
        <v>13211</v>
      </c>
      <c r="F76" s="96">
        <v>71</v>
      </c>
      <c r="G76" s="106">
        <v>273000</v>
      </c>
      <c r="H76" s="106">
        <v>1053</v>
      </c>
      <c r="I76" s="106">
        <v>3778</v>
      </c>
    </row>
    <row r="77" spans="1:9">
      <c r="A77" s="106">
        <v>283000</v>
      </c>
      <c r="B77" s="97">
        <v>72</v>
      </c>
      <c r="C77" s="106">
        <v>283000</v>
      </c>
      <c r="D77" s="106">
        <v>4389</v>
      </c>
      <c r="E77" s="106">
        <v>13695</v>
      </c>
      <c r="F77" s="96">
        <v>72</v>
      </c>
      <c r="G77" s="106">
        <v>283000</v>
      </c>
      <c r="H77" s="106">
        <v>1053</v>
      </c>
      <c r="I77" s="106">
        <v>3778</v>
      </c>
    </row>
    <row r="78" spans="1:9">
      <c r="A78" s="106">
        <v>293000</v>
      </c>
      <c r="B78" s="97">
        <v>73</v>
      </c>
      <c r="C78" s="106">
        <v>293000</v>
      </c>
      <c r="D78" s="106">
        <v>4544</v>
      </c>
      <c r="E78" s="106">
        <v>14179</v>
      </c>
      <c r="F78" s="96">
        <v>73</v>
      </c>
      <c r="G78" s="106">
        <v>293000</v>
      </c>
      <c r="H78" s="106">
        <v>1053</v>
      </c>
      <c r="I78" s="106">
        <v>3778</v>
      </c>
    </row>
    <row r="79" spans="1:9">
      <c r="A79" s="106">
        <v>303000</v>
      </c>
      <c r="B79" s="97">
        <v>74</v>
      </c>
      <c r="C79" s="106">
        <v>303000</v>
      </c>
      <c r="D79" s="106">
        <v>4700</v>
      </c>
      <c r="E79" s="106">
        <v>14663</v>
      </c>
      <c r="F79" s="96">
        <v>74</v>
      </c>
      <c r="G79" s="106">
        <v>303000</v>
      </c>
      <c r="H79" s="106">
        <v>1053</v>
      </c>
      <c r="I79" s="106">
        <v>3778</v>
      </c>
    </row>
    <row r="80" spans="1:9">
      <c r="A80" s="106">
        <v>313000</v>
      </c>
      <c r="B80" s="97">
        <v>75</v>
      </c>
      <c r="C80" s="106">
        <v>313000</v>
      </c>
      <c r="D80" s="106">
        <v>4855</v>
      </c>
      <c r="E80" s="106">
        <v>15146</v>
      </c>
      <c r="F80" s="96">
        <v>75</v>
      </c>
      <c r="G80" s="106">
        <v>313000</v>
      </c>
      <c r="H80" s="106">
        <v>1053</v>
      </c>
      <c r="I80" s="106">
        <v>3778</v>
      </c>
    </row>
  </sheetData>
  <mergeCells count="3">
    <mergeCell ref="G3:I3"/>
    <mergeCell ref="C4:E4"/>
    <mergeCell ref="G4:I4"/>
  </mergeCells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0ff829c-5328-4041-8e8f-a41155b380ee" xsi:nil="true"/>
    <lcf76f155ced4ddcb4097134ff3c332f xmlns="d627f54e-f962-403c-9056-fc9f08248a0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A55CC3C3BD834BA343262FD5D71E76" ma:contentTypeVersion="18" ma:contentTypeDescription="Create a new document." ma:contentTypeScope="" ma:versionID="6a3ac1b25229f7f744200c02d23e4089">
  <xsd:schema xmlns:xsd="http://www.w3.org/2001/XMLSchema" xmlns:xs="http://www.w3.org/2001/XMLSchema" xmlns:p="http://schemas.microsoft.com/office/2006/metadata/properties" xmlns:ns2="d627f54e-f962-403c-9056-fc9f08248a08" xmlns:ns3="00ff829c-5328-4041-8e8f-a41155b380ee" targetNamespace="http://schemas.microsoft.com/office/2006/metadata/properties" ma:root="true" ma:fieldsID="465a83da5b0fc7f9619e44150761f9e9" ns2:_="" ns3:_="">
    <xsd:import namespace="d627f54e-f962-403c-9056-fc9f08248a08"/>
    <xsd:import namespace="00ff829c-5328-4041-8e8f-a41155b380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27f54e-f962-403c-9056-fc9f08248a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5ddd8d0-bf53-41a6-917a-6eb97754df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ff829c-5328-4041-8e8f-a41155b380e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ac505a6-63dc-4bf4-b786-d4f4c64093de}" ma:internalName="TaxCatchAll" ma:showField="CatchAllData" ma:web="00ff829c-5328-4041-8e8f-a41155b380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4DBE97-449C-4DC5-A221-8A583BD1A9B2}"/>
</file>

<file path=customXml/itemProps2.xml><?xml version="1.0" encoding="utf-8"?>
<ds:datastoreItem xmlns:ds="http://schemas.openxmlformats.org/officeDocument/2006/customXml" ds:itemID="{8321934C-4B77-41AC-9C4C-6EB3EE4027D1}"/>
</file>

<file path=customXml/itemProps3.xml><?xml version="1.0" encoding="utf-8"?>
<ds:datastoreItem xmlns:ds="http://schemas.openxmlformats.org/officeDocument/2006/customXml" ds:itemID="{65EABA91-02BE-4A01-ADCB-00E1E3BD75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Angela Lee</dc:creator>
  <cp:keywords/>
  <dc:description/>
  <cp:lastModifiedBy>Chalotra, Komal</cp:lastModifiedBy>
  <cp:revision/>
  <dcterms:created xsi:type="dcterms:W3CDTF">2020-11-17T03:10:00Z</dcterms:created>
  <dcterms:modified xsi:type="dcterms:W3CDTF">2025-06-09T03:35:06Z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0x010100AAA55CC3C3BD834BA343262FD5D71E76</vt:lpwstr>
  </property>
  <property fmtid="{D5CDD505-2E9C-101B-9397-08002B2CF9AE}" pid="3" name="MediaServiceImageTags">
    <vt:lpwstr/>
  </property>
</Properties>
</file>