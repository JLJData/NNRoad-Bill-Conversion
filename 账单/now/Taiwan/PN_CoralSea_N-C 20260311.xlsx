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one\Downloads\"/>
    </mc:Choice>
  </mc:AlternateContent>
  <xr:revisionPtr revIDLastSave="0" documentId="13_ncr:1_{BC78F6A6-8093-4835-9458-6DEBCA428046}" xr6:coauthVersionLast="47" xr6:coauthVersionMax="47" xr10:uidLastSave="{00000000-0000-0000-0000-000000000000}"/>
  <bookViews>
    <workbookView xWindow="-110" yWindow="-110" windowWidth="25820" windowHeight="15500" xr2:uid="{F8FFF0BD-3D2E-4E7E-A08D-1F0322B984DB}"/>
  </bookViews>
  <sheets>
    <sheet name="PN" sheetId="6" r:id="rId1"/>
    <sheet name="TW" sheetId="2" r:id="rId2"/>
    <sheet name="TW EE" sheetId="5" r:id="rId3"/>
    <sheet name="TW-L" sheetId="3" r:id="rId4"/>
    <sheet name="FI Repor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" i="6" l="1"/>
  <c r="A21" i="6"/>
  <c r="E21" i="6"/>
  <c r="F21" i="6" s="1"/>
  <c r="B11" i="2"/>
  <c r="C11" i="2"/>
  <c r="K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AA11" i="2"/>
  <c r="Z11" i="2" s="1"/>
  <c r="AB11" i="2"/>
  <c r="I11" i="2" s="1"/>
  <c r="AC11" i="2"/>
  <c r="B12" i="5"/>
  <c r="C12" i="5"/>
  <c r="E12" i="5"/>
  <c r="F12" i="5"/>
  <c r="G12" i="5"/>
  <c r="J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Z12" i="5"/>
  <c r="Y12" i="5" s="1"/>
  <c r="AB12" i="5"/>
  <c r="AA12" i="5" s="1"/>
  <c r="AC12" i="5"/>
  <c r="AD12" i="5"/>
  <c r="AE12" i="5"/>
  <c r="AG12" i="5"/>
  <c r="H8" i="3"/>
  <c r="J11" i="2" l="1"/>
  <c r="E18" i="6" s="1"/>
  <c r="F18" i="6" s="1"/>
  <c r="I12" i="5"/>
  <c r="H12" i="5" s="1"/>
  <c r="H11" i="2"/>
  <c r="G11" i="2" s="1"/>
  <c r="E11" i="2" s="1"/>
  <c r="U9" i="3" l="1"/>
  <c r="C10" i="2"/>
  <c r="C9" i="2"/>
  <c r="H2" i="4"/>
  <c r="E2" i="4"/>
  <c r="D2" i="4"/>
  <c r="A31" i="6"/>
  <c r="E14" i="6"/>
  <c r="F35" i="6"/>
  <c r="F33" i="6"/>
  <c r="I2" i="4" s="1"/>
  <c r="F34" i="6"/>
  <c r="F32" i="6"/>
  <c r="B11" i="5" l="1"/>
  <c r="B10" i="5"/>
  <c r="C10" i="5"/>
  <c r="C11" i="5"/>
  <c r="C2" i="2"/>
  <c r="B2" i="2"/>
  <c r="A18" i="6" s="1"/>
  <c r="E25" i="2"/>
  <c r="E21" i="2"/>
  <c r="F10" i="6"/>
  <c r="A24" i="6" l="1"/>
  <c r="L6" i="2" l="1"/>
  <c r="F6" i="2"/>
  <c r="J10" i="5"/>
  <c r="J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Z11" i="5"/>
  <c r="Y11" i="5" s="1"/>
  <c r="AB11" i="5"/>
  <c r="AC11" i="5"/>
  <c r="AD11" i="5"/>
  <c r="AE11" i="5"/>
  <c r="AG11" i="5"/>
  <c r="E11" i="5"/>
  <c r="E10" i="5"/>
  <c r="F11" i="5"/>
  <c r="G11" i="5"/>
  <c r="B10" i="2"/>
  <c r="K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AA10" i="2"/>
  <c r="Z10" i="2" s="1"/>
  <c r="AC10" i="2"/>
  <c r="AB10" i="2" s="1"/>
  <c r="B2" i="4" l="1"/>
  <c r="I10" i="2"/>
  <c r="E20" i="6"/>
  <c r="F20" i="6" s="1"/>
  <c r="A20" i="6"/>
  <c r="A17" i="6"/>
  <c r="J10" i="2"/>
  <c r="AA11" i="5"/>
  <c r="I11" i="5"/>
  <c r="AD10" i="5"/>
  <c r="AC10" i="5"/>
  <c r="AB10" i="5"/>
  <c r="X10" i="5"/>
  <c r="W10" i="5"/>
  <c r="Y9" i="2"/>
  <c r="Y6" i="2" s="1"/>
  <c r="X9" i="2"/>
  <c r="X6" i="2" s="1"/>
  <c r="T9" i="2"/>
  <c r="T6" i="2" s="1"/>
  <c r="U9" i="2"/>
  <c r="U6" i="2" s="1"/>
  <c r="V9" i="2"/>
  <c r="V6" i="2" s="1"/>
  <c r="W9" i="2"/>
  <c r="W6" i="2" s="1"/>
  <c r="S9" i="2"/>
  <c r="S6" i="2" s="1"/>
  <c r="S10" i="5"/>
  <c r="T10" i="5"/>
  <c r="U10" i="5"/>
  <c r="V10" i="5"/>
  <c r="R10" i="5"/>
  <c r="O9" i="2"/>
  <c r="O6" i="2" s="1"/>
  <c r="P9" i="2"/>
  <c r="P6" i="2" s="1"/>
  <c r="Q9" i="2"/>
  <c r="Q6" i="2" s="1"/>
  <c r="N9" i="2"/>
  <c r="N6" i="2" s="1"/>
  <c r="N10" i="5"/>
  <c r="O10" i="5"/>
  <c r="P10" i="5"/>
  <c r="M10" i="5"/>
  <c r="I8" i="3"/>
  <c r="J8" i="3"/>
  <c r="K8" i="3"/>
  <c r="L8" i="3"/>
  <c r="H11" i="5" l="1"/>
  <c r="H10" i="2"/>
  <c r="G10" i="2" s="1"/>
  <c r="E10" i="2" s="1"/>
  <c r="E17" i="6"/>
  <c r="F17" i="6" s="1"/>
  <c r="V8" i="3"/>
  <c r="W8" i="3"/>
  <c r="S8" i="3"/>
  <c r="BD8" i="3" l="1"/>
  <c r="AR8" i="3"/>
  <c r="AI8" i="3"/>
  <c r="AG8" i="3"/>
  <c r="N8" i="3"/>
  <c r="BN8" i="3"/>
  <c r="AK8" i="3"/>
  <c r="BJ8" i="3"/>
  <c r="BI8" i="3"/>
  <c r="BG8" i="3"/>
  <c r="BF8" i="3"/>
  <c r="BE8" i="3"/>
  <c r="BC8" i="3"/>
  <c r="AW8" i="3"/>
  <c r="AV8" i="3"/>
  <c r="AU8" i="3"/>
  <c r="AT8" i="3"/>
  <c r="AS8" i="3"/>
  <c r="AQ8" i="3"/>
  <c r="AP8" i="3"/>
  <c r="AO8" i="3"/>
  <c r="AN8" i="3"/>
  <c r="AM8" i="3"/>
  <c r="AL8" i="3"/>
  <c r="AJ8" i="3"/>
  <c r="AH8" i="3"/>
  <c r="AF8" i="3"/>
  <c r="AD8" i="3"/>
  <c r="AB8" i="3"/>
  <c r="AA8" i="3"/>
  <c r="Z8" i="3"/>
  <c r="Y8" i="3"/>
  <c r="X8" i="3"/>
  <c r="U8" i="3"/>
  <c r="T8" i="3"/>
  <c r="R8" i="3"/>
  <c r="Q8" i="3"/>
  <c r="P8" i="3"/>
  <c r="O8" i="3"/>
  <c r="M8" i="3"/>
  <c r="Z10" i="5"/>
  <c r="Y10" i="5" s="1"/>
  <c r="Q10" i="5"/>
  <c r="R9" i="2"/>
  <c r="R6" i="2" s="1"/>
  <c r="BB8" i="3" l="1"/>
  <c r="AE8" i="3"/>
  <c r="L10" i="5"/>
  <c r="I10" i="5" s="1"/>
  <c r="M9" i="2"/>
  <c r="M6" i="2" s="1"/>
  <c r="AC8" i="3"/>
  <c r="AX8" i="3"/>
  <c r="K9" i="2"/>
  <c r="G10" i="5"/>
  <c r="F10" i="5"/>
  <c r="J9" i="2" l="1"/>
  <c r="K6" i="2"/>
  <c r="BK8" i="3"/>
  <c r="BM8" i="3"/>
  <c r="AZ8" i="3"/>
  <c r="AG10" i="5"/>
  <c r="A1" i="5"/>
  <c r="J6" i="2" l="1"/>
  <c r="BH8" i="3"/>
  <c r="AY8" i="3"/>
  <c r="BA8" i="3"/>
  <c r="AE10" i="5"/>
  <c r="AA10" i="5" s="1"/>
  <c r="H10" i="5" s="1"/>
  <c r="B9" i="2"/>
  <c r="AC9" i="2"/>
  <c r="AC6" i="2" s="1"/>
  <c r="A19" i="6" l="1"/>
  <c r="A16" i="6"/>
  <c r="BO8" i="3"/>
  <c r="BL8" i="3" l="1"/>
  <c r="AA9" i="2"/>
  <c r="Z9" i="2" l="1"/>
  <c r="AA6" i="2"/>
  <c r="E16" i="6" l="1"/>
  <c r="H9" i="2"/>
  <c r="H6" i="2" s="1"/>
  <c r="Z6" i="2"/>
  <c r="F16" i="6" l="1"/>
  <c r="E15" i="6"/>
  <c r="A1" i="2"/>
  <c r="AB9" i="2"/>
  <c r="AB6" i="2" l="1"/>
  <c r="E19" i="6"/>
  <c r="I9" i="2"/>
  <c r="I6" i="2" s="1"/>
  <c r="F19" i="6" l="1"/>
  <c r="F15" i="6" s="1"/>
  <c r="G9" i="2"/>
  <c r="E9" i="2" s="1"/>
  <c r="A2" i="4" l="1"/>
  <c r="G6" i="2"/>
  <c r="E24" i="6" s="1"/>
  <c r="E6" i="2"/>
  <c r="E23" i="6" l="1"/>
  <c r="E28" i="6" s="1"/>
  <c r="F24" i="6"/>
  <c r="F23" i="6" s="1"/>
  <c r="C2" i="4" l="1"/>
  <c r="K2" i="4" s="1"/>
  <c r="F28" i="6"/>
  <c r="F31" i="6" s="1"/>
  <c r="F36" i="6" s="1"/>
  <c r="F3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Bella Chung</author>
  </authors>
  <commentList>
    <comment ref="AY7" authorId="0" shapeId="0" xr:uid="{60FF5A8E-5CC7-3A4D-8898-22DD98A3B6F7}">
      <text>
        <r>
          <rPr>
            <b/>
            <sz val="9"/>
            <color rgb="FF000000"/>
            <rFont val="Tahoma"/>
            <family val="2"/>
          </rPr>
          <t>Bella Chung: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HI, charged if gross&gt;24000</t>
        </r>
      </text>
    </comment>
  </commentList>
</comments>
</file>

<file path=xl/sharedStrings.xml><?xml version="1.0" encoding="utf-8"?>
<sst xmlns="http://schemas.openxmlformats.org/spreadsheetml/2006/main" count="225" uniqueCount="190">
  <si>
    <t>Mandatory Contribution</t>
    <phoneticPr fontId="1" type="noConversion"/>
  </si>
  <si>
    <t>Sum</t>
    <phoneticPr fontId="1" type="noConversion"/>
  </si>
  <si>
    <t>Subtotal</t>
    <phoneticPr fontId="1" type="noConversion"/>
  </si>
  <si>
    <t>Expense Claim</t>
    <phoneticPr fontId="1" type="noConversion"/>
  </si>
  <si>
    <t>EE</t>
    <phoneticPr fontId="1" type="noConversion"/>
  </si>
  <si>
    <t>Deduction</t>
    <phoneticPr fontId="1" type="noConversion"/>
  </si>
  <si>
    <t>IIT</t>
    <phoneticPr fontId="1" type="noConversion"/>
  </si>
  <si>
    <t>Subtotal</t>
    <phoneticPr fontId="1" type="noConversion"/>
  </si>
  <si>
    <t>Gross Salary</t>
    <phoneticPr fontId="1" type="noConversion"/>
  </si>
  <si>
    <t>Expense
Claim</t>
    <phoneticPr fontId="1" type="noConversion"/>
  </si>
  <si>
    <t>Business
Tax</t>
    <phoneticPr fontId="1" type="noConversion"/>
  </si>
  <si>
    <t>Salary
Adjustment</t>
    <phoneticPr fontId="1" type="noConversion"/>
  </si>
  <si>
    <t>Basic
Salary</t>
    <phoneticPr fontId="1" type="noConversion"/>
  </si>
  <si>
    <t>Net
Income</t>
    <phoneticPr fontId="1" type="noConversion"/>
  </si>
  <si>
    <t>NNRoad</t>
    <phoneticPr fontId="7" type="noConversion"/>
  </si>
  <si>
    <t>Payroll for the month of</t>
  </si>
  <si>
    <t>Start Date&gt;</t>
  </si>
  <si>
    <t>OT</t>
    <phoneticPr fontId="1" type="noConversion"/>
  </si>
  <si>
    <t>LI</t>
    <phoneticPr fontId="1" type="noConversion"/>
  </si>
  <si>
    <t>HI</t>
    <phoneticPr fontId="1" type="noConversion"/>
  </si>
  <si>
    <t>2G HI</t>
    <phoneticPr fontId="1" type="noConversion"/>
  </si>
  <si>
    <t>Pension</t>
    <phoneticPr fontId="1" type="noConversion"/>
  </si>
  <si>
    <t>Subtotal</t>
    <phoneticPr fontId="1" type="noConversion"/>
  </si>
  <si>
    <t>Recurring
Fee</t>
    <phoneticPr fontId="1" type="noConversion"/>
  </si>
  <si>
    <t>Expense
Fee</t>
    <phoneticPr fontId="1" type="noConversion"/>
  </si>
  <si>
    <t>ER</t>
  </si>
  <si>
    <t>(NTD)</t>
    <phoneticPr fontId="1" type="noConversion"/>
  </si>
  <si>
    <t>Management Fee
Fee</t>
  </si>
  <si>
    <t>End Date&gt;</t>
  </si>
  <si>
    <t>Deposit</t>
  </si>
  <si>
    <t>Overtime Payment</t>
    <phoneticPr fontId="6" type="noConversion"/>
  </si>
  <si>
    <t>Client Code</t>
  </si>
  <si>
    <t>Client Name</t>
  </si>
  <si>
    <t>EE Code</t>
  </si>
  <si>
    <t>EE Name</t>
  </si>
  <si>
    <t>Pay Period</t>
  </si>
  <si>
    <t>From</t>
  </si>
  <si>
    <t>To</t>
  </si>
  <si>
    <t>EOR/PEO(NTD)</t>
  </si>
  <si>
    <t>BU</t>
  </si>
  <si>
    <t>CN Name</t>
    <phoneticPr fontId="14" type="noConversion"/>
  </si>
  <si>
    <t>EN Name</t>
    <phoneticPr fontId="14" type="noConversion"/>
  </si>
  <si>
    <t xml:space="preserve">Position </t>
    <phoneticPr fontId="14" type="noConversion"/>
  </si>
  <si>
    <t>Start Date</t>
  </si>
  <si>
    <t>End Date</t>
  </si>
  <si>
    <t>FT/PT</t>
    <phoneticPr fontId="14" type="noConversion"/>
  </si>
  <si>
    <r>
      <rPr>
        <sz val="10"/>
        <color theme="1"/>
        <rFont val="細明體"/>
        <family val="3"/>
        <charset val="136"/>
      </rPr>
      <t xml:space="preserve">薪資
</t>
    </r>
    <r>
      <rPr>
        <sz val="10"/>
        <color theme="1"/>
        <rFont val="Calibri"/>
        <family val="2"/>
      </rPr>
      <t>Basic Salary</t>
    </r>
    <phoneticPr fontId="14" type="noConversion"/>
  </si>
  <si>
    <t>Allw- Phone/ Communication</t>
    <phoneticPr fontId="14" type="noConversion"/>
  </si>
  <si>
    <t>Allw 
Transportation</t>
    <phoneticPr fontId="14" type="noConversion"/>
  </si>
  <si>
    <t>Back Pay</t>
    <phoneticPr fontId="14" type="noConversion"/>
  </si>
  <si>
    <r>
      <rPr>
        <sz val="10"/>
        <color theme="1"/>
        <rFont val="細明體"/>
        <family val="3"/>
        <charset val="136"/>
      </rPr>
      <t>伙食津貼</t>
    </r>
    <r>
      <rPr>
        <sz val="10"/>
        <color theme="1"/>
        <rFont val="Calibri"/>
        <family val="2"/>
      </rPr>
      <t>Allw Meal</t>
    </r>
    <phoneticPr fontId="14" type="noConversion"/>
  </si>
  <si>
    <r>
      <rPr>
        <sz val="10"/>
        <color theme="1"/>
        <rFont val="細明體"/>
        <family val="3"/>
        <charset val="136"/>
      </rPr>
      <t>病假時數</t>
    </r>
    <r>
      <rPr>
        <sz val="10"/>
        <color theme="1"/>
        <rFont val="Calibri"/>
        <family val="2"/>
      </rPr>
      <t xml:space="preserve"> Sick Leave Hours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</si>
  <si>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病假扣薪
</t>
    </r>
    <r>
      <rPr>
        <sz val="10"/>
        <color theme="1"/>
        <rFont val="Calibri"/>
        <family val="2"/>
      </rPr>
      <t>Sick Leave
(half pay)</t>
    </r>
    <phoneticPr fontId="14" type="noConversion"/>
  </si>
  <si>
    <t>Bonus VB</t>
    <phoneticPr fontId="14" type="noConversion"/>
  </si>
  <si>
    <t>Incentives</t>
    <phoneticPr fontId="14" type="noConversion"/>
  </si>
  <si>
    <t>Hr (1.34x)</t>
    <phoneticPr fontId="14" type="noConversion"/>
  </si>
  <si>
    <t>OT Payment (1.34x)</t>
    <phoneticPr fontId="14" type="noConversion"/>
  </si>
  <si>
    <t>Hr (1.67x)</t>
    <phoneticPr fontId="14" type="noConversion"/>
  </si>
  <si>
    <t>OT Payment (1.67x)</t>
    <phoneticPr fontId="14" type="noConversion"/>
  </si>
  <si>
    <t>Hr (1x)</t>
    <phoneticPr fontId="14" type="noConversion"/>
  </si>
  <si>
    <t>OT Payment (1x)</t>
    <phoneticPr fontId="14" type="noConversion"/>
  </si>
  <si>
    <t>Hr (2.67x)</t>
  </si>
  <si>
    <t>OT Payment (2.67x)</t>
  </si>
  <si>
    <r>
      <rPr>
        <sz val="10"/>
        <color theme="1"/>
        <rFont val="細明體"/>
        <family val="3"/>
        <charset val="136"/>
      </rPr>
      <t xml:space="preserve">勞保級距
</t>
    </r>
    <r>
      <rPr>
        <sz val="10"/>
        <color theme="1"/>
        <rFont val="Calibri"/>
        <family val="2"/>
      </rPr>
      <t>Insured Salary Grading - LI</t>
    </r>
    <phoneticPr fontId="14" type="noConversion"/>
  </si>
  <si>
    <r>
      <rPr>
        <sz val="10"/>
        <color theme="1"/>
        <rFont val="細明體"/>
        <family val="3"/>
        <charset val="136"/>
      </rPr>
      <t>勞退級距</t>
    </r>
    <r>
      <rPr>
        <sz val="10"/>
        <color theme="1"/>
        <rFont val="Calibri"/>
        <family val="2"/>
      </rPr>
      <t xml:space="preserve"> Pension Salary Grading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</si>
  <si>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健保眷屬
</t>
    </r>
    <r>
      <rPr>
        <sz val="10"/>
        <color theme="1"/>
        <rFont val="Calibri"/>
        <family val="2"/>
      </rPr>
      <t>HI Dependent (person)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</si>
  <si>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勞保投保天數
</t>
    </r>
    <r>
      <rPr>
        <sz val="10"/>
        <color theme="1"/>
        <rFont val="Calibri"/>
        <family val="2"/>
      </rPr>
      <t>LI Days</t>
    </r>
    <phoneticPr fontId="14" type="noConversion"/>
  </si>
  <si>
    <r>
      <rPr>
        <sz val="10"/>
        <color theme="1"/>
        <rFont val="新細明體"/>
        <family val="2"/>
        <charset val="136"/>
      </rPr>
      <t xml:space="preserve">所得稅代扣
</t>
    </r>
    <r>
      <rPr>
        <sz val="10"/>
        <color theme="1"/>
        <rFont val="Calibri"/>
        <family val="2"/>
      </rPr>
      <t>Withholding Tax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</si>
  <si>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勞退自提
</t>
    </r>
    <r>
      <rPr>
        <sz val="10"/>
        <color theme="1"/>
        <rFont val="Calibri"/>
        <family val="2"/>
      </rPr>
      <t>Pension EE</t>
    </r>
    <phoneticPr fontId="14" type="noConversion"/>
  </si>
  <si>
    <r>
      <rPr>
        <sz val="10"/>
        <color theme="1"/>
        <rFont val="新細明體"/>
        <family val="2"/>
        <charset val="136"/>
      </rPr>
      <t xml:space="preserve">勞保自付
</t>
    </r>
    <r>
      <rPr>
        <sz val="10"/>
        <color theme="1"/>
        <rFont val="Calibri"/>
        <family val="2"/>
      </rPr>
      <t>LI EE</t>
    </r>
    <phoneticPr fontId="14" type="noConversion"/>
  </si>
  <si>
    <r>
      <rPr>
        <sz val="10"/>
        <color theme="1"/>
        <rFont val="新細明體"/>
        <family val="2"/>
        <charset val="136"/>
      </rPr>
      <t xml:space="preserve">健保自付
</t>
    </r>
    <r>
      <rPr>
        <sz val="10"/>
        <color theme="1"/>
        <rFont val="Calibri"/>
        <family val="2"/>
      </rPr>
      <t>HI EE</t>
    </r>
    <phoneticPr fontId="14" type="noConversion"/>
  </si>
  <si>
    <r>
      <rPr>
        <sz val="10"/>
        <color theme="1"/>
        <rFont val="新細明體"/>
        <family val="2"/>
        <charset val="136"/>
      </rPr>
      <t xml:space="preserve">報帳
</t>
    </r>
    <r>
      <rPr>
        <sz val="10"/>
        <color theme="1"/>
        <rFont val="Calibri"/>
        <family val="2"/>
      </rPr>
      <t>Reimb Claim</t>
    </r>
    <phoneticPr fontId="14" type="noConversion"/>
  </si>
  <si>
    <r>
      <rPr>
        <sz val="10"/>
        <color theme="1"/>
        <rFont val="新細明體"/>
        <family val="2"/>
        <charset val="136"/>
      </rPr>
      <t xml:space="preserve">特休結算
</t>
    </r>
    <r>
      <rPr>
        <sz val="10"/>
        <color theme="1"/>
        <rFont val="Calibri"/>
        <family val="2"/>
      </rPr>
      <t>Untaken AL</t>
    </r>
    <phoneticPr fontId="14" type="noConversion"/>
  </si>
  <si>
    <t>資遣費
Severance</t>
    <phoneticPr fontId="14" type="noConversion"/>
  </si>
  <si>
    <t>健保眷屬
HI
Dep</t>
    <phoneticPr fontId="14" type="noConversion"/>
  </si>
  <si>
    <r>
      <rPr>
        <sz val="10"/>
        <color theme="1"/>
        <rFont val="細明體"/>
        <family val="3"/>
        <charset val="136"/>
      </rPr>
      <t>勞保自付</t>
    </r>
    <r>
      <rPr>
        <sz val="10"/>
        <color theme="1"/>
        <rFont val="Calibri"/>
        <family val="2"/>
      </rPr>
      <t>(</t>
    </r>
    <r>
      <rPr>
        <sz val="10"/>
        <color theme="1"/>
        <rFont val="細明體"/>
        <family val="3"/>
        <charset val="136"/>
      </rPr>
      <t>調整</t>
    </r>
    <r>
      <rPr>
        <sz val="10"/>
        <color theme="1"/>
        <rFont val="Calibri"/>
        <family val="2"/>
      </rPr>
      <t>)
LI EE 1T</t>
    </r>
    <phoneticPr fontId="14" type="noConversion"/>
  </si>
  <si>
    <r>
      <rPr>
        <sz val="10"/>
        <color theme="1"/>
        <rFont val="細明體"/>
        <family val="3"/>
        <charset val="136"/>
      </rPr>
      <t>健保自付</t>
    </r>
    <r>
      <rPr>
        <sz val="10"/>
        <color theme="1"/>
        <rFont val="Calibri"/>
        <family val="2"/>
      </rPr>
      <t>(</t>
    </r>
    <r>
      <rPr>
        <sz val="10"/>
        <color theme="1"/>
        <rFont val="細明體"/>
        <family val="3"/>
        <charset val="136"/>
      </rPr>
      <t>調整</t>
    </r>
    <r>
      <rPr>
        <sz val="10"/>
        <color theme="1"/>
        <rFont val="Calibri"/>
        <family val="2"/>
      </rPr>
      <t>)
HI EE 1T</t>
    </r>
    <phoneticPr fontId="14" type="noConversion"/>
  </si>
  <si>
    <r>
      <rPr>
        <sz val="10"/>
        <color theme="1"/>
        <rFont val="新細明體"/>
        <family val="2"/>
        <charset val="136"/>
      </rPr>
      <t xml:space="preserve">二代健保
自付
</t>
    </r>
    <r>
      <rPr>
        <sz val="10"/>
        <color theme="1"/>
        <rFont val="Calibri"/>
        <family val="2"/>
      </rPr>
      <t>2G HI EE</t>
    </r>
    <phoneticPr fontId="14" type="noConversion"/>
  </si>
  <si>
    <t>Gross Taxable Income</t>
    <phoneticPr fontId="14" type="noConversion"/>
  </si>
  <si>
    <t>Net Salary</t>
    <phoneticPr fontId="14" type="noConversion"/>
  </si>
  <si>
    <r>
      <rPr>
        <sz val="10"/>
        <color theme="1"/>
        <rFont val="細明體"/>
        <family val="3"/>
        <charset val="136"/>
      </rPr>
      <t>勞保雇主</t>
    </r>
    <r>
      <rPr>
        <sz val="10"/>
        <color theme="1"/>
        <rFont val="Calibri"/>
        <family val="2"/>
      </rPr>
      <t xml:space="preserve"> 
LI ER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</si>
  <si>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勞退雇主
</t>
    </r>
    <r>
      <rPr>
        <sz val="10"/>
        <color theme="1"/>
        <rFont val="Calibri"/>
        <family val="2"/>
      </rPr>
      <t>Pension ER 6%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</si>
  <si>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勞退雇主
</t>
    </r>
    <r>
      <rPr>
        <sz val="10"/>
        <color theme="1"/>
        <rFont val="Calibri"/>
        <family val="2"/>
      </rPr>
      <t>Pension 
ER 1T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</si>
  <si>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健保雇主
</t>
    </r>
    <r>
      <rPr>
        <sz val="10"/>
        <color theme="1"/>
        <rFont val="Calibri"/>
        <family val="2"/>
      </rPr>
      <t>HI ER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</si>
  <si>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健保雇主
</t>
    </r>
    <r>
      <rPr>
        <sz val="10"/>
        <color theme="1"/>
        <rFont val="Calibri"/>
        <family val="2"/>
      </rPr>
      <t>HI ER
1T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</si>
  <si>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二代健保
雇主
</t>
    </r>
    <r>
      <rPr>
        <sz val="10"/>
        <color theme="1"/>
        <rFont val="Calibri"/>
        <family val="2"/>
      </rPr>
      <t>2G HI ER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</si>
  <si>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二代健保
雇主
</t>
    </r>
    <r>
      <rPr>
        <sz val="10"/>
        <color theme="1"/>
        <rFont val="Calibri"/>
        <family val="2"/>
      </rPr>
      <t>2G HI ER 
1T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</si>
  <si>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團保
</t>
    </r>
    <r>
      <rPr>
        <sz val="10"/>
        <color theme="1"/>
        <rFont val="Calibri"/>
        <family val="2"/>
      </rPr>
      <t>GI</t>
    </r>
    <phoneticPr fontId="14" type="noConversion"/>
  </si>
  <si>
    <r>
      <rPr>
        <sz val="10"/>
        <color theme="1"/>
        <rFont val="細明體"/>
        <family val="3"/>
        <charset val="136"/>
      </rPr>
      <t xml:space="preserve">勞保雇主
</t>
    </r>
    <r>
      <rPr>
        <sz val="10"/>
        <color theme="1"/>
        <rFont val="Calibri"/>
        <family val="2"/>
      </rPr>
      <t>LI ER
1T</t>
    </r>
    <phoneticPr fontId="14" type="noConversion"/>
  </si>
  <si>
    <t>Gross Salary
(payable)</t>
    <phoneticPr fontId="14" type="noConversion"/>
  </si>
  <si>
    <r>
      <rPr>
        <sz val="10"/>
        <color theme="1"/>
        <rFont val="新細明體"/>
        <family val="2"/>
        <charset val="136"/>
      </rPr>
      <t xml:space="preserve">加班費
</t>
    </r>
    <r>
      <rPr>
        <sz val="10"/>
        <color theme="1"/>
        <rFont val="Calibri"/>
        <family val="2"/>
      </rPr>
      <t>Overtime Payment</t>
    </r>
    <phoneticPr fontId="14" type="noConversion"/>
  </si>
  <si>
    <r>
      <rPr>
        <sz val="10"/>
        <color theme="1"/>
        <rFont val="細明體"/>
        <family val="3"/>
        <charset val="136"/>
      </rPr>
      <t>勞退自提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調整</t>
    </r>
    <r>
      <rPr>
        <sz val="10"/>
        <color theme="1"/>
        <rFont val="Calibri"/>
        <family val="2"/>
      </rPr>
      <t>)
Pension EE 1T</t>
    </r>
    <phoneticPr fontId="14" type="noConversion"/>
  </si>
  <si>
    <t>ER Insurance</t>
    <phoneticPr fontId="14" type="noConversion"/>
  </si>
  <si>
    <t>Service Fee</t>
    <phoneticPr fontId="14" type="noConversion"/>
  </si>
  <si>
    <t>Operation 
Fee</t>
    <phoneticPr fontId="14" type="noConversion"/>
  </si>
  <si>
    <t>Total</t>
    <phoneticPr fontId="14" type="noConversion"/>
  </si>
  <si>
    <t>Pay Items</t>
    <phoneticPr fontId="14" type="noConversion"/>
  </si>
  <si>
    <t xml:space="preserve">Overtime Details </t>
    <phoneticPr fontId="14" type="noConversion"/>
  </si>
  <si>
    <t>Social Insurance Grading</t>
    <phoneticPr fontId="14" type="noConversion"/>
  </si>
  <si>
    <t>EE Dedution</t>
    <phoneticPr fontId="14" type="noConversion"/>
  </si>
  <si>
    <t>ER Insurance contribution</t>
    <phoneticPr fontId="14" type="noConversion"/>
  </si>
  <si>
    <t>ER insurance</t>
    <phoneticPr fontId="1" type="noConversion"/>
  </si>
  <si>
    <t>Remote Stipend</t>
    <phoneticPr fontId="1" type="noConversion"/>
  </si>
  <si>
    <t>NPL Hours</t>
  </si>
  <si>
    <t>No Pay Leave</t>
    <phoneticPr fontId="14" type="noConversion"/>
  </si>
  <si>
    <t xml:space="preserve">FX difference </t>
    <phoneticPr fontId="1" type="noConversion"/>
  </si>
  <si>
    <t>Bank Charges</t>
  </si>
  <si>
    <t xml:space="preserve">Outstanding payment </t>
  </si>
  <si>
    <t xml:space="preserve">FX difference </t>
  </si>
  <si>
    <t>Interests of delay</t>
  </si>
  <si>
    <t xml:space="preserve">Invoice adjustment </t>
  </si>
  <si>
    <t>Direct Cost</t>
    <phoneticPr fontId="0" type="noConversion"/>
  </si>
  <si>
    <t>Business Tax</t>
    <phoneticPr fontId="0" type="noConversion"/>
  </si>
  <si>
    <t>Service Fee</t>
    <phoneticPr fontId="0" type="noConversion"/>
  </si>
  <si>
    <t xml:space="preserve">Bank Fee * </t>
    <phoneticPr fontId="0" type="noConversion"/>
  </si>
  <si>
    <t>Late Pay Fine</t>
    <phoneticPr fontId="0" type="noConversion"/>
  </si>
  <si>
    <t>Advance Payment</t>
    <phoneticPr fontId="0" type="noConversion"/>
  </si>
  <si>
    <t>Outstanding payment **</t>
    <phoneticPr fontId="1" type="noConversion"/>
  </si>
  <si>
    <t>Invoice adjustment ***</t>
    <phoneticPr fontId="1" type="noConversion"/>
  </si>
  <si>
    <t>total</t>
    <phoneticPr fontId="0" type="noConversion"/>
  </si>
  <si>
    <t>* NNRoad USD 10 + vendor bank in Vendor's invoice</t>
    <phoneticPr fontId="1" type="noConversion"/>
  </si>
  <si>
    <t>** the differnece between NNRoad PN and the amount we actually received</t>
    <phoneticPr fontId="1" type="noConversion"/>
  </si>
  <si>
    <t>*** PN adjustment with pre-payment or PN revisal</t>
    <phoneticPr fontId="1" type="noConversion"/>
  </si>
  <si>
    <t>Monthly
Basic Salary</t>
  </si>
  <si>
    <t>Allw- Phone/ Communication</t>
  </si>
  <si>
    <t>Allw 
Transportation</t>
  </si>
  <si>
    <t>Allw Meal</t>
  </si>
  <si>
    <t>健保投保級距Insured Salary Grading - HI</t>
  </si>
  <si>
    <t>Back Pay</t>
  </si>
  <si>
    <t>Remote Stipend</t>
  </si>
  <si>
    <t>伙食津貼Allw Meal</t>
  </si>
  <si>
    <t>病假扣薪
Sick Leave
(half pay)</t>
  </si>
  <si>
    <t>No Pay Leave</t>
  </si>
  <si>
    <t>Bonus VB</t>
  </si>
  <si>
    <t>Incentives</t>
  </si>
  <si>
    <t>特休結算
Untaken AL</t>
  </si>
  <si>
    <t>資遣費
Severance</t>
  </si>
  <si>
    <t>Coral Sea</t>
  </si>
  <si>
    <t>Diver</t>
  </si>
  <si>
    <t>PT</t>
  </si>
  <si>
    <t>王品涵</t>
  </si>
  <si>
    <t>Pin Han</t>
  </si>
  <si>
    <t>Aquarist</t>
  </si>
  <si>
    <t>CUS1516</t>
  </si>
  <si>
    <t>CUS1516-0001</t>
  </si>
  <si>
    <t>CUS1516-0002</t>
  </si>
  <si>
    <t>Full Pay/Hourly Rate</t>
    <phoneticPr fontId="14" type="noConversion"/>
  </si>
  <si>
    <t>Employment day/Hours Worked</t>
    <phoneticPr fontId="14" type="noConversion"/>
  </si>
  <si>
    <r>
      <t>N</t>
    </r>
    <r>
      <rPr>
        <b/>
        <sz val="12"/>
        <color rgb="FF8DC63F"/>
        <rFont val="Calibri"/>
        <family val="2"/>
        <scheme val="minor"/>
      </rPr>
      <t>N</t>
    </r>
    <r>
      <rPr>
        <b/>
        <sz val="12"/>
        <color rgb="FF0066B3"/>
        <rFont val="Calibri"/>
        <family val="2"/>
        <scheme val="minor"/>
      </rPr>
      <t>Road</t>
    </r>
    <r>
      <rPr>
        <b/>
        <sz val="12"/>
        <color rgb="FF8DC63F"/>
        <rFont val="Calibri"/>
        <family val="2"/>
        <scheme val="minor"/>
      </rPr>
      <t> – Employer of Record, Payroll Worldwide</t>
    </r>
  </si>
  <si>
    <t>333 W San Carlos St., Suite 600, San Jose, CA 95113, USA</t>
    <phoneticPr fontId="7" type="noConversion"/>
  </si>
  <si>
    <t>USA: +1 (669) 377-5080 | www.NNRoad.com</t>
    <phoneticPr fontId="7" type="noConversion"/>
  </si>
  <si>
    <t>INVOICE</t>
  </si>
  <si>
    <t>Bill to:</t>
  </si>
  <si>
    <t>Company name:</t>
  </si>
  <si>
    <t>Currency</t>
  </si>
  <si>
    <t>USD</t>
  </si>
  <si>
    <t>Client ID:</t>
  </si>
  <si>
    <t>Invoice number</t>
  </si>
  <si>
    <t>Address:</t>
  </si>
  <si>
    <t>Invoice date</t>
  </si>
  <si>
    <t>Due date</t>
  </si>
  <si>
    <t>Description</t>
  </si>
  <si>
    <t>Approx. In USD*</t>
  </si>
  <si>
    <t>EOR/PEO Cost</t>
  </si>
  <si>
    <t>Service Fee</t>
  </si>
  <si>
    <t xml:space="preserve">EOR/PEO Service Cost		</t>
  </si>
  <si>
    <t>EOR/PEO Service Cost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</si>
  <si>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</si>
  <si>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</si>
  <si>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</si>
  <si>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</si>
  <si>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</si>
  <si>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</si>
  <si>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</si>
  <si>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</si>
  <si>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</si>
  <si>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</si>
  <si>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</si>
  <si>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</si>
  <si>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Other Fee</t>
    <phoneticPr fontId="6" type="noConversion"/>
  </si>
  <si>
    <t>4205/41 Williams Esplanade, PALM COVE, QLD, Australia</t>
  </si>
  <si>
    <t>伙食津貼  Allw Meal</t>
  </si>
  <si>
    <t>楊文凱</t>
  </si>
  <si>
    <t>洪民翰</t>
  </si>
  <si>
    <t>Min Han</t>
  </si>
  <si>
    <t>Wen kai</t>
  </si>
  <si>
    <t>CUS1516-0003</t>
  </si>
  <si>
    <t>PN-CUS1516-031120261</t>
  </si>
  <si>
    <t>2026/3/1</t>
  </si>
  <si>
    <t>2026/3/31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</si>
</sst>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_ "/>
    <numFmt numFmtId="167" formatCode="0.0_);[Red]\(0.0\)"/>
    <numFmt numFmtId="168" formatCode="[$-409]d\-mmm\-yy;@"/>
    <numFmt numFmtId="169" formatCode="#,##0.0_);[Red]\(#,##0.0\)"/>
  </numFmts>
  <fonts count="49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name val="Calibri"/>
      <family val="2"/>
    </font>
    <font>
      <sz val="12"/>
      <name val="新細明體"/>
      <family val="1"/>
      <charset val="136"/>
    </font>
    <font>
      <sz val="10"/>
      <color indexed="9"/>
      <name val="Calibri"/>
      <family val="2"/>
    </font>
    <font>
      <sz val="9"/>
      <name val="細明體"/>
      <family val="3"/>
      <charset val="136"/>
    </font>
    <font>
      <sz val="10"/>
      <name val="Comic Sans MS"/>
      <family val="4"/>
    </font>
    <font>
      <sz val="10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name val="Calibri"/>
      <family val="2"/>
      <charset val="136"/>
      <scheme val="minor"/>
    </font>
    <font>
      <sz val="10"/>
      <color theme="1"/>
      <name val="細明體"/>
      <family val="3"/>
      <charset val="136"/>
    </font>
    <font>
      <sz val="10"/>
      <color theme="1"/>
      <name val="新細明體"/>
      <family val="2"/>
      <charset val="136"/>
    </font>
    <font>
      <b/>
      <sz val="10"/>
      <color theme="1"/>
      <name val="Calibri"/>
      <family val="2"/>
    </font>
    <font>
      <sz val="11"/>
      <color theme="1"/>
      <name val="Calibri"/>
      <family val="4"/>
      <charset val="134"/>
      <scheme val="minor"/>
    </font>
    <font>
      <sz val="11"/>
      <color rgb="FF000000"/>
      <name val="Calibri"/>
      <family val="4"/>
      <charset val="134"/>
      <scheme val="minor"/>
    </font>
    <font>
      <sz val="10"/>
      <color rgb="FFC00000"/>
      <name val="Calibri"/>
      <family val="2"/>
    </font>
    <font>
      <sz val="10"/>
      <color rgb="FFFF0000"/>
      <name val="細明體"/>
      <family val="3"/>
      <charset val="136"/>
    </font>
    <font>
      <sz val="10"/>
      <color rgb="FFFF0000"/>
      <name val="細明體"/>
      <family val="1"/>
      <charset val="136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66B3"/>
      <name val="Calibri"/>
      <family val="2"/>
      <scheme val="minor"/>
    </font>
    <font>
      <b/>
      <sz val="12"/>
      <color rgb="FF8DC63F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rgb="FF000000"/>
      <name val="Calibri"/>
      <family val="4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FFED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5"/>
      </left>
      <right/>
      <top style="medium">
        <color theme="8" tint="0.59996337778862885"/>
      </top>
      <bottom/>
      <diagonal/>
    </border>
    <border>
      <left/>
      <right/>
      <top style="medium">
        <color theme="8" tint="0.59996337778862885"/>
      </top>
      <bottom/>
      <diagonal/>
    </border>
    <border>
      <left/>
      <right style="medium">
        <color theme="8" tint="0.59996337778862885"/>
      </right>
      <top style="medium">
        <color theme="8" tint="0.59996337778862885"/>
      </top>
      <bottom/>
      <diagonal/>
    </border>
    <border>
      <left style="medium">
        <color theme="8" tint="0.59996337778862885"/>
      </left>
      <right/>
      <top/>
      <bottom/>
      <diagonal/>
    </border>
    <border>
      <left/>
      <right style="medium">
        <color theme="8" tint="0.59996337778862885"/>
      </right>
      <top/>
      <bottom/>
      <diagonal/>
    </border>
    <border>
      <left style="medium">
        <color theme="8" tint="0.59996337778862885"/>
      </left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 style="medium">
        <color theme="8" tint="0.59996337778862885"/>
      </right>
      <top style="hair">
        <color theme="8" tint="0.59996337778862885"/>
      </top>
      <bottom style="medium">
        <color theme="8" tint="0.59996337778862885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01"/>
      </right>
      <top/>
      <bottom/>
      <diagonal/>
    </border>
    <border>
      <left style="dashDot">
        <color theme="9" tint="-0.24994659260841701"/>
      </left>
      <right/>
      <top/>
      <bottom/>
      <diagonal/>
    </border>
  </borders>
  <cellStyleXfs count="7">
    <xf numFmtId="0" fontId="0" fillId="0" borderId="0">
      <alignment vertical="center"/>
    </xf>
    <xf numFmtId="0" fontId="5" fillId="0" borderId="0">
      <alignment vertical="center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24" fillId="0" borderId="0"/>
  </cellStyleXfs>
  <cellXfs count="2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>
      <alignment vertical="center"/>
    </xf>
    <xf numFmtId="167" fontId="4" fillId="0" borderId="0" xfId="0" applyNumberFormat="1" applyFont="1">
      <alignment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4" xfId="0" applyFont="1" applyBorder="1">
      <alignment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66" fontId="3" fillId="2" borderId="16" xfId="0" applyNumberFormat="1" applyFont="1" applyFill="1" applyBorder="1">
      <alignment vertical="center"/>
    </xf>
    <xf numFmtId="166" fontId="3" fillId="2" borderId="17" xfId="0" applyNumberFormat="1" applyFont="1" applyFill="1" applyBorder="1">
      <alignment vertical="center"/>
    </xf>
    <xf numFmtId="166" fontId="3" fillId="2" borderId="18" xfId="0" applyNumberFormat="1" applyFont="1" applyFill="1" applyBorder="1">
      <alignment vertical="center"/>
    </xf>
    <xf numFmtId="166" fontId="3" fillId="2" borderId="19" xfId="0" applyNumberFormat="1" applyFont="1" applyFill="1" applyBorder="1">
      <alignment vertical="center"/>
    </xf>
    <xf numFmtId="166" fontId="3" fillId="2" borderId="20" xfId="0" applyNumberFormat="1" applyFont="1" applyFill="1" applyBorder="1">
      <alignment vertical="center"/>
    </xf>
    <xf numFmtId="166" fontId="3" fillId="2" borderId="21" xfId="0" applyNumberFormat="1" applyFont="1" applyFill="1" applyBorder="1">
      <alignment vertical="center"/>
    </xf>
    <xf numFmtId="166" fontId="0" fillId="2" borderId="19" xfId="0" applyNumberFormat="1" applyFill="1" applyBorder="1">
      <alignment vertical="center"/>
    </xf>
    <xf numFmtId="166" fontId="0" fillId="2" borderId="20" xfId="0" applyNumberFormat="1" applyFill="1" applyBorder="1">
      <alignment vertical="center"/>
    </xf>
    <xf numFmtId="166" fontId="0" fillId="2" borderId="21" xfId="0" applyNumberFormat="1" applyFill="1" applyBorder="1">
      <alignment vertical="center"/>
    </xf>
    <xf numFmtId="0" fontId="0" fillId="2" borderId="19" xfId="0" applyFill="1" applyBorder="1">
      <alignment vertical="center"/>
    </xf>
    <xf numFmtId="0" fontId="0" fillId="2" borderId="20" xfId="0" applyFill="1" applyBorder="1">
      <alignment vertical="center"/>
    </xf>
    <xf numFmtId="0" fontId="0" fillId="2" borderId="21" xfId="0" applyFill="1" applyBorder="1">
      <alignment vertical="center"/>
    </xf>
    <xf numFmtId="0" fontId="0" fillId="2" borderId="22" xfId="0" applyFill="1" applyBorder="1">
      <alignment vertical="center"/>
    </xf>
    <xf numFmtId="0" fontId="0" fillId="2" borderId="23" xfId="0" applyFill="1" applyBorder="1">
      <alignment vertical="center"/>
    </xf>
    <xf numFmtId="0" fontId="0" fillId="2" borderId="24" xfId="0" applyFill="1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2" fillId="0" borderId="0" xfId="0" applyFont="1">
      <alignment vertical="center"/>
    </xf>
    <xf numFmtId="166" fontId="0" fillId="2" borderId="22" xfId="0" applyNumberFormat="1" applyFill="1" applyBorder="1">
      <alignment vertical="center"/>
    </xf>
    <xf numFmtId="166" fontId="0" fillId="2" borderId="23" xfId="0" applyNumberFormat="1" applyFill="1" applyBorder="1">
      <alignment vertical="center"/>
    </xf>
    <xf numFmtId="166" fontId="3" fillId="2" borderId="23" xfId="0" applyNumberFormat="1" applyFont="1" applyFill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17" fontId="10" fillId="0" borderId="0" xfId="4" applyNumberFormat="1" applyFont="1" applyAlignment="1">
      <alignment vertical="center"/>
    </xf>
    <xf numFmtId="0" fontId="4" fillId="0" borderId="0" xfId="4" applyFont="1" applyAlignment="1">
      <alignment horizontal="right" vertical="center"/>
    </xf>
    <xf numFmtId="168" fontId="11" fillId="0" borderId="0" xfId="4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49" fontId="0" fillId="2" borderId="0" xfId="0" applyNumberFormat="1" applyFill="1">
      <alignment vertical="center"/>
    </xf>
    <xf numFmtId="49" fontId="4" fillId="0" borderId="0" xfId="4" applyNumberFormat="1" applyFont="1" applyAlignment="1">
      <alignment horizontal="center" vertical="center" wrapText="1"/>
    </xf>
    <xf numFmtId="0" fontId="6" fillId="3" borderId="0" xfId="1" applyFont="1" applyFill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17" fillId="0" borderId="9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17" fillId="0" borderId="33" xfId="0" applyFont="1" applyBorder="1">
      <alignment vertical="center"/>
    </xf>
    <xf numFmtId="0" fontId="17" fillId="0" borderId="34" xfId="0" applyFont="1" applyBorder="1">
      <alignment vertical="center"/>
    </xf>
    <xf numFmtId="0" fontId="9" fillId="0" borderId="32" xfId="0" applyFont="1" applyBorder="1">
      <alignment vertical="center"/>
    </xf>
    <xf numFmtId="38" fontId="4" fillId="0" borderId="6" xfId="2" applyNumberFormat="1" applyFont="1" applyFill="1" applyBorder="1" applyAlignment="1">
      <alignment horizontal="center" vertical="center" wrapText="1"/>
    </xf>
    <xf numFmtId="169" fontId="4" fillId="0" borderId="6" xfId="5" applyNumberFormat="1" applyFont="1" applyFill="1" applyBorder="1" applyAlignment="1">
      <alignment horizontal="center" vertical="center" wrapText="1"/>
    </xf>
    <xf numFmtId="38" fontId="4" fillId="0" borderId="6" xfId="5" applyNumberFormat="1" applyFont="1" applyFill="1" applyBorder="1" applyAlignment="1">
      <alignment horizontal="center" vertical="center" wrapText="1"/>
    </xf>
    <xf numFmtId="38" fontId="4" fillId="0" borderId="6" xfId="0" applyNumberFormat="1" applyFont="1" applyBorder="1" applyAlignment="1">
      <alignment horizontal="center" vertical="center" wrapText="1"/>
    </xf>
    <xf numFmtId="38" fontId="4" fillId="0" borderId="39" xfId="0" applyNumberFormat="1" applyFont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38" fontId="9" fillId="4" borderId="5" xfId="0" applyNumberFormat="1" applyFont="1" applyFill="1" applyBorder="1" applyAlignment="1">
      <alignment horizontal="center" vertical="center"/>
    </xf>
    <xf numFmtId="38" fontId="9" fillId="4" borderId="5" xfId="0" applyNumberFormat="1" applyFont="1" applyFill="1" applyBorder="1" applyAlignment="1">
      <alignment horizontal="center" vertical="center" wrapText="1"/>
    </xf>
    <xf numFmtId="38" fontId="9" fillId="4" borderId="38" xfId="0" applyNumberFormat="1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166" fontId="18" fillId="2" borderId="20" xfId="0" applyNumberFormat="1" applyFont="1" applyFill="1" applyBorder="1">
      <alignment vertical="center"/>
    </xf>
    <xf numFmtId="0" fontId="19" fillId="6" borderId="0" xfId="0" applyFont="1" applyFill="1">
      <alignment vertical="center"/>
    </xf>
    <xf numFmtId="0" fontId="20" fillId="5" borderId="8" xfId="0" applyFont="1" applyFill="1" applyBorder="1" applyAlignment="1">
      <alignment vertical="center" wrapText="1"/>
    </xf>
    <xf numFmtId="0" fontId="20" fillId="5" borderId="42" xfId="0" applyFont="1" applyFill="1" applyBorder="1" applyAlignment="1">
      <alignment vertical="center" wrapText="1"/>
    </xf>
    <xf numFmtId="0" fontId="15" fillId="5" borderId="8" xfId="0" applyFont="1" applyFill="1" applyBorder="1" applyAlignment="1">
      <alignment vertical="center" wrapText="1"/>
    </xf>
    <xf numFmtId="0" fontId="21" fillId="5" borderId="8" xfId="0" applyFont="1" applyFill="1" applyBorder="1" applyAlignment="1">
      <alignment vertical="center" wrapText="1"/>
    </xf>
    <xf numFmtId="0" fontId="22" fillId="5" borderId="8" xfId="0" applyFont="1" applyFill="1" applyBorder="1" applyAlignment="1">
      <alignment vertical="center" wrapText="1"/>
    </xf>
    <xf numFmtId="0" fontId="25" fillId="0" borderId="0" xfId="6" applyFont="1" applyAlignment="1">
      <alignment vertical="center"/>
    </xf>
    <xf numFmtId="0" fontId="28" fillId="0" borderId="0" xfId="6" applyFont="1" applyAlignment="1">
      <alignment horizontal="right" vertical="center"/>
    </xf>
    <xf numFmtId="0" fontId="25" fillId="0" borderId="0" xfId="6" applyFont="1" applyAlignment="1">
      <alignment horizontal="right" vertical="center"/>
    </xf>
    <xf numFmtId="0" fontId="28" fillId="0" borderId="0" xfId="6" applyFont="1" applyAlignment="1">
      <alignment vertical="center"/>
    </xf>
    <xf numFmtId="0" fontId="31" fillId="0" borderId="0" xfId="6" applyFont="1" applyAlignment="1">
      <alignment horizontal="center" vertical="center"/>
    </xf>
    <xf numFmtId="0" fontId="32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34" fillId="0" borderId="0" xfId="6" applyFont="1" applyAlignment="1">
      <alignment horizontal="right" vertical="center"/>
    </xf>
    <xf numFmtId="0" fontId="34" fillId="0" borderId="0" xfId="6" applyFont="1" applyAlignment="1">
      <alignment vertical="center"/>
    </xf>
    <xf numFmtId="0" fontId="35" fillId="0" borderId="0" xfId="6" applyFont="1" applyAlignment="1">
      <alignment horizontal="right" vertical="center"/>
    </xf>
    <xf numFmtId="0" fontId="35" fillId="0" borderId="0" xfId="6" applyFont="1" applyAlignment="1">
      <alignment vertical="center"/>
    </xf>
    <xf numFmtId="0" fontId="34" fillId="0" borderId="0" xfId="6" applyFont="1" applyAlignment="1">
      <alignment vertical="top" wrapText="1"/>
    </xf>
    <xf numFmtId="14" fontId="34" fillId="0" borderId="0" xfId="6" applyNumberFormat="1" applyFont="1" applyAlignment="1">
      <alignment vertical="center"/>
    </xf>
    <xf numFmtId="0" fontId="36" fillId="0" borderId="0" xfId="6" applyFont="1" applyAlignment="1">
      <alignment horizontal="right" vertical="center"/>
    </xf>
    <xf numFmtId="0" fontId="37" fillId="0" borderId="0" xfId="6" applyFont="1" applyAlignment="1">
      <alignment vertical="center"/>
    </xf>
    <xf numFmtId="14" fontId="37" fillId="0" borderId="0" xfId="6" applyNumberFormat="1" applyFont="1" applyAlignment="1">
      <alignment horizontal="left" vertical="center"/>
    </xf>
    <xf numFmtId="0" fontId="38" fillId="7" borderId="49" xfId="6" applyFont="1" applyFill="1" applyBorder="1" applyAlignment="1">
      <alignment horizontal="center" vertical="center"/>
    </xf>
    <xf numFmtId="0" fontId="38" fillId="7" borderId="50" xfId="6" applyFont="1" applyFill="1" applyBorder="1" applyAlignment="1">
      <alignment horizontal="center" vertical="center"/>
    </xf>
    <xf numFmtId="0" fontId="39" fillId="0" borderId="0" xfId="6" applyFont="1" applyAlignment="1">
      <alignment horizontal="right" vertical="center"/>
    </xf>
    <xf numFmtId="0" fontId="39" fillId="0" borderId="0" xfId="6" applyFont="1" applyAlignment="1">
      <alignment vertical="center"/>
    </xf>
    <xf numFmtId="0" fontId="40" fillId="0" borderId="0" xfId="6" applyFont="1" applyAlignment="1">
      <alignment horizontal="left" vertical="center" indent="1"/>
    </xf>
    <xf numFmtId="165" fontId="40" fillId="0" borderId="0" xfId="6" applyNumberFormat="1" applyFont="1" applyAlignment="1">
      <alignment horizontal="left" vertical="center"/>
    </xf>
    <xf numFmtId="164" fontId="23" fillId="0" borderId="52" xfId="6" applyNumberFormat="1" applyFont="1" applyBorder="1" applyAlignment="1">
      <alignment horizontal="left" vertical="center"/>
    </xf>
    <xf numFmtId="166" fontId="41" fillId="0" borderId="0" xfId="6" applyNumberFormat="1" applyFont="1" applyAlignment="1">
      <alignment horizontal="right" vertical="center"/>
    </xf>
    <xf numFmtId="0" fontId="41" fillId="0" borderId="0" xfId="6" applyFont="1" applyAlignment="1">
      <alignment vertical="center"/>
    </xf>
    <xf numFmtId="0" fontId="28" fillId="0" borderId="0" xfId="6" applyFont="1" applyAlignment="1">
      <alignment horizontal="left" vertical="center" indent="3"/>
    </xf>
    <xf numFmtId="165" fontId="28" fillId="0" borderId="0" xfId="6" applyNumberFormat="1" applyFont="1" applyAlignment="1">
      <alignment horizontal="left" vertical="center" indent="1"/>
    </xf>
    <xf numFmtId="164" fontId="28" fillId="0" borderId="52" xfId="6" applyNumberFormat="1" applyFont="1" applyBorder="1" applyAlignment="1">
      <alignment horizontal="left" vertical="center"/>
    </xf>
    <xf numFmtId="166" fontId="42" fillId="0" borderId="0" xfId="6" applyNumberFormat="1" applyFont="1" applyAlignment="1">
      <alignment horizontal="right" vertical="center"/>
    </xf>
    <xf numFmtId="0" fontId="42" fillId="0" borderId="0" xfId="6" applyFont="1" applyAlignment="1">
      <alignment vertical="center"/>
    </xf>
    <xf numFmtId="166" fontId="25" fillId="0" borderId="0" xfId="6" applyNumberFormat="1" applyFont="1" applyAlignment="1">
      <alignment horizontal="right" vertical="center"/>
    </xf>
    <xf numFmtId="0" fontId="28" fillId="0" borderId="0" xfId="6" applyFont="1" applyAlignment="1">
      <alignment horizontal="left" vertical="center" indent="1"/>
    </xf>
    <xf numFmtId="0" fontId="28" fillId="0" borderId="0" xfId="6" applyFont="1" applyAlignment="1">
      <alignment horizontal="center" vertical="center"/>
    </xf>
    <xf numFmtId="165" fontId="28" fillId="0" borderId="0" xfId="6" applyNumberFormat="1" applyFont="1" applyAlignment="1">
      <alignment horizontal="left" vertical="center"/>
    </xf>
    <xf numFmtId="164" fontId="40" fillId="0" borderId="52" xfId="6" applyNumberFormat="1" applyFont="1" applyBorder="1" applyAlignment="1">
      <alignment horizontal="left" vertical="center"/>
    </xf>
    <xf numFmtId="166" fontId="43" fillId="0" borderId="0" xfId="6" applyNumberFormat="1" applyFont="1" applyAlignment="1">
      <alignment horizontal="right" vertical="center"/>
    </xf>
    <xf numFmtId="0" fontId="43" fillId="0" borderId="0" xfId="6" applyFont="1" applyAlignment="1">
      <alignment vertical="center"/>
    </xf>
    <xf numFmtId="0" fontId="28" fillId="0" borderId="0" xfId="6" applyFont="1" applyAlignment="1">
      <alignment horizontal="left" vertical="center" indent="2"/>
    </xf>
    <xf numFmtId="0" fontId="44" fillId="0" borderId="0" xfId="6" applyFont="1" applyAlignment="1">
      <alignment horizontal="left" vertical="center" indent="1"/>
    </xf>
    <xf numFmtId="165" fontId="25" fillId="0" borderId="0" xfId="6" applyNumberFormat="1" applyFont="1" applyAlignment="1">
      <alignment horizontal="left" vertical="center"/>
    </xf>
    <xf numFmtId="164" fontId="25" fillId="0" borderId="52" xfId="6" applyNumberFormat="1" applyFont="1" applyBorder="1" applyAlignment="1">
      <alignment horizontal="left" vertical="center"/>
    </xf>
    <xf numFmtId="165" fontId="45" fillId="0" borderId="54" xfId="6" applyNumberFormat="1" applyFont="1" applyBorder="1" applyAlignment="1">
      <alignment horizontal="left" vertical="center"/>
    </xf>
    <xf numFmtId="164" fontId="45" fillId="0" borderId="55" xfId="6" applyNumberFormat="1" applyFont="1" applyBorder="1" applyAlignment="1">
      <alignment horizontal="left" vertical="center"/>
    </xf>
    <xf numFmtId="0" fontId="45" fillId="0" borderId="0" xfId="6" applyFont="1" applyAlignment="1">
      <alignment vertical="center"/>
    </xf>
    <xf numFmtId="0" fontId="45" fillId="0" borderId="0" xfId="6" applyFont="1" applyAlignment="1">
      <alignment horizontal="center" vertical="center"/>
    </xf>
    <xf numFmtId="165" fontId="45" fillId="0" borderId="0" xfId="6" applyNumberFormat="1" applyFont="1" applyAlignment="1">
      <alignment vertical="center"/>
    </xf>
    <xf numFmtId="164" fontId="45" fillId="0" borderId="0" xfId="6" applyNumberFormat="1" applyFont="1" applyAlignment="1">
      <alignment horizontal="right" vertical="center"/>
    </xf>
    <xf numFmtId="0" fontId="45" fillId="0" borderId="0" xfId="6" applyFont="1" applyAlignment="1">
      <alignment horizontal="right" vertical="center"/>
    </xf>
    <xf numFmtId="0" fontId="46" fillId="0" borderId="0" xfId="6" applyFont="1" applyAlignment="1">
      <alignment vertical="center" wrapText="1"/>
    </xf>
    <xf numFmtId="164" fontId="47" fillId="0" borderId="58" xfId="6" applyNumberFormat="1" applyFont="1" applyBorder="1" applyAlignment="1">
      <alignment horizontal="right" vertical="center"/>
    </xf>
    <xf numFmtId="0" fontId="46" fillId="0" borderId="0" xfId="6" applyFont="1" applyAlignment="1">
      <alignment vertical="center"/>
    </xf>
    <xf numFmtId="164" fontId="47" fillId="0" borderId="60" xfId="6" applyNumberFormat="1" applyFont="1" applyBorder="1" applyAlignment="1">
      <alignment horizontal="right" vertical="center"/>
    </xf>
    <xf numFmtId="40" fontId="45" fillId="0" borderId="0" xfId="6" applyNumberFormat="1" applyFont="1" applyAlignment="1">
      <alignment vertical="center"/>
    </xf>
    <xf numFmtId="164" fontId="47" fillId="0" borderId="63" xfId="6" applyNumberFormat="1" applyFont="1" applyBorder="1" applyAlignment="1">
      <alignment horizontal="right" vertical="center"/>
    </xf>
    <xf numFmtId="164" fontId="44" fillId="0" borderId="60" xfId="6" applyNumberFormat="1" applyFont="1" applyBorder="1" applyAlignment="1">
      <alignment horizontal="right" vertical="center"/>
    </xf>
    <xf numFmtId="0" fontId="44" fillId="0" borderId="0" xfId="6" applyFont="1" applyAlignment="1">
      <alignment vertical="center"/>
    </xf>
    <xf numFmtId="164" fontId="44" fillId="0" borderId="66" xfId="6" applyNumberFormat="1" applyFont="1" applyBorder="1" applyAlignment="1">
      <alignment horizontal="right" vertical="center"/>
    </xf>
    <xf numFmtId="164" fontId="25" fillId="0" borderId="0" xfId="6" applyNumberFormat="1" applyFont="1" applyAlignment="1">
      <alignment vertical="center"/>
    </xf>
    <xf numFmtId="0" fontId="19" fillId="0" borderId="0" xfId="0" applyFont="1">
      <alignment vertical="center"/>
    </xf>
    <xf numFmtId="40" fontId="48" fillId="0" borderId="43" xfId="0" applyNumberFormat="1" applyFont="1" applyBorder="1">
      <alignment vertical="center"/>
    </xf>
    <xf numFmtId="40" fontId="48" fillId="0" borderId="44" xfId="0" applyNumberFormat="1" applyFont="1" applyBorder="1">
      <alignment vertical="center"/>
    </xf>
    <xf numFmtId="40" fontId="48" fillId="0" borderId="45" xfId="0" applyNumberFormat="1" applyFont="1" applyBorder="1">
      <alignment vertical="center"/>
    </xf>
    <xf numFmtId="40" fontId="48" fillId="0" borderId="46" xfId="0" applyNumberFormat="1" applyFont="1" applyBorder="1">
      <alignment vertical="center"/>
    </xf>
    <xf numFmtId="40" fontId="48" fillId="0" borderId="32" xfId="0" applyNumberFormat="1" applyFont="1" applyBorder="1">
      <alignment vertical="center"/>
    </xf>
    <xf numFmtId="40" fontId="48" fillId="0" borderId="47" xfId="0" applyNumberFormat="1" applyFont="1" applyBorder="1">
      <alignment vertical="center"/>
    </xf>
    <xf numFmtId="49" fontId="0" fillId="0" borderId="0" xfId="0" applyNumberFormat="1">
      <alignment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164" fontId="0" fillId="0" borderId="0" xfId="0" applyNumberFormat="1">
      <alignment vertical="center"/>
    </xf>
    <xf numFmtId="0" fontId="0" fillId="5" borderId="0" xfId="0" applyFill="1" applyAlignment="1">
      <alignment vertical="center" wrapText="1"/>
    </xf>
    <xf numFmtId="169" fontId="4" fillId="0" borderId="6" xfId="2" applyNumberFormat="1" applyFont="1" applyFill="1" applyBorder="1" applyAlignment="1">
      <alignment horizontal="center" vertical="center" wrapText="1"/>
    </xf>
    <xf numFmtId="0" fontId="46" fillId="0" borderId="0" xfId="6" applyFont="1" applyAlignment="1">
      <alignment horizontal="left" vertical="center" indent="1"/>
    </xf>
    <xf numFmtId="0" fontId="0" fillId="5" borderId="20" xfId="0" applyFill="1" applyBorder="1">
      <alignment vertical="center"/>
    </xf>
    <xf numFmtId="0" fontId="38" fillId="7" borderId="48" xfId="6" applyFont="1" applyFill="1" applyBorder="1" applyAlignment="1">
      <alignment horizontal="center" vertical="center"/>
    </xf>
    <xf numFmtId="0" fontId="38" fillId="7" borderId="49" xfId="6" applyFont="1" applyFill="1" applyBorder="1" applyAlignment="1">
      <alignment horizontal="center" vertical="center"/>
    </xf>
    <xf numFmtId="0" fontId="26" fillId="0" borderId="0" xfId="6" applyFont="1" applyAlignment="1">
      <alignment horizontal="right" vertical="center"/>
    </xf>
    <xf numFmtId="0" fontId="29" fillId="0" borderId="0" xfId="6" applyFont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4" fillId="0" borderId="0" xfId="6" applyFont="1" applyAlignment="1">
      <alignment horizontal="right" vertical="top" wrapText="1"/>
    </xf>
    <xf numFmtId="165" fontId="47" fillId="0" borderId="56" xfId="6" applyNumberFormat="1" applyFont="1" applyBorder="1" applyAlignment="1">
      <alignment horizontal="right" vertical="center"/>
    </xf>
    <xf numFmtId="165" fontId="47" fillId="0" borderId="57" xfId="6" applyNumberFormat="1" applyFont="1" applyBorder="1" applyAlignment="1">
      <alignment horizontal="right" vertical="center"/>
    </xf>
    <xf numFmtId="0" fontId="40" fillId="0" borderId="51" xfId="6" applyFont="1" applyBorder="1" applyAlignment="1">
      <alignment horizontal="left" vertical="center" indent="1"/>
    </xf>
    <xf numFmtId="0" fontId="40" fillId="0" borderId="0" xfId="6" applyFont="1" applyAlignment="1">
      <alignment horizontal="left" vertical="center" indent="1"/>
    </xf>
    <xf numFmtId="0" fontId="28" fillId="0" borderId="51" xfId="6" applyFont="1" applyBorder="1" applyAlignment="1">
      <alignment horizontal="left" vertical="center" indent="3"/>
    </xf>
    <xf numFmtId="0" fontId="28" fillId="0" borderId="0" xfId="6" applyFont="1" applyAlignment="1">
      <alignment horizontal="left" vertical="center" indent="3"/>
    </xf>
    <xf numFmtId="0" fontId="28" fillId="0" borderId="51" xfId="6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165" fontId="44" fillId="0" borderId="64" xfId="6" applyNumberFormat="1" applyFont="1" applyBorder="1" applyAlignment="1">
      <alignment horizontal="right" vertical="center"/>
    </xf>
    <xf numFmtId="165" fontId="44" fillId="0" borderId="65" xfId="6" applyNumberFormat="1" applyFont="1" applyBorder="1" applyAlignment="1">
      <alignment horizontal="right" vertical="center"/>
    </xf>
    <xf numFmtId="0" fontId="44" fillId="8" borderId="0" xfId="6" applyFont="1" applyFill="1" applyAlignment="1">
      <alignment horizontal="center"/>
    </xf>
    <xf numFmtId="166" fontId="25" fillId="9" borderId="0" xfId="6" applyNumberFormat="1" applyFont="1" applyFill="1" applyAlignment="1">
      <alignment horizontal="left" vertical="center" wrapText="1" indent="2"/>
    </xf>
    <xf numFmtId="166" fontId="25" fillId="9" borderId="67" xfId="6" applyNumberFormat="1" applyFont="1" applyFill="1" applyBorder="1" applyAlignment="1">
      <alignment horizontal="left" vertical="center" wrapText="1" indent="2"/>
    </xf>
    <xf numFmtId="166" fontId="25" fillId="9" borderId="68" xfId="6" applyNumberFormat="1" applyFont="1" applyFill="1" applyBorder="1" applyAlignment="1">
      <alignment horizontal="left" vertical="center" wrapText="1" indent="2"/>
    </xf>
    <xf numFmtId="165" fontId="47" fillId="0" borderId="59" xfId="6" applyNumberFormat="1" applyFont="1" applyBorder="1" applyAlignment="1">
      <alignment horizontal="right" vertical="center"/>
    </xf>
    <xf numFmtId="165" fontId="47" fillId="0" borderId="0" xfId="6" applyNumberFormat="1" applyFont="1" applyAlignment="1">
      <alignment horizontal="right" vertical="center"/>
    </xf>
    <xf numFmtId="40" fontId="47" fillId="0" borderId="61" xfId="6" applyNumberFormat="1" applyFont="1" applyBorder="1" applyAlignment="1">
      <alignment horizontal="right" vertical="center"/>
    </xf>
    <xf numFmtId="40" fontId="47" fillId="0" borderId="62" xfId="6" applyNumberFormat="1" applyFont="1" applyBorder="1" applyAlignment="1">
      <alignment horizontal="right" vertical="center"/>
    </xf>
    <xf numFmtId="165" fontId="44" fillId="0" borderId="59" xfId="6" applyNumberFormat="1" applyFont="1" applyBorder="1" applyAlignment="1">
      <alignment horizontal="right" vertical="center"/>
    </xf>
    <xf numFmtId="165" fontId="44" fillId="0" borderId="0" xfId="6" applyNumberFormat="1" applyFont="1" applyAlignment="1">
      <alignment horizontal="right" vertical="center"/>
    </xf>
    <xf numFmtId="165" fontId="44" fillId="0" borderId="59" xfId="6" applyNumberFormat="1" applyFont="1" applyBorder="1" applyAlignment="1">
      <alignment horizontal="right" vertical="center" indent="1"/>
    </xf>
    <xf numFmtId="165" fontId="44" fillId="0" borderId="0" xfId="6" applyNumberFormat="1" applyFont="1" applyAlignment="1">
      <alignment horizontal="right" vertical="center" indent="1"/>
    </xf>
    <xf numFmtId="0" fontId="28" fillId="0" borderId="51" xfId="6" applyFont="1" applyBorder="1" applyAlignment="1">
      <alignment horizontal="left" vertical="center" indent="2"/>
    </xf>
    <xf numFmtId="0" fontId="28" fillId="0" borderId="0" xfId="6" applyFont="1" applyAlignment="1">
      <alignment horizontal="left" vertical="center" indent="2"/>
    </xf>
    <xf numFmtId="0" fontId="44" fillId="0" borderId="51" xfId="6" applyFont="1" applyBorder="1" applyAlignment="1">
      <alignment horizontal="left" vertical="center" indent="1"/>
    </xf>
    <xf numFmtId="0" fontId="44" fillId="0" borderId="0" xfId="6" applyFont="1" applyAlignment="1">
      <alignment horizontal="left" vertical="center" indent="1"/>
    </xf>
    <xf numFmtId="0" fontId="45" fillId="0" borderId="53" xfId="6" applyFont="1" applyBorder="1" applyAlignment="1">
      <alignment horizontal="left" vertical="center" indent="1"/>
    </xf>
    <xf numFmtId="0" fontId="45" fillId="0" borderId="54" xfId="6" applyFont="1" applyBorder="1" applyAlignment="1">
      <alignment horizontal="left" vertical="center" indent="1"/>
    </xf>
    <xf numFmtId="0" fontId="3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6" fillId="3" borderId="0" xfId="1" applyFont="1" applyFill="1" applyAlignment="1">
      <alignment horizontal="center" vertical="center" wrapText="1"/>
    </xf>
    <xf numFmtId="17" fontId="11" fillId="0" borderId="0" xfId="4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7">
    <cellStyle name="Normal" xfId="0" builtinId="0"/>
    <cellStyle name="Normal 2" xfId="6" xr:uid="{21376D52-D906-2A44-839B-799EC5126F4C}"/>
    <cellStyle name="Normal_MSD payroll 總表" xfId="1" xr:uid="{ED868E34-CA9A-47BF-BC86-F73ECD6C212D}"/>
    <cellStyle name="千分位 2" xfId="2" xr:uid="{7D91ED06-D3AA-4708-AD3B-7854A1F7D8E5}"/>
    <cellStyle name="千分位 2 2" xfId="5" xr:uid="{A99B55AE-C4F0-8249-9CB2-D4AAA6728A4B}"/>
    <cellStyle name="一般 2" xfId="4" xr:uid="{C91A67DB-CBB8-8342-8E62-F45048D425D4}"/>
    <cellStyle name="一般_Sheet1 2" xfId="3" xr:uid="{97932239-367E-4FB4-81AC-4750293905D5}"/>
  </cellStyles>
  <dxfs count="2"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1104295</xdr:colOff>
      <xdr:row>2</xdr:row>
      <xdr:rowOff>109286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8AF3EDA1-666B-6D4A-A8DC-6C650A804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59995" cy="528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DEC7-3E41-6948-8376-2F2234016F2D}">
  <dimension ref="A1:H47"/>
  <sheetViews>
    <sheetView tabSelected="1" zoomScale="150" zoomScaleNormal="150" workbookViewId="0">
      <selection activeCell="F37" sqref="F37"/>
    </sheetView>
  </sheetViews>
  <sheetFormatPr defaultColWidth="9.1796875" defaultRowHeight="10.5"/>
  <cols>
    <col min="1" max="1" width="15.1796875" style="82" customWidth="1"/>
    <col min="2" max="2" width="23.453125" style="82" customWidth="1"/>
    <col min="3" max="3" width="4.81640625" style="82" customWidth="1"/>
    <col min="4" max="4" width="15.1796875" style="82" customWidth="1"/>
    <col min="5" max="5" width="11.81640625" style="82" customWidth="1"/>
    <col min="6" max="6" width="14.36328125" style="84" customWidth="1"/>
    <col min="7" max="7" width="9.1796875" style="84"/>
    <col min="8" max="8" width="9.1796875" style="82"/>
    <col min="9" max="9" width="9.1796875" style="82" customWidth="1"/>
    <col min="10" max="16384" width="9.1796875" style="82"/>
  </cols>
  <sheetData>
    <row r="1" spans="1:8" ht="19" customHeight="1">
      <c r="B1" s="157" t="s">
        <v>148</v>
      </c>
      <c r="C1" s="157"/>
      <c r="D1" s="157"/>
      <c r="E1" s="157"/>
      <c r="F1" s="157"/>
      <c r="G1" s="83"/>
      <c r="H1" s="84"/>
    </row>
    <row r="2" spans="1:8" ht="14.25" customHeight="1">
      <c r="B2" s="158" t="s">
        <v>149</v>
      </c>
      <c r="C2" s="158"/>
      <c r="D2" s="158"/>
      <c r="E2" s="158"/>
      <c r="F2" s="158"/>
      <c r="G2" s="83"/>
      <c r="H2" s="84"/>
    </row>
    <row r="3" spans="1:8" s="85" customFormat="1" ht="18" customHeight="1">
      <c r="B3" s="158" t="s">
        <v>150</v>
      </c>
      <c r="C3" s="158"/>
      <c r="D3" s="158"/>
      <c r="E3" s="158"/>
      <c r="F3" s="158"/>
      <c r="G3" s="83"/>
      <c r="H3" s="83"/>
    </row>
    <row r="4" spans="1:8" s="85" customFormat="1" ht="14" customHeight="1">
      <c r="G4" s="83"/>
      <c r="H4" s="83"/>
    </row>
    <row r="5" spans="1:8" s="85" customFormat="1" ht="32" customHeight="1">
      <c r="A5" s="159" t="s">
        <v>151</v>
      </c>
      <c r="B5" s="159"/>
      <c r="C5" s="159"/>
      <c r="D5" s="159"/>
      <c r="E5" s="159"/>
      <c r="F5" s="159"/>
      <c r="G5" s="83"/>
      <c r="H5" s="83"/>
    </row>
    <row r="6" spans="1:8" s="85" customFormat="1" ht="12" customHeight="1">
      <c r="A6" s="86"/>
      <c r="B6" s="86"/>
      <c r="C6" s="86"/>
      <c r="D6" s="86"/>
      <c r="E6" s="86"/>
      <c r="F6" s="86"/>
      <c r="G6" s="83"/>
      <c r="H6" s="83"/>
    </row>
    <row r="7" spans="1:8" s="85" customFormat="1" ht="13" customHeight="1">
      <c r="A7" s="87" t="s">
        <v>152</v>
      </c>
      <c r="B7" s="87"/>
      <c r="C7" s="87"/>
      <c r="D7" s="87"/>
      <c r="E7" s="87"/>
      <c r="G7" s="83"/>
      <c r="H7" s="83"/>
    </row>
    <row r="8" spans="1:8" s="92" customFormat="1" ht="13" customHeight="1">
      <c r="A8" s="88" t="s">
        <v>153</v>
      </c>
      <c r="B8" s="89" t="s">
        <v>137</v>
      </c>
      <c r="C8" s="90"/>
      <c r="D8" s="88" t="s">
        <v>154</v>
      </c>
      <c r="E8" s="88"/>
      <c r="F8" s="89" t="s">
        <v>155</v>
      </c>
      <c r="G8" s="91"/>
    </row>
    <row r="9" spans="1:8" s="92" customFormat="1" ht="13" customHeight="1">
      <c r="A9" s="88" t="s">
        <v>156</v>
      </c>
      <c r="B9" s="89" t="s">
        <v>143</v>
      </c>
      <c r="C9" s="93"/>
      <c r="D9" s="88" t="s">
        <v>157</v>
      </c>
      <c r="E9" s="88"/>
      <c r="F9" s="89" t="s">
        <v>187</v>
      </c>
      <c r="G9" s="91"/>
    </row>
    <row r="10" spans="1:8" s="85" customFormat="1" ht="13" customHeight="1">
      <c r="A10" s="88" t="s">
        <v>158</v>
      </c>
      <c r="B10" s="160" t="s">
        <v>180</v>
      </c>
      <c r="C10" s="93"/>
      <c r="D10" s="88" t="s">
        <v>159</v>
      </c>
      <c r="E10" s="88"/>
      <c r="F10" s="94">
        <f ca="1">TODAY()</f>
        <v>46092</v>
      </c>
      <c r="G10" s="83"/>
    </row>
    <row r="11" spans="1:8" s="92" customFormat="1" ht="12" customHeight="1">
      <c r="A11" s="95"/>
      <c r="B11" s="160"/>
      <c r="D11" s="88" t="s">
        <v>160</v>
      </c>
      <c r="E11" s="88"/>
      <c r="F11" s="94">
        <v>46099</v>
      </c>
      <c r="G11" s="91"/>
    </row>
    <row r="12" spans="1:8" s="85" customFormat="1" ht="12" customHeight="1">
      <c r="A12" s="96"/>
      <c r="B12" s="96"/>
      <c r="C12" s="96"/>
      <c r="D12" s="96"/>
      <c r="E12" s="97"/>
      <c r="G12" s="83"/>
    </row>
    <row r="13" spans="1:8" ht="11" thickBot="1"/>
    <row r="14" spans="1:8" s="101" customFormat="1" ht="28" customHeight="1">
      <c r="A14" s="155" t="s">
        <v>161</v>
      </c>
      <c r="B14" s="156"/>
      <c r="C14" s="156"/>
      <c r="D14" s="98"/>
      <c r="E14" s="98" t="str">
        <f>"Amount "&amp;TW!C6</f>
        <v>Amount (NTD)</v>
      </c>
      <c r="F14" s="99" t="s">
        <v>162</v>
      </c>
      <c r="G14" s="100"/>
    </row>
    <row r="15" spans="1:8" s="106" customFormat="1" ht="16" customHeight="1">
      <c r="A15" s="163" t="s">
        <v>163</v>
      </c>
      <c r="B15" s="164"/>
      <c r="C15" s="164"/>
      <c r="D15" s="102"/>
      <c r="E15" s="103">
        <f>SUM(E16:E22)</f>
        <v>60267.5</v>
      </c>
      <c r="F15" s="104">
        <f>SUM(F16:F22)</f>
        <v>1925.6207325138907</v>
      </c>
      <c r="G15" s="105"/>
    </row>
    <row r="16" spans="1:8" s="111" customFormat="1" ht="13">
      <c r="A16" s="165" t="str">
        <f>"- Labor cost for "&amp;TW!B9&amp;"  -  "&amp;MONTH(TW!$B$2) &amp;"-"&amp; YEAR(TW!$B$2)</f>
        <v>- Labor cost for Pin Han  -  3-2026</v>
      </c>
      <c r="B16" s="166"/>
      <c r="C16" s="166"/>
      <c r="D16" s="107"/>
      <c r="E16" s="108">
        <f>TW!J9+TW!Z9</f>
        <v>40035.5</v>
      </c>
      <c r="F16" s="109">
        <f t="shared" ref="F16:F21" si="0">E16/$B$31</f>
        <v>1279.1834543752416</v>
      </c>
      <c r="G16" s="110"/>
    </row>
    <row r="17" spans="1:7" s="111" customFormat="1" ht="13">
      <c r="A17" s="165" t="str">
        <f>"- Labor cost for "&amp;TW!B10&amp;"  -  "&amp;MONTH(TW!$B$2) &amp;"-"&amp; YEAR(TW!$B$2)</f>
        <v>- Labor cost for Min Han  -  3-2026</v>
      </c>
      <c r="B17" s="166"/>
      <c r="C17" s="166"/>
      <c r="D17" s="107"/>
      <c r="E17" s="108">
        <f>TW!J10+TW!Z10</f>
        <v>9789</v>
      </c>
      <c r="F17" s="109">
        <f t="shared" si="0"/>
        <v>312.77058697603979</v>
      </c>
      <c r="G17" s="110"/>
    </row>
    <row r="18" spans="1:7" s="111" customFormat="1" ht="13">
      <c r="A18" s="165" t="str">
        <f>"- Labor cost for "&amp;TW!B11&amp;"  -  "&amp;MONTH(TW!$B$2) &amp;"-"&amp; YEAR(TW!$B$2)</f>
        <v>- Labor cost for Wen kai  -  3-2026</v>
      </c>
      <c r="B18" s="166"/>
      <c r="C18" s="166"/>
      <c r="D18" s="107"/>
      <c r="E18" s="108">
        <f>TW!J11+TW!Z11</f>
        <v>10443</v>
      </c>
      <c r="F18" s="109">
        <f t="shared" si="0"/>
        <v>333.66669116260942</v>
      </c>
      <c r="G18" s="110"/>
    </row>
    <row r="19" spans="1:7" ht="13">
      <c r="A19" s="165" t="str">
        <f>"- "&amp;+"Expense claim for "&amp;TW!B9</f>
        <v>- Expense claim for Pin Han</v>
      </c>
      <c r="B19" s="166"/>
      <c r="C19" s="166"/>
      <c r="D19" s="107"/>
      <c r="E19" s="108">
        <f>TW!AB9</f>
        <v>0</v>
      </c>
      <c r="F19" s="109">
        <f t="shared" si="0"/>
        <v>0</v>
      </c>
      <c r="G19" s="112"/>
    </row>
    <row r="20" spans="1:7" ht="13">
      <c r="A20" s="165" t="str">
        <f>"- "&amp;+"Expense claim for "&amp;TW!B10</f>
        <v>- Expense claim for Min Han</v>
      </c>
      <c r="B20" s="166"/>
      <c r="C20" s="166"/>
      <c r="D20" s="113"/>
      <c r="E20" s="108">
        <f>TW!AB10</f>
        <v>0</v>
      </c>
      <c r="F20" s="109">
        <f t="shared" si="0"/>
        <v>0</v>
      </c>
      <c r="G20" s="112"/>
    </row>
    <row r="21" spans="1:7" ht="13">
      <c r="A21" s="165" t="str">
        <f>"- "&amp;+"Expense claim for "&amp;TW!B11</f>
        <v>- Expense claim for Wen kai</v>
      </c>
      <c r="B21" s="166"/>
      <c r="C21" s="166"/>
      <c r="D21" s="113"/>
      <c r="E21" s="108">
        <f>TW!AB11</f>
        <v>0</v>
      </c>
      <c r="F21" s="109">
        <f t="shared" si="0"/>
        <v>0</v>
      </c>
      <c r="G21" s="112"/>
    </row>
    <row r="22" spans="1:7" ht="13">
      <c r="A22" s="167"/>
      <c r="B22" s="168"/>
      <c r="C22" s="168"/>
      <c r="D22" s="114"/>
      <c r="E22" s="115"/>
      <c r="F22" s="109"/>
      <c r="G22" s="112"/>
    </row>
    <row r="23" spans="1:7" s="118" customFormat="1" ht="16" customHeight="1">
      <c r="A23" s="163" t="s">
        <v>164</v>
      </c>
      <c r="B23" s="164"/>
      <c r="C23" s="164"/>
      <c r="D23" s="102"/>
      <c r="E23" s="103">
        <f>SUM(E24:E25)</f>
        <v>13804.26</v>
      </c>
      <c r="F23" s="116">
        <f>SUM(F24:F25)</f>
        <v>441.06308131268435</v>
      </c>
      <c r="G23" s="117"/>
    </row>
    <row r="24" spans="1:7" ht="13">
      <c r="A24" s="183" t="str">
        <f>"- "&amp;+"Management Fee - "&amp;MONTH(TW!B2) &amp;"-"&amp; YEAR(TW!B2)</f>
        <v>- Management Fee - 3-2026</v>
      </c>
      <c r="B24" s="184"/>
      <c r="C24" s="184"/>
      <c r="D24" s="119"/>
      <c r="E24" s="115">
        <f>TW!G6</f>
        <v>13804.26</v>
      </c>
      <c r="F24" s="109">
        <f>E24/$B$31</f>
        <v>441.06308131268435</v>
      </c>
      <c r="G24" s="112"/>
    </row>
    <row r="25" spans="1:7" ht="13">
      <c r="A25" s="183"/>
      <c r="B25" s="184"/>
      <c r="C25" s="184"/>
      <c r="D25" s="119"/>
      <c r="E25" s="115"/>
      <c r="F25" s="109"/>
      <c r="G25" s="112"/>
    </row>
    <row r="26" spans="1:7" ht="13">
      <c r="A26" s="183"/>
      <c r="B26" s="184"/>
      <c r="C26" s="184"/>
      <c r="D26" s="119"/>
      <c r="E26" s="115"/>
      <c r="F26" s="109"/>
      <c r="G26" s="112"/>
    </row>
    <row r="27" spans="1:7" ht="14.5">
      <c r="A27" s="185"/>
      <c r="B27" s="186"/>
      <c r="C27" s="186"/>
      <c r="D27" s="120"/>
      <c r="E27" s="121"/>
      <c r="F27" s="122"/>
      <c r="G27" s="112"/>
    </row>
    <row r="28" spans="1:7" s="106" customFormat="1" ht="15" thickBot="1">
      <c r="A28" s="187" t="s">
        <v>165</v>
      </c>
      <c r="B28" s="188"/>
      <c r="C28" s="188"/>
      <c r="D28" s="188"/>
      <c r="E28" s="123">
        <f>E15+E23</f>
        <v>74071.759999999995</v>
      </c>
      <c r="F28" s="124">
        <f>F15+F23</f>
        <v>2366.6838138265753</v>
      </c>
      <c r="G28" s="105"/>
    </row>
    <row r="29" spans="1:7" s="106" customFormat="1" ht="14.5">
      <c r="A29" s="125"/>
      <c r="B29" s="125"/>
      <c r="C29" s="126"/>
      <c r="D29" s="126"/>
      <c r="E29" s="127"/>
      <c r="F29" s="128"/>
      <c r="G29" s="105"/>
    </row>
    <row r="30" spans="1:7" s="106" customFormat="1" ht="15" thickBot="1">
      <c r="A30" s="129"/>
      <c r="B30" s="129"/>
      <c r="C30" s="129"/>
      <c r="D30" s="129"/>
      <c r="E30" s="127"/>
      <c r="F30" s="128"/>
      <c r="G30" s="105"/>
    </row>
    <row r="31" spans="1:7" ht="26">
      <c r="A31" s="130" t="str">
        <f>"*FX rate  USD:  "&amp;TW!C6</f>
        <v>*FX rate  USD:  (NTD)</v>
      </c>
      <c r="B31" s="153">
        <v>31.297699999999999</v>
      </c>
      <c r="C31" s="127"/>
      <c r="D31" s="161" t="s">
        <v>166</v>
      </c>
      <c r="E31" s="162"/>
      <c r="F31" s="131">
        <f>F28</f>
        <v>2366.6838138265753</v>
      </c>
      <c r="G31" s="112"/>
    </row>
    <row r="32" spans="1:7" s="111" customFormat="1" ht="16" customHeight="1">
      <c r="A32" s="132"/>
      <c r="B32" s="132"/>
      <c r="C32" s="127"/>
      <c r="D32" s="175" t="s">
        <v>107</v>
      </c>
      <c r="E32" s="176"/>
      <c r="F32" s="133">
        <f>TW!E22</f>
        <v>0</v>
      </c>
      <c r="G32" s="110"/>
    </row>
    <row r="33" spans="1:8" s="111" customFormat="1" ht="14.5">
      <c r="A33" s="132"/>
      <c r="B33" s="132"/>
      <c r="C33" s="127"/>
      <c r="D33" s="175" t="s">
        <v>108</v>
      </c>
      <c r="E33" s="176"/>
      <c r="F33" s="133">
        <f>TW!E23</f>
        <v>0</v>
      </c>
      <c r="G33" s="110"/>
    </row>
    <row r="34" spans="1:8" ht="14.5">
      <c r="A34" s="132"/>
      <c r="B34" s="132"/>
      <c r="C34" s="127"/>
      <c r="D34" s="175" t="s">
        <v>167</v>
      </c>
      <c r="E34" s="176"/>
      <c r="F34" s="133">
        <f>TW!E24</f>
        <v>0</v>
      </c>
      <c r="G34" s="112"/>
    </row>
    <row r="35" spans="1:8" ht="15" thickBot="1">
      <c r="A35" s="132"/>
      <c r="B35" s="132"/>
      <c r="C35" s="134"/>
      <c r="D35" s="177" t="s">
        <v>168</v>
      </c>
      <c r="E35" s="178"/>
      <c r="F35" s="135">
        <f>TW!E25</f>
        <v>10</v>
      </c>
      <c r="G35" s="112"/>
    </row>
    <row r="36" spans="1:8" ht="14.5">
      <c r="A36" s="132"/>
      <c r="B36" s="132"/>
      <c r="C36" s="127"/>
      <c r="D36" s="179" t="s">
        <v>169</v>
      </c>
      <c r="E36" s="180"/>
      <c r="F36" s="136">
        <f>SUM(F31:F35)</f>
        <v>2376.6838138265753</v>
      </c>
      <c r="G36" s="112"/>
    </row>
    <row r="37" spans="1:8" ht="14.5">
      <c r="A37" s="132"/>
      <c r="B37" s="132"/>
      <c r="C37" s="127"/>
      <c r="D37" s="181" t="s">
        <v>170</v>
      </c>
      <c r="E37" s="182"/>
      <c r="F37" s="136">
        <f>ROUNDUP(TW!F6/PN!B31,2)+0.01</f>
        <v>110.66000000000001</v>
      </c>
      <c r="G37" s="112"/>
    </row>
    <row r="38" spans="1:8" ht="15" thickBot="1">
      <c r="A38" s="137"/>
      <c r="B38" s="137"/>
      <c r="C38" s="127"/>
      <c r="D38" s="169" t="s">
        <v>171</v>
      </c>
      <c r="E38" s="170"/>
      <c r="F38" s="138">
        <f>SUM(F36:F37)</f>
        <v>2487.3438138265751</v>
      </c>
      <c r="G38" s="112"/>
      <c r="H38" s="139"/>
    </row>
    <row r="39" spans="1:8" ht="14.5">
      <c r="A39" s="120"/>
      <c r="B39" s="120"/>
      <c r="C39" s="120"/>
      <c r="D39" s="120"/>
      <c r="E39" s="134"/>
      <c r="F39" s="134"/>
      <c r="G39" s="112"/>
    </row>
    <row r="40" spans="1:8" ht="14.5">
      <c r="A40" s="120"/>
      <c r="B40" s="120"/>
      <c r="C40" s="120"/>
      <c r="D40" s="120"/>
      <c r="E40" s="134"/>
      <c r="F40" s="134"/>
      <c r="G40" s="112"/>
    </row>
    <row r="41" spans="1:8">
      <c r="G41" s="112"/>
    </row>
    <row r="42" spans="1:8" ht="19" customHeight="1">
      <c r="A42" s="171" t="s">
        <v>172</v>
      </c>
      <c r="B42" s="171"/>
      <c r="C42" s="171"/>
      <c r="D42" s="171"/>
      <c r="E42" s="171"/>
      <c r="F42" s="171"/>
    </row>
    <row r="43" spans="1:8" ht="61" customHeight="1">
      <c r="A43" s="172" t="s">
        <v>173</v>
      </c>
      <c r="B43" s="172"/>
      <c r="C43" s="173"/>
      <c r="D43" s="174" t="s">
        <v>174</v>
      </c>
      <c r="E43" s="172"/>
      <c r="F43" s="172"/>
    </row>
    <row r="44" spans="1:8">
      <c r="A44" s="82" t="s">
        <v>175</v>
      </c>
    </row>
    <row r="45" spans="1:8" ht="11" customHeight="1">
      <c r="A45" s="106" t="s">
        <v>176</v>
      </c>
      <c r="B45" s="106"/>
      <c r="C45" s="106"/>
      <c r="D45" s="106"/>
      <c r="E45" s="106"/>
      <c r="F45" s="106"/>
    </row>
    <row r="46" spans="1:8">
      <c r="A46" s="106" t="s">
        <v>177</v>
      </c>
    </row>
    <row r="47" spans="1:8">
      <c r="A47" s="106" t="s">
        <v>178</v>
      </c>
    </row>
  </sheetData>
  <mergeCells count="31">
    <mergeCell ref="D38:E38"/>
    <mergeCell ref="A42:F42"/>
    <mergeCell ref="A43:C43"/>
    <mergeCell ref="D43:F43"/>
    <mergeCell ref="A17:C17"/>
    <mergeCell ref="D32:E32"/>
    <mergeCell ref="D33:E33"/>
    <mergeCell ref="D34:E34"/>
    <mergeCell ref="D35:E35"/>
    <mergeCell ref="D36:E36"/>
    <mergeCell ref="D37:E37"/>
    <mergeCell ref="A24:C24"/>
    <mergeCell ref="A25:C25"/>
    <mergeCell ref="A26:C26"/>
    <mergeCell ref="A27:C27"/>
    <mergeCell ref="A28:D28"/>
    <mergeCell ref="D31:E31"/>
    <mergeCell ref="A15:C15"/>
    <mergeCell ref="A16:C16"/>
    <mergeCell ref="A19:C19"/>
    <mergeCell ref="A20:C20"/>
    <mergeCell ref="A22:C22"/>
    <mergeCell ref="A23:C23"/>
    <mergeCell ref="A18:C18"/>
    <mergeCell ref="A21:C21"/>
    <mergeCell ref="A14:C14"/>
    <mergeCell ref="B1:F1"/>
    <mergeCell ref="B2:F2"/>
    <mergeCell ref="B3:F3"/>
    <mergeCell ref="A5:F5"/>
    <mergeCell ref="B10:B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A757-A298-40A7-A668-032C04DD9A20}">
  <dimension ref="A1:AC26"/>
  <sheetViews>
    <sheetView zoomScale="87" zoomScaleNormal="7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0" sqref="F10"/>
    </sheetView>
  </sheetViews>
  <sheetFormatPr defaultColWidth="8.81640625" defaultRowHeight="14.5"/>
  <cols>
    <col min="1" max="1" width="9.7265625" style="7" bestFit="1" customWidth="1"/>
    <col min="2" max="2" width="19.453125" bestFit="1" customWidth="1"/>
    <col min="3" max="3" width="13.1796875" bestFit="1" customWidth="1"/>
    <col min="5" max="5" width="9.7265625" bestFit="1" customWidth="1"/>
    <col min="6" max="6" width="8.6328125" bestFit="1" customWidth="1"/>
    <col min="7" max="8" width="9.7265625" bestFit="1" customWidth="1"/>
    <col min="9" max="9" width="7.54296875" bestFit="1" customWidth="1"/>
    <col min="10" max="11" width="9.7265625" bestFit="1" customWidth="1"/>
    <col min="12" max="12" width="9.81640625" bestFit="1" customWidth="1"/>
    <col min="13" max="14" width="9.7265625" bestFit="1" customWidth="1"/>
    <col min="15" max="15" width="12.1796875" bestFit="1" customWidth="1"/>
    <col min="16" max="16" width="8" bestFit="1" customWidth="1"/>
    <col min="17" max="17" width="12.36328125" bestFit="1" customWidth="1"/>
    <col min="18" max="18" width="7.26953125" bestFit="1" customWidth="1"/>
    <col min="19" max="19" width="9.26953125" bestFit="1" customWidth="1"/>
    <col min="20" max="20" width="5.81640625" bestFit="1" customWidth="1"/>
    <col min="21" max="21" width="6.54296875" bestFit="1" customWidth="1"/>
    <col min="22" max="22" width="6" bestFit="1" customWidth="1"/>
    <col min="23" max="23" width="9.1796875" bestFit="1" customWidth="1"/>
    <col min="24" max="24" width="10.08984375" bestFit="1" customWidth="1"/>
    <col min="25" max="25" width="9.26953125" bestFit="1" customWidth="1"/>
    <col min="26" max="27" width="8.6328125" bestFit="1" customWidth="1"/>
    <col min="28" max="28" width="7.7265625" bestFit="1" customWidth="1"/>
    <col min="29" max="29" width="7.54296875" bestFit="1" customWidth="1"/>
  </cols>
  <sheetData>
    <row r="1" spans="1:29" ht="15" thickBot="1">
      <c r="A1" s="7" t="str">
        <f ca="1">MID(CELL("filename",A1),FIND("]",CELL("filename",A1))+1,256)</f>
        <v>TW</v>
      </c>
    </row>
    <row r="2" spans="1:29" ht="15" thickBot="1">
      <c r="A2" s="7" t="s">
        <v>35</v>
      </c>
      <c r="B2" s="36" t="str">
        <f>'TW-L'!C4</f>
        <v>2026/3/1</v>
      </c>
      <c r="C2" s="147" t="str">
        <f>'TW-L'!C5</f>
        <v>2026/3/31</v>
      </c>
      <c r="E2" s="2" t="s">
        <v>25</v>
      </c>
    </row>
    <row r="3" spans="1:29" s="6" customFormat="1" ht="14.25" customHeight="1">
      <c r="E3" s="191" t="s">
        <v>1</v>
      </c>
      <c r="F3" s="189" t="s">
        <v>10</v>
      </c>
      <c r="G3" s="189" t="s">
        <v>27</v>
      </c>
      <c r="H3" s="189"/>
      <c r="I3" s="189"/>
      <c r="J3" s="197" t="s">
        <v>8</v>
      </c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9"/>
      <c r="Z3" s="195" t="s">
        <v>0</v>
      </c>
      <c r="AA3" s="196"/>
      <c r="AB3" s="193" t="s">
        <v>3</v>
      </c>
      <c r="AC3" s="194"/>
    </row>
    <row r="4" spans="1:29" s="6" customFormat="1" ht="58.5" thickBot="1">
      <c r="E4" s="192"/>
      <c r="F4" s="190"/>
      <c r="G4" s="14" t="s">
        <v>22</v>
      </c>
      <c r="H4" s="15" t="s">
        <v>23</v>
      </c>
      <c r="I4" s="15" t="s">
        <v>24</v>
      </c>
      <c r="J4" s="16" t="s">
        <v>7</v>
      </c>
      <c r="K4" s="15" t="s">
        <v>12</v>
      </c>
      <c r="L4" s="15" t="s">
        <v>11</v>
      </c>
      <c r="M4" s="15" t="s">
        <v>17</v>
      </c>
      <c r="N4" s="15" t="s">
        <v>124</v>
      </c>
      <c r="O4" s="15" t="s">
        <v>125</v>
      </c>
      <c r="P4" s="15" t="s">
        <v>128</v>
      </c>
      <c r="Q4" s="15" t="s">
        <v>130</v>
      </c>
      <c r="R4" s="15" t="s">
        <v>129</v>
      </c>
      <c r="S4" s="15" t="s">
        <v>131</v>
      </c>
      <c r="T4" s="15" t="s">
        <v>103</v>
      </c>
      <c r="U4" s="15" t="s">
        <v>132</v>
      </c>
      <c r="V4" s="15" t="s">
        <v>133</v>
      </c>
      <c r="W4" s="15" t="s">
        <v>134</v>
      </c>
      <c r="X4" s="15" t="s">
        <v>135</v>
      </c>
      <c r="Y4" s="15" t="s">
        <v>136</v>
      </c>
      <c r="Z4" s="15" t="s">
        <v>2</v>
      </c>
      <c r="AA4" s="15" t="s">
        <v>101</v>
      </c>
      <c r="AB4" s="16" t="s">
        <v>2</v>
      </c>
      <c r="AC4" s="148" t="s">
        <v>9</v>
      </c>
    </row>
    <row r="5" spans="1:29" s="1" customFormat="1" ht="15" thickBot="1">
      <c r="A5" s="7"/>
      <c r="E5" s="32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4"/>
    </row>
    <row r="6" spans="1:29" s="4" customFormat="1">
      <c r="A6" s="5"/>
      <c r="B6" s="4" t="s">
        <v>1</v>
      </c>
      <c r="C6" s="4" t="s">
        <v>26</v>
      </c>
      <c r="E6" s="23">
        <f t="shared" ref="E6:AC6" si="0">SUM(E9:E17)</f>
        <v>77534.760000000009</v>
      </c>
      <c r="F6" s="24">
        <f t="shared" si="0"/>
        <v>3463</v>
      </c>
      <c r="G6" s="24">
        <f t="shared" si="0"/>
        <v>13804.26</v>
      </c>
      <c r="H6" s="24">
        <f t="shared" si="0"/>
        <v>13804.26</v>
      </c>
      <c r="I6" s="24">
        <f t="shared" si="0"/>
        <v>0</v>
      </c>
      <c r="J6" s="24">
        <f t="shared" si="0"/>
        <v>50222.5</v>
      </c>
      <c r="K6" s="24">
        <f t="shared" si="0"/>
        <v>38155</v>
      </c>
      <c r="L6" s="24">
        <f t="shared" si="0"/>
        <v>0</v>
      </c>
      <c r="M6" s="24">
        <f t="shared" si="0"/>
        <v>13220</v>
      </c>
      <c r="N6" s="24">
        <f t="shared" si="0"/>
        <v>0</v>
      </c>
      <c r="O6" s="24">
        <f t="shared" si="0"/>
        <v>0</v>
      </c>
      <c r="P6" s="24">
        <f t="shared" si="0"/>
        <v>0</v>
      </c>
      <c r="Q6" s="24">
        <f t="shared" si="0"/>
        <v>0</v>
      </c>
      <c r="R6" s="24">
        <f t="shared" si="0"/>
        <v>0</v>
      </c>
      <c r="S6" s="24">
        <f t="shared" si="0"/>
        <v>-1152.5</v>
      </c>
      <c r="T6" s="24">
        <f t="shared" si="0"/>
        <v>0</v>
      </c>
      <c r="U6" s="24">
        <f t="shared" si="0"/>
        <v>0</v>
      </c>
      <c r="V6" s="24">
        <f t="shared" si="0"/>
        <v>0</v>
      </c>
      <c r="W6" s="24">
        <f t="shared" si="0"/>
        <v>0</v>
      </c>
      <c r="X6" s="24">
        <f t="shared" si="0"/>
        <v>0</v>
      </c>
      <c r="Y6" s="24">
        <f t="shared" si="0"/>
        <v>0</v>
      </c>
      <c r="Z6" s="24">
        <f t="shared" si="0"/>
        <v>10045</v>
      </c>
      <c r="AA6" s="24">
        <f t="shared" si="0"/>
        <v>10045</v>
      </c>
      <c r="AB6" s="24">
        <f t="shared" si="0"/>
        <v>0</v>
      </c>
      <c r="AC6" s="25">
        <f t="shared" si="0"/>
        <v>0</v>
      </c>
    </row>
    <row r="7" spans="1:29" s="3" customFormat="1">
      <c r="A7" s="8"/>
      <c r="B7" s="47"/>
      <c r="C7" s="47"/>
      <c r="E7" s="23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5"/>
    </row>
    <row r="8" spans="1:29" s="3" customFormat="1">
      <c r="A8" s="8"/>
      <c r="E8" s="2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5"/>
    </row>
    <row r="9" spans="1:29" s="3" customFormat="1">
      <c r="A9" s="5"/>
      <c r="B9" s="3" t="str">
        <f>'TW-L'!C9</f>
        <v>Pin Han</v>
      </c>
      <c r="C9" s="3" t="str">
        <f>'TW EE'!D10</f>
        <v>CUS1516-0001</v>
      </c>
      <c r="E9" s="23">
        <f>SUM(F9:G9)+J9+Z9+AB9</f>
        <v>46991.76</v>
      </c>
      <c r="F9" s="154">
        <v>2152</v>
      </c>
      <c r="G9" s="21">
        <f>SUM(H9:I9)</f>
        <v>4804.26</v>
      </c>
      <c r="H9" s="24">
        <f>MAX(4500,(J9+Z9)*12%)</f>
        <v>4804.26</v>
      </c>
      <c r="I9" s="24">
        <f>IF(AB9&gt;0,1500,0)</f>
        <v>0</v>
      </c>
      <c r="J9" s="24">
        <f>SUM(K9:Y9)</f>
        <v>33422.5</v>
      </c>
      <c r="K9" s="75">
        <f>'TW-L'!N9</f>
        <v>25355</v>
      </c>
      <c r="L9" s="24">
        <v>0</v>
      </c>
      <c r="M9" s="24">
        <f>'TW-L'!AC9</f>
        <v>9220</v>
      </c>
      <c r="N9" s="24">
        <f>'TW-L'!O9</f>
        <v>0</v>
      </c>
      <c r="O9" s="24">
        <f>'TW-L'!P9</f>
        <v>0</v>
      </c>
      <c r="P9" s="24">
        <f>'TW-L'!Q9</f>
        <v>0</v>
      </c>
      <c r="Q9" s="24">
        <f>'TW-L'!R9</f>
        <v>0</v>
      </c>
      <c r="R9" s="24">
        <f>'TW-L'!R9</f>
        <v>0</v>
      </c>
      <c r="S9" s="24">
        <f>'TW-L'!U9</f>
        <v>-1152.5</v>
      </c>
      <c r="T9" s="24">
        <f>'TW-L'!V9</f>
        <v>0</v>
      </c>
      <c r="U9" s="24">
        <f>'TW-L'!W9</f>
        <v>0</v>
      </c>
      <c r="V9" s="24">
        <f>'TW-L'!X9</f>
        <v>0</v>
      </c>
      <c r="W9" s="24">
        <f>'TW-L'!Y9</f>
        <v>0</v>
      </c>
      <c r="X9" s="24">
        <f>'TW-L'!AA9</f>
        <v>0</v>
      </c>
      <c r="Y9" s="24">
        <f>'TW-L'!AB9</f>
        <v>0</v>
      </c>
      <c r="Z9" s="24">
        <f>SUM(AA9:AA9)</f>
        <v>6613</v>
      </c>
      <c r="AA9" s="24">
        <f>'TW-L'!BL9</f>
        <v>6613</v>
      </c>
      <c r="AB9" s="24">
        <f>SUM(AC9:AC9)</f>
        <v>0</v>
      </c>
      <c r="AC9" s="25">
        <f>'TW-L'!Z9</f>
        <v>0</v>
      </c>
    </row>
    <row r="10" spans="1:29" s="3" customFormat="1">
      <c r="A10" s="5"/>
      <c r="B10" s="3" t="str">
        <f>'TW-L'!C10</f>
        <v>Min Han</v>
      </c>
      <c r="C10" s="3" t="str">
        <f>'TW EE'!D11</f>
        <v>CUS1516-0002</v>
      </c>
      <c r="E10" s="23">
        <f>SUM(F10:G10)+J10+Z10+AB10</f>
        <v>14928</v>
      </c>
      <c r="F10" s="154">
        <v>639</v>
      </c>
      <c r="G10" s="21">
        <f>SUM(H10:I10)</f>
        <v>4500</v>
      </c>
      <c r="H10" s="24">
        <f>MAX(4500,(J10+Z10)*12%)</f>
        <v>4500</v>
      </c>
      <c r="I10" s="24">
        <f>IF(AB10&gt;0,1500,0)</f>
        <v>0</v>
      </c>
      <c r="J10" s="24">
        <f>SUM(K10:Y10)</f>
        <v>8000</v>
      </c>
      <c r="K10" s="75">
        <f>'TW-L'!N10</f>
        <v>6000</v>
      </c>
      <c r="L10" s="24">
        <v>0</v>
      </c>
      <c r="M10" s="24">
        <f>'TW-L'!AC10</f>
        <v>2000</v>
      </c>
      <c r="N10" s="24">
        <f>'TW-L'!O10</f>
        <v>0</v>
      </c>
      <c r="O10" s="24">
        <f>'TW-L'!P10</f>
        <v>0</v>
      </c>
      <c r="P10" s="24">
        <f>'TW-L'!Q10</f>
        <v>0</v>
      </c>
      <c r="Q10" s="24">
        <f>'TW-L'!R10</f>
        <v>0</v>
      </c>
      <c r="R10" s="24">
        <f>'TW-L'!R10</f>
        <v>0</v>
      </c>
      <c r="S10" s="24">
        <f>'TW-L'!U10</f>
        <v>0</v>
      </c>
      <c r="T10" s="24">
        <f>'TW-L'!V10</f>
        <v>0</v>
      </c>
      <c r="U10" s="24">
        <f>'TW-L'!W10</f>
        <v>0</v>
      </c>
      <c r="V10" s="24">
        <f>'TW-L'!X10</f>
        <v>0</v>
      </c>
      <c r="W10" s="24">
        <f>'TW-L'!Y10</f>
        <v>0</v>
      </c>
      <c r="X10" s="24">
        <f>'TW-L'!AA10</f>
        <v>0</v>
      </c>
      <c r="Y10" s="24">
        <f>'TW-L'!AB10</f>
        <v>0</v>
      </c>
      <c r="Z10" s="24">
        <f>SUM(AA10:AA10)</f>
        <v>1789</v>
      </c>
      <c r="AA10" s="24">
        <f>'TW-L'!BL10</f>
        <v>1789</v>
      </c>
      <c r="AB10" s="24">
        <f>SUM(AC10:AC10)</f>
        <v>0</v>
      </c>
      <c r="AC10" s="25">
        <f>'TW-L'!Z10</f>
        <v>0</v>
      </c>
    </row>
    <row r="11" spans="1:29" s="3" customFormat="1">
      <c r="A11" s="5"/>
      <c r="B11" s="3" t="str">
        <f>'TW-L'!C11</f>
        <v>Wen kai</v>
      </c>
      <c r="C11" s="3" t="str">
        <f>'TW EE'!D12</f>
        <v>CUS1516-0003</v>
      </c>
      <c r="E11" s="23">
        <f>SUM(F11:G11)+J11+Z11+AB11</f>
        <v>15615</v>
      </c>
      <c r="F11" s="154">
        <v>672</v>
      </c>
      <c r="G11" s="21">
        <f>SUM(H11:I11)</f>
        <v>4500</v>
      </c>
      <c r="H11" s="24">
        <f>MAX(4500,(J11+Z11)*12%)</f>
        <v>4500</v>
      </c>
      <c r="I11" s="24">
        <f>IF(AB11&gt;0,1500,0)</f>
        <v>0</v>
      </c>
      <c r="J11" s="24">
        <f>SUM(K11:Y11)</f>
        <v>8800</v>
      </c>
      <c r="K11" s="75">
        <f>'TW-L'!N11</f>
        <v>6800</v>
      </c>
      <c r="L11" s="24">
        <v>0</v>
      </c>
      <c r="M11" s="24">
        <f>'TW-L'!AC11</f>
        <v>2000</v>
      </c>
      <c r="N11" s="24">
        <f>'TW-L'!O11</f>
        <v>0</v>
      </c>
      <c r="O11" s="24">
        <f>'TW-L'!P11</f>
        <v>0</v>
      </c>
      <c r="P11" s="24">
        <f>'TW-L'!Q11</f>
        <v>0</v>
      </c>
      <c r="Q11" s="24">
        <f>'TW-L'!R11</f>
        <v>0</v>
      </c>
      <c r="R11" s="24">
        <f>'TW-L'!R11</f>
        <v>0</v>
      </c>
      <c r="S11" s="24">
        <f>'TW-L'!U11</f>
        <v>0</v>
      </c>
      <c r="T11" s="24">
        <f>'TW-L'!V11</f>
        <v>0</v>
      </c>
      <c r="U11" s="24">
        <f>'TW-L'!W11</f>
        <v>0</v>
      </c>
      <c r="V11" s="24">
        <f>'TW-L'!X11</f>
        <v>0</v>
      </c>
      <c r="W11" s="24">
        <f>'TW-L'!Y11</f>
        <v>0</v>
      </c>
      <c r="X11" s="24">
        <f>'TW-L'!AA11</f>
        <v>0</v>
      </c>
      <c r="Y11" s="24">
        <f>'TW-L'!AB11</f>
        <v>0</v>
      </c>
      <c r="Z11" s="24">
        <f>SUM(AA11:AA11)</f>
        <v>1643</v>
      </c>
      <c r="AA11" s="24">
        <f>'TW-L'!BL11</f>
        <v>1643</v>
      </c>
      <c r="AB11" s="24">
        <f>SUM(AC11:AC11)</f>
        <v>0</v>
      </c>
      <c r="AC11" s="25">
        <f>'TW-L'!Z11</f>
        <v>0</v>
      </c>
    </row>
    <row r="12" spans="1:29" s="3" customFormat="1">
      <c r="A12" s="5"/>
      <c r="E12" s="23"/>
      <c r="F12" s="24"/>
      <c r="G12" s="21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</row>
    <row r="13" spans="1:29" s="3" customFormat="1">
      <c r="A13" s="5"/>
      <c r="E13" s="23"/>
      <c r="F13" s="24"/>
      <c r="G13" s="21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</row>
    <row r="14" spans="1:29" s="3" customFormat="1">
      <c r="A14" s="5"/>
      <c r="E14" s="23"/>
      <c r="F14" s="24"/>
      <c r="G14" s="21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5"/>
    </row>
    <row r="15" spans="1:29" s="3" customFormat="1">
      <c r="A15" s="5"/>
      <c r="E15" s="23"/>
      <c r="F15" s="24"/>
      <c r="G15" s="21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</row>
    <row r="16" spans="1:29" s="3" customFormat="1">
      <c r="A16" s="5"/>
      <c r="E16" s="23"/>
      <c r="F16" s="24"/>
      <c r="G16" s="21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</row>
    <row r="17" spans="1:29" s="3" customFormat="1" ht="15" thickBot="1">
      <c r="A17" s="5"/>
      <c r="E17" s="38"/>
      <c r="F17" s="39"/>
      <c r="G17" s="40"/>
      <c r="H17" s="39"/>
      <c r="I17" s="39"/>
      <c r="J17" s="39"/>
      <c r="K17" s="39"/>
      <c r="L17" s="39"/>
      <c r="M17" s="39"/>
      <c r="N17" s="39"/>
      <c r="O17" s="39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1"/>
    </row>
    <row r="20" spans="1:29" ht="15" thickBot="1"/>
    <row r="21" spans="1:29">
      <c r="A21" s="7" t="s">
        <v>179</v>
      </c>
      <c r="B21" s="140"/>
      <c r="C21" s="140"/>
      <c r="D21" s="140"/>
      <c r="E21" s="141">
        <f>SUM(E22:E26)</f>
        <v>10</v>
      </c>
      <c r="F21" s="142">
        <v>0</v>
      </c>
      <c r="G21" s="35"/>
    </row>
    <row r="22" spans="1:29">
      <c r="B22" s="140" t="s">
        <v>107</v>
      </c>
      <c r="C22" s="140"/>
      <c r="D22" s="140"/>
      <c r="E22" s="143"/>
      <c r="F22" s="144"/>
    </row>
    <row r="23" spans="1:29">
      <c r="B23" s="140" t="s">
        <v>108</v>
      </c>
      <c r="C23" s="140"/>
      <c r="D23" s="140"/>
      <c r="E23" s="143"/>
      <c r="F23" s="144">
        <v>0</v>
      </c>
    </row>
    <row r="24" spans="1:29">
      <c r="B24" s="140" t="s">
        <v>109</v>
      </c>
      <c r="C24" s="140"/>
      <c r="D24" s="140"/>
      <c r="E24" s="143"/>
      <c r="F24" s="144">
        <v>0</v>
      </c>
    </row>
    <row r="25" spans="1:29">
      <c r="B25" s="140" t="s">
        <v>106</v>
      </c>
      <c r="C25" s="140"/>
      <c r="D25" s="140"/>
      <c r="E25" s="143">
        <f>10</f>
        <v>10</v>
      </c>
      <c r="F25" s="144"/>
    </row>
    <row r="26" spans="1:29" ht="15" thickBot="1">
      <c r="B26" s="140" t="s">
        <v>110</v>
      </c>
      <c r="C26" s="140"/>
      <c r="D26" s="140"/>
      <c r="E26" s="145">
        <v>0</v>
      </c>
      <c r="F26" s="146"/>
    </row>
  </sheetData>
  <mergeCells count="6">
    <mergeCell ref="F3:F4"/>
    <mergeCell ref="E3:E4"/>
    <mergeCell ref="G3:I3"/>
    <mergeCell ref="AB3:AC3"/>
    <mergeCell ref="Z3:AA3"/>
    <mergeCell ref="J3:Y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607-A71A-DC40-9057-A19587635B96}">
  <dimension ref="A1:AG19"/>
  <sheetViews>
    <sheetView zoomScale="87" zoomScaleNormal="71" workbookViewId="0">
      <pane xSplit="7" ySplit="6" topLeftCell="H7" activePane="bottomRight" state="frozen"/>
      <selection pane="topRight" activeCell="D1" sqref="D1"/>
      <selection pane="bottomLeft" activeCell="A5" sqref="A5"/>
      <selection pane="bottomRight" activeCell="E28" sqref="E28"/>
    </sheetView>
  </sheetViews>
  <sheetFormatPr defaultColWidth="8.81640625" defaultRowHeight="14.5"/>
  <cols>
    <col min="1" max="1" width="13.36328125" style="7" bestFit="1" customWidth="1"/>
    <col min="2" max="2" width="9.81640625" bestFit="1" customWidth="1"/>
    <col min="3" max="3" width="10.453125" bestFit="1" customWidth="1"/>
    <col min="4" max="4" width="12.6328125" bestFit="1" customWidth="1"/>
    <col min="5" max="5" width="8.1796875" bestFit="1" customWidth="1"/>
    <col min="6" max="6" width="8.6328125" bestFit="1" customWidth="1"/>
    <col min="7" max="7" width="9.453125" bestFit="1" customWidth="1"/>
    <col min="8" max="10" width="9.7265625" bestFit="1" customWidth="1"/>
    <col min="11" max="11" width="10.1796875" bestFit="1" customWidth="1"/>
    <col min="12" max="12" width="9.453125" bestFit="1" customWidth="1"/>
    <col min="13" max="13" width="10.36328125" bestFit="1" customWidth="1"/>
    <col min="14" max="14" width="12.453125" bestFit="1" customWidth="1"/>
    <col min="15" max="15" width="8.1796875" bestFit="1" customWidth="1"/>
    <col min="16" max="16" width="10.1796875" bestFit="1" customWidth="1"/>
    <col min="17" max="17" width="13.36328125" bestFit="1" customWidth="1"/>
    <col min="18" max="18" width="9.36328125" bestFit="1" customWidth="1"/>
    <col min="19" max="19" width="9" bestFit="1" customWidth="1"/>
    <col min="20" max="20" width="11.6328125" bestFit="1" customWidth="1"/>
    <col min="21" max="21" width="8.36328125" bestFit="1" customWidth="1"/>
    <col min="22" max="22" width="9.1796875" bestFit="1" customWidth="1"/>
    <col min="23" max="23" width="10.1796875" bestFit="1" customWidth="1"/>
    <col min="24" max="24" width="9.36328125" bestFit="1" customWidth="1"/>
    <col min="25" max="26" width="7.6328125" bestFit="1" customWidth="1"/>
    <col min="27" max="27" width="9.26953125" bestFit="1" customWidth="1"/>
    <col min="28" max="28" width="9" bestFit="1" customWidth="1"/>
    <col min="29" max="29" width="7.36328125" bestFit="1" customWidth="1"/>
    <col min="30" max="31" width="7.7265625" bestFit="1" customWidth="1"/>
    <col min="32" max="32" width="9.1796875" bestFit="1" customWidth="1"/>
    <col min="33" max="33" width="7.7265625" bestFit="1" customWidth="1"/>
  </cols>
  <sheetData>
    <row r="1" spans="1:33" ht="15" thickBot="1">
      <c r="A1" s="7" t="str">
        <f ca="1">MID(CELL("filename",A1),FIND("]",CELL("filename",A1))+1,256)</f>
        <v>TW EE</v>
      </c>
      <c r="H1" s="37"/>
    </row>
    <row r="2" spans="1:33" ht="15" thickBot="1">
      <c r="A2" s="13"/>
      <c r="B2" s="36"/>
      <c r="C2" s="36"/>
      <c r="D2" s="36"/>
      <c r="E2" s="36"/>
      <c r="F2" s="36"/>
      <c r="H2" s="2" t="s">
        <v>4</v>
      </c>
    </row>
    <row r="3" spans="1:33" s="6" customFormat="1">
      <c r="B3" s="200" t="s">
        <v>31</v>
      </c>
      <c r="C3" s="200" t="s">
        <v>32</v>
      </c>
      <c r="D3" s="200" t="s">
        <v>33</v>
      </c>
      <c r="E3" s="200" t="s">
        <v>34</v>
      </c>
      <c r="F3" s="202" t="s">
        <v>35</v>
      </c>
      <c r="G3" s="203"/>
      <c r="H3" s="200" t="s">
        <v>13</v>
      </c>
      <c r="I3" s="195" t="s">
        <v>8</v>
      </c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207"/>
      <c r="Y3" s="189" t="s">
        <v>3</v>
      </c>
      <c r="Z3" s="189"/>
      <c r="AA3" s="195" t="s">
        <v>0</v>
      </c>
      <c r="AB3" s="196"/>
      <c r="AC3" s="196"/>
      <c r="AD3" s="196"/>
      <c r="AE3" s="207"/>
      <c r="AF3" s="189" t="s">
        <v>5</v>
      </c>
      <c r="AG3" s="205" t="s">
        <v>6</v>
      </c>
    </row>
    <row r="4" spans="1:33" s="6" customFormat="1" ht="58.5" thickBot="1">
      <c r="B4" s="201"/>
      <c r="C4" s="201"/>
      <c r="D4" s="201"/>
      <c r="E4" s="201"/>
      <c r="F4" s="149" t="s">
        <v>36</v>
      </c>
      <c r="G4" s="149" t="s">
        <v>37</v>
      </c>
      <c r="H4" s="201"/>
      <c r="I4" s="15" t="s">
        <v>2</v>
      </c>
      <c r="J4" s="15" t="s">
        <v>12</v>
      </c>
      <c r="K4" s="15" t="s">
        <v>11</v>
      </c>
      <c r="L4" s="15" t="s">
        <v>17</v>
      </c>
      <c r="M4" s="15" t="s">
        <v>124</v>
      </c>
      <c r="N4" s="15" t="s">
        <v>125</v>
      </c>
      <c r="O4" s="15" t="s">
        <v>128</v>
      </c>
      <c r="P4" s="15" t="s">
        <v>181</v>
      </c>
      <c r="Q4" s="15" t="s">
        <v>129</v>
      </c>
      <c r="R4" s="15" t="s">
        <v>131</v>
      </c>
      <c r="S4" s="15" t="s">
        <v>103</v>
      </c>
      <c r="T4" s="15" t="s">
        <v>132</v>
      </c>
      <c r="U4" s="15" t="s">
        <v>133</v>
      </c>
      <c r="V4" s="15" t="s">
        <v>134</v>
      </c>
      <c r="W4" s="15" t="s">
        <v>135</v>
      </c>
      <c r="X4" s="15" t="s">
        <v>136</v>
      </c>
      <c r="Y4" s="15" t="s">
        <v>2</v>
      </c>
      <c r="Z4" s="15" t="s">
        <v>9</v>
      </c>
      <c r="AA4" s="15" t="s">
        <v>2</v>
      </c>
      <c r="AB4" s="15" t="s">
        <v>18</v>
      </c>
      <c r="AC4" s="15" t="s">
        <v>21</v>
      </c>
      <c r="AD4" s="15" t="s">
        <v>19</v>
      </c>
      <c r="AE4" s="15" t="s">
        <v>20</v>
      </c>
      <c r="AF4" s="204"/>
      <c r="AG4" s="206"/>
    </row>
    <row r="5" spans="1:33" s="1" customFormat="1" ht="14.25" customHeight="1" thickBot="1">
      <c r="A5" s="7"/>
      <c r="H5" s="32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4"/>
    </row>
    <row r="6" spans="1:33" s="4" customFormat="1">
      <c r="A6" s="5" t="s">
        <v>38</v>
      </c>
      <c r="H6" s="17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9"/>
    </row>
    <row r="7" spans="1:33" s="4" customFormat="1">
      <c r="A7" s="5"/>
      <c r="H7" s="20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</row>
    <row r="8" spans="1:33" s="3" customFormat="1">
      <c r="A8" s="8"/>
      <c r="B8" s="47"/>
      <c r="C8" s="47"/>
      <c r="D8" s="47"/>
      <c r="E8" s="47"/>
      <c r="F8" s="47"/>
      <c r="G8" s="47"/>
      <c r="H8" s="23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5"/>
    </row>
    <row r="9" spans="1:33" s="3" customFormat="1">
      <c r="A9" s="8"/>
      <c r="H9" s="23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5"/>
    </row>
    <row r="10" spans="1:33" s="3" customFormat="1">
      <c r="A10" s="5"/>
      <c r="B10" s="3" t="str">
        <f>PN!$B$9</f>
        <v>CUS1516</v>
      </c>
      <c r="C10" s="3" t="str">
        <f>PN!$B$8</f>
        <v>Coral Sea</v>
      </c>
      <c r="D10" s="3" t="s">
        <v>144</v>
      </c>
      <c r="E10" s="76" t="str">
        <f>'TW-L'!C9</f>
        <v>Pin Han</v>
      </c>
      <c r="F10" s="47" t="str">
        <f>'TW-L'!$C$4</f>
        <v>2026/3/1</v>
      </c>
      <c r="G10" s="47" t="str">
        <f>'TW-L'!$C$5</f>
        <v>2026/3/31</v>
      </c>
      <c r="H10" s="23">
        <f>I10+Y10+AA10+AF10+AG10</f>
        <v>32420.5</v>
      </c>
      <c r="I10" s="24">
        <f>SUM(J10:X10)</f>
        <v>33422.5</v>
      </c>
      <c r="J10" s="24">
        <f>'TW-L'!N9</f>
        <v>25355</v>
      </c>
      <c r="K10" s="24">
        <v>0</v>
      </c>
      <c r="L10" s="24">
        <f>'TW-L'!AC9</f>
        <v>9220</v>
      </c>
      <c r="M10" s="24">
        <f>'TW-L'!O9</f>
        <v>0</v>
      </c>
      <c r="N10" s="24">
        <f>'TW-L'!P9</f>
        <v>0</v>
      </c>
      <c r="O10" s="24">
        <f>'TW-L'!Q9</f>
        <v>0</v>
      </c>
      <c r="P10" s="24">
        <f>'TW-L'!R9</f>
        <v>0</v>
      </c>
      <c r="Q10" s="24">
        <f>'TW-L'!X9+'TW-L'!Y9</f>
        <v>0</v>
      </c>
      <c r="R10" s="24">
        <f>'TW-L'!U9</f>
        <v>-1152.5</v>
      </c>
      <c r="S10" s="24">
        <f>'TW-L'!V9</f>
        <v>0</v>
      </c>
      <c r="T10" s="24">
        <f>'TW-L'!W9</f>
        <v>0</v>
      </c>
      <c r="U10" s="24">
        <f>'TW-L'!X9</f>
        <v>0</v>
      </c>
      <c r="V10" s="24">
        <f>'TW-L'!Y9</f>
        <v>0</v>
      </c>
      <c r="W10" s="24">
        <f>'TW-L'!AA9</f>
        <v>0</v>
      </c>
      <c r="X10" s="24">
        <f>'TW-L'!AB9</f>
        <v>0</v>
      </c>
      <c r="Y10" s="24">
        <f>SUM(Z10:Z10)</f>
        <v>0</v>
      </c>
      <c r="Z10" s="24">
        <f>'TW-L'!Z9</f>
        <v>0</v>
      </c>
      <c r="AA10" s="24">
        <f>SUM(AB10:AE10)</f>
        <v>-1002</v>
      </c>
      <c r="AB10" s="24">
        <f>'TW-L'!AR9+'TW-L'!AS9</f>
        <v>-1002</v>
      </c>
      <c r="AC10" s="24">
        <f>'TW-L'!AT9+'TW-L'!AU9</f>
        <v>0</v>
      </c>
      <c r="AD10" s="24">
        <f>'TW-L'!AV9+'TW-L'!AW9</f>
        <v>0</v>
      </c>
      <c r="AE10" s="24">
        <f>'TW-L'!AY9</f>
        <v>0</v>
      </c>
      <c r="AF10" s="24">
        <v>0</v>
      </c>
      <c r="AG10" s="25">
        <f>'TW-L'!AQ9</f>
        <v>0</v>
      </c>
    </row>
    <row r="11" spans="1:33" s="3" customFormat="1">
      <c r="A11" s="5"/>
      <c r="B11" s="3" t="str">
        <f>PN!$B$9</f>
        <v>CUS1516</v>
      </c>
      <c r="C11" s="3" t="str">
        <f>PN!B8</f>
        <v>Coral Sea</v>
      </c>
      <c r="D11" s="3" t="s">
        <v>145</v>
      </c>
      <c r="E11" s="76" t="str">
        <f>'TW-L'!C10</f>
        <v>Min Han</v>
      </c>
      <c r="F11" s="47" t="str">
        <f>'TW-L'!$C$4</f>
        <v>2026/3/1</v>
      </c>
      <c r="G11" s="47" t="str">
        <f>'TW-L'!$C$5</f>
        <v>2026/3/31</v>
      </c>
      <c r="H11" s="23">
        <f>I11+Y11+AA11+AF11+AG11</f>
        <v>7723</v>
      </c>
      <c r="I11" s="24">
        <f>SUM(J11:X11)</f>
        <v>8000</v>
      </c>
      <c r="J11" s="24">
        <f>'TW-L'!N10</f>
        <v>6000</v>
      </c>
      <c r="K11" s="24">
        <v>0</v>
      </c>
      <c r="L11" s="24">
        <f>'TW-L'!AC10</f>
        <v>2000</v>
      </c>
      <c r="M11" s="24">
        <f>'TW-L'!O10</f>
        <v>0</v>
      </c>
      <c r="N11" s="24">
        <f>'TW-L'!P10</f>
        <v>0</v>
      </c>
      <c r="O11" s="24">
        <f>'TW-L'!Q10</f>
        <v>0</v>
      </c>
      <c r="P11" s="24">
        <f>'TW-L'!R10</f>
        <v>0</v>
      </c>
      <c r="Q11" s="24">
        <f>'TW-L'!X10+'TW-L'!Y10</f>
        <v>0</v>
      </c>
      <c r="R11" s="24">
        <f>'TW-L'!U10</f>
        <v>0</v>
      </c>
      <c r="S11" s="24">
        <f>'TW-L'!V10</f>
        <v>0</v>
      </c>
      <c r="T11" s="24">
        <f>'TW-L'!W10</f>
        <v>0</v>
      </c>
      <c r="U11" s="24">
        <f>'TW-L'!X10</f>
        <v>0</v>
      </c>
      <c r="V11" s="24">
        <f>'TW-L'!Y10</f>
        <v>0</v>
      </c>
      <c r="W11" s="24">
        <f>'TW-L'!AA10</f>
        <v>0</v>
      </c>
      <c r="X11" s="24">
        <f>'TW-L'!AB10</f>
        <v>0</v>
      </c>
      <c r="Y11" s="24">
        <f>SUM(Z11:Z11)</f>
        <v>0</v>
      </c>
      <c r="Z11" s="24">
        <f>'TW-L'!Z10</f>
        <v>0</v>
      </c>
      <c r="AA11" s="24">
        <f>SUM(AB11:AE11)</f>
        <v>-277</v>
      </c>
      <c r="AB11" s="24">
        <f>'TW-L'!AR10+'TW-L'!AS10</f>
        <v>-277</v>
      </c>
      <c r="AC11" s="24">
        <f>'TW-L'!AT10+'TW-L'!AU10</f>
        <v>0</v>
      </c>
      <c r="AD11" s="24">
        <f>'TW-L'!AV10+'TW-L'!AW10</f>
        <v>0</v>
      </c>
      <c r="AE11" s="24">
        <f>'TW-L'!AY10</f>
        <v>0</v>
      </c>
      <c r="AF11" s="24">
        <v>0</v>
      </c>
      <c r="AG11" s="25">
        <f>'TW-L'!AQ10</f>
        <v>0</v>
      </c>
    </row>
    <row r="12" spans="1:33" s="3" customFormat="1">
      <c r="A12" s="5"/>
      <c r="B12" s="3" t="str">
        <f>PN!$B$9</f>
        <v>CUS1516</v>
      </c>
      <c r="C12" s="3" t="str">
        <f>PN!B9</f>
        <v>CUS1516</v>
      </c>
      <c r="D12" s="3" t="s">
        <v>186</v>
      </c>
      <c r="E12" s="76" t="str">
        <f>'TW-L'!C11</f>
        <v>Wen kai</v>
      </c>
      <c r="F12" s="47" t="str">
        <f>'TW-L'!$C$4</f>
        <v>2026/3/1</v>
      </c>
      <c r="G12" s="47" t="str">
        <f>'TW-L'!$C$5</f>
        <v>2026/3/31</v>
      </c>
      <c r="H12" s="23">
        <f>I12+Y12+AA12+AF12+AG12</f>
        <v>8523</v>
      </c>
      <c r="I12" s="24">
        <f>SUM(J12:X12)</f>
        <v>8800</v>
      </c>
      <c r="J12" s="24">
        <f>'TW-L'!N11</f>
        <v>6800</v>
      </c>
      <c r="K12" s="24">
        <v>0</v>
      </c>
      <c r="L12" s="24">
        <f>'TW-L'!AC11</f>
        <v>2000</v>
      </c>
      <c r="M12" s="24">
        <f>'TW-L'!O11</f>
        <v>0</v>
      </c>
      <c r="N12" s="24">
        <f>'TW-L'!P11</f>
        <v>0</v>
      </c>
      <c r="O12" s="24">
        <f>'TW-L'!Q11</f>
        <v>0</v>
      </c>
      <c r="P12" s="24">
        <f>'TW-L'!R11</f>
        <v>0</v>
      </c>
      <c r="Q12" s="24">
        <f>'TW-L'!X11+'TW-L'!Y11</f>
        <v>0</v>
      </c>
      <c r="R12" s="24">
        <f>'TW-L'!U11</f>
        <v>0</v>
      </c>
      <c r="S12" s="24">
        <f>'TW-L'!V11</f>
        <v>0</v>
      </c>
      <c r="T12" s="24">
        <f>'TW-L'!W11</f>
        <v>0</v>
      </c>
      <c r="U12" s="24">
        <f>'TW-L'!X11</f>
        <v>0</v>
      </c>
      <c r="V12" s="24">
        <f>'TW-L'!Y11</f>
        <v>0</v>
      </c>
      <c r="W12" s="24">
        <f>'TW-L'!AA11</f>
        <v>0</v>
      </c>
      <c r="X12" s="24">
        <f>'TW-L'!AB11</f>
        <v>0</v>
      </c>
      <c r="Y12" s="24">
        <f>SUM(Z12:Z12)</f>
        <v>0</v>
      </c>
      <c r="Z12" s="24">
        <f>'TW-L'!Z11</f>
        <v>0</v>
      </c>
      <c r="AA12" s="24">
        <f>SUM(AB12:AE12)</f>
        <v>-277</v>
      </c>
      <c r="AB12" s="24">
        <f>'TW-L'!AR11+'TW-L'!AS11</f>
        <v>-277</v>
      </c>
      <c r="AC12" s="24">
        <f>'TW-L'!AT11+'TW-L'!AU11</f>
        <v>0</v>
      </c>
      <c r="AD12" s="24">
        <f>'TW-L'!AV11+'TW-L'!AW11</f>
        <v>0</v>
      </c>
      <c r="AE12" s="24">
        <f>'TW-L'!AY11</f>
        <v>0</v>
      </c>
      <c r="AF12" s="24">
        <v>0</v>
      </c>
      <c r="AG12" s="25">
        <f>'TW-L'!AQ11</f>
        <v>0</v>
      </c>
    </row>
    <row r="13" spans="1:33" s="3" customFormat="1">
      <c r="A13" s="5"/>
      <c r="H13" s="23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5"/>
    </row>
    <row r="14" spans="1:33" s="3" customFormat="1">
      <c r="A14" s="5"/>
      <c r="H14" s="23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5"/>
    </row>
    <row r="15" spans="1:33" s="3" customFormat="1">
      <c r="A15" s="5"/>
      <c r="H15" s="23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5"/>
    </row>
    <row r="16" spans="1:33" s="3" customFormat="1">
      <c r="A16" s="5"/>
      <c r="H16" s="23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5"/>
    </row>
    <row r="17" spans="1:33" s="3" customFormat="1">
      <c r="A17" s="5"/>
      <c r="H17" s="23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5"/>
    </row>
    <row r="18" spans="1:33" s="3" customFormat="1">
      <c r="A18" s="5"/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8"/>
    </row>
    <row r="19" spans="1:33" s="3" customFormat="1" ht="15" thickBot="1">
      <c r="A19" s="5"/>
      <c r="H19" s="29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1"/>
    </row>
  </sheetData>
  <mergeCells count="11">
    <mergeCell ref="AF3:AF4"/>
    <mergeCell ref="AG3:AG4"/>
    <mergeCell ref="H3:H4"/>
    <mergeCell ref="Y3:Z3"/>
    <mergeCell ref="I3:X3"/>
    <mergeCell ref="AA3:AE3"/>
    <mergeCell ref="B3:B4"/>
    <mergeCell ref="C3:C4"/>
    <mergeCell ref="D3:D4"/>
    <mergeCell ref="E3:E4"/>
    <mergeCell ref="F3:G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F36B-42D2-4399-8090-A962FE4A1438}">
  <dimension ref="A2:CL18"/>
  <sheetViews>
    <sheetView zoomScale="120" zoomScaleNormal="120" workbookViewId="0">
      <selection activeCell="F7" sqref="F7"/>
    </sheetView>
  </sheetViews>
  <sheetFormatPr defaultColWidth="10.1796875" defaultRowHeight="13" outlineLevelCol="1"/>
  <cols>
    <col min="1" max="1" width="8.1796875" style="9" bestFit="1" customWidth="1"/>
    <col min="2" max="2" width="9.81640625" style="9" bestFit="1" customWidth="1"/>
    <col min="3" max="3" width="10" style="9" bestFit="1" customWidth="1"/>
    <col min="4" max="4" width="7.6328125" style="9" bestFit="1" customWidth="1"/>
    <col min="5" max="5" width="9.1796875" style="9" bestFit="1" customWidth="1"/>
    <col min="6" max="6" width="8" style="9" bestFit="1" customWidth="1" outlineLevel="1"/>
    <col min="7" max="7" width="6" style="9" bestFit="1" customWidth="1" outlineLevel="1"/>
    <col min="8" max="8" width="10" style="9" bestFit="1" customWidth="1" outlineLevel="1"/>
    <col min="9" max="12" width="10" style="9" customWidth="1" outlineLevel="1"/>
    <col min="13" max="13" width="7.36328125" style="9" bestFit="1" customWidth="1" outlineLevel="1"/>
    <col min="14" max="14" width="9.81640625" style="9" bestFit="1" customWidth="1" outlineLevel="1"/>
    <col min="15" max="15" width="10.453125" style="9" bestFit="1" customWidth="1" outlineLevel="1"/>
    <col min="16" max="16" width="10.1796875" style="9" customWidth="1" outlineLevel="1"/>
    <col min="17" max="17" width="8" style="9" bestFit="1" customWidth="1" outlineLevel="1"/>
    <col min="18" max="18" width="8.81640625" style="9" bestFit="1" customWidth="1" outlineLevel="1"/>
    <col min="19" max="19" width="8.81640625" style="9" customWidth="1" outlineLevel="1"/>
    <col min="20" max="21" width="9" style="9" bestFit="1" customWidth="1" outlineLevel="1"/>
    <col min="22" max="23" width="9" style="9" customWidth="1" outlineLevel="1"/>
    <col min="24" max="24" width="8.1796875" style="9" bestFit="1" customWidth="1" outlineLevel="1"/>
    <col min="25" max="25" width="8.81640625" style="9" bestFit="1" customWidth="1" outlineLevel="1"/>
    <col min="26" max="26" width="10.1796875" style="9"/>
    <col min="27" max="27" width="9.6328125" style="9" bestFit="1" customWidth="1"/>
    <col min="28" max="28" width="9" style="9" bestFit="1" customWidth="1"/>
    <col min="29" max="29" width="8.36328125" style="9" bestFit="1" customWidth="1"/>
    <col min="30" max="30" width="8.453125" style="9" bestFit="1" customWidth="1"/>
    <col min="31" max="31" width="10" style="9" bestFit="1" customWidth="1"/>
    <col min="32" max="32" width="8.453125" style="9" bestFit="1" customWidth="1"/>
    <col min="33" max="33" width="10" style="9" bestFit="1" customWidth="1"/>
    <col min="34" max="34" width="6.36328125" style="9" bestFit="1" customWidth="1"/>
    <col min="35" max="35" width="10" style="10" bestFit="1" customWidth="1"/>
    <col min="36" max="36" width="8.453125" style="10" bestFit="1" customWidth="1"/>
    <col min="37" max="37" width="10" style="10" bestFit="1" customWidth="1"/>
    <col min="38" max="38" width="11.453125" style="9" bestFit="1" customWidth="1"/>
    <col min="39" max="39" width="11.6328125" style="9" bestFit="1" customWidth="1"/>
    <col min="40" max="40" width="11.453125" style="9" bestFit="1" customWidth="1"/>
    <col min="41" max="41" width="11.1796875" style="9" bestFit="1" customWidth="1"/>
    <col min="42" max="42" width="10" style="10" bestFit="1" customWidth="1" outlineLevel="1"/>
    <col min="43" max="43" width="10.36328125" style="9" bestFit="1" customWidth="1" outlineLevel="1"/>
    <col min="44" max="44" width="8.6328125" style="9" bestFit="1" customWidth="1"/>
    <col min="45" max="45" width="8.6328125" style="10" bestFit="1" customWidth="1" outlineLevel="1"/>
    <col min="46" max="46" width="9.1796875" style="9" bestFit="1" customWidth="1" outlineLevel="1"/>
    <col min="47" max="47" width="11.1796875" style="9" bestFit="1" customWidth="1" outlineLevel="1"/>
    <col min="48" max="48" width="8.6328125" style="10" bestFit="1" customWidth="1"/>
    <col min="49" max="51" width="8.6328125" style="9" bestFit="1" customWidth="1"/>
    <col min="52" max="52" width="7.36328125" style="9" bestFit="1" customWidth="1" outlineLevel="1"/>
    <col min="53" max="53" width="9.1796875" style="9" bestFit="1" customWidth="1"/>
    <col min="54" max="55" width="8.6328125" style="9" bestFit="1" customWidth="1" outlineLevel="1"/>
    <col min="56" max="56" width="9.1796875" style="9" bestFit="1" customWidth="1"/>
    <col min="57" max="57" width="8.6328125" style="9" bestFit="1" customWidth="1"/>
    <col min="58" max="58" width="8.6328125" style="9" bestFit="1" customWidth="1" outlineLevel="1"/>
    <col min="59" max="61" width="8.6328125" style="9" bestFit="1" customWidth="1"/>
    <col min="62" max="62" width="5.36328125" style="9" bestFit="1" customWidth="1" outlineLevel="1"/>
    <col min="63" max="63" width="10.1796875" style="9" outlineLevel="1"/>
    <col min="64" max="64" width="8.6328125" style="9" bestFit="1" customWidth="1" outlineLevel="1"/>
    <col min="65" max="65" width="9.81640625" style="10" customWidth="1" outlineLevel="1"/>
    <col min="66" max="66" width="8.81640625" style="9" customWidth="1"/>
    <col min="67" max="67" width="6.81640625" style="9" bestFit="1" customWidth="1"/>
    <col min="68" max="89" width="10.1796875" style="9"/>
    <col min="90" max="90" width="10.1796875" style="11"/>
    <col min="91" max="16384" width="10.1796875" style="9"/>
  </cols>
  <sheetData>
    <row r="2" spans="1:71">
      <c r="A2" s="217" t="s">
        <v>14</v>
      </c>
      <c r="B2" s="217"/>
      <c r="C2" s="217"/>
      <c r="D2" s="49"/>
    </row>
    <row r="3" spans="1:71" ht="15" thickBot="1">
      <c r="A3" s="218" t="s">
        <v>15</v>
      </c>
      <c r="B3" s="218"/>
      <c r="C3" s="43">
        <v>46082</v>
      </c>
      <c r="D3" s="4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 s="219" t="s">
        <v>30</v>
      </c>
      <c r="AE3" s="219"/>
      <c r="AF3" s="219"/>
      <c r="AG3" s="219"/>
      <c r="AH3" s="219"/>
      <c r="AI3" s="219"/>
      <c r="AJ3" s="46"/>
      <c r="AK3" s="46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</row>
    <row r="4" spans="1:71" ht="14.5">
      <c r="A4"/>
      <c r="B4" s="44" t="s">
        <v>16</v>
      </c>
      <c r="C4" s="48" t="s">
        <v>188</v>
      </c>
      <c r="D4" s="48"/>
      <c r="E4" s="45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 s="46"/>
      <c r="AE4" s="46"/>
      <c r="AF4" s="46"/>
      <c r="AG4" s="46"/>
      <c r="AH4" s="46"/>
      <c r="AI4" s="46"/>
      <c r="AJ4" s="46"/>
      <c r="AK4" s="46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</row>
    <row r="5" spans="1:71" ht="15" thickBot="1">
      <c r="A5"/>
      <c r="B5" s="44" t="s">
        <v>28</v>
      </c>
      <c r="C5" s="48" t="s">
        <v>189</v>
      </c>
      <c r="D5" s="48"/>
      <c r="E5" s="4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46"/>
      <c r="AE5" s="46"/>
      <c r="AF5" s="46"/>
      <c r="AG5" s="46"/>
      <c r="AH5" s="46"/>
      <c r="AI5" s="46"/>
      <c r="AJ5" s="46"/>
      <c r="AK5" s="46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</row>
    <row r="6" spans="1:71" s="50" customFormat="1" ht="17.25" customHeight="1" thickBot="1">
      <c r="D6" s="9"/>
      <c r="M6" s="211" t="s">
        <v>96</v>
      </c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3"/>
      <c r="AD6" s="211" t="s">
        <v>97</v>
      </c>
      <c r="AE6" s="212"/>
      <c r="AF6" s="212"/>
      <c r="AG6" s="212"/>
      <c r="AH6" s="212"/>
      <c r="AI6" s="212"/>
      <c r="AJ6" s="212"/>
      <c r="AK6" s="212"/>
      <c r="AL6" s="208" t="s">
        <v>98</v>
      </c>
      <c r="AM6" s="209"/>
      <c r="AN6" s="209"/>
      <c r="AO6" s="209"/>
      <c r="AP6" s="210"/>
      <c r="AQ6" s="211" t="s">
        <v>99</v>
      </c>
      <c r="AR6" s="212"/>
      <c r="AS6" s="212"/>
      <c r="AT6" s="212"/>
      <c r="AU6" s="212"/>
      <c r="AV6" s="212"/>
      <c r="AW6" s="212"/>
      <c r="AX6" s="212"/>
      <c r="AY6" s="213"/>
      <c r="AZ6" s="58"/>
      <c r="BA6" s="59"/>
      <c r="BB6" s="214" t="s">
        <v>100</v>
      </c>
      <c r="BC6" s="215"/>
      <c r="BD6" s="215"/>
      <c r="BE6" s="215"/>
      <c r="BF6" s="215"/>
      <c r="BG6" s="215"/>
      <c r="BH6" s="215"/>
      <c r="BI6" s="215"/>
      <c r="BJ6" s="216"/>
      <c r="BK6" s="60"/>
    </row>
    <row r="7" spans="1:71" s="55" customFormat="1" ht="57.5" customHeight="1" thickBot="1">
      <c r="A7" s="51" t="s">
        <v>39</v>
      </c>
      <c r="B7" s="52" t="s">
        <v>40</v>
      </c>
      <c r="C7" s="52" t="s">
        <v>41</v>
      </c>
      <c r="D7" s="56" t="s">
        <v>42</v>
      </c>
      <c r="E7" s="52" t="s">
        <v>43</v>
      </c>
      <c r="F7" s="52" t="s">
        <v>44</v>
      </c>
      <c r="G7" s="52" t="s">
        <v>45</v>
      </c>
      <c r="H7" s="80" t="s">
        <v>146</v>
      </c>
      <c r="I7" s="79" t="s">
        <v>123</v>
      </c>
      <c r="J7" s="79" t="s">
        <v>124</v>
      </c>
      <c r="K7" s="79" t="s">
        <v>125</v>
      </c>
      <c r="L7" s="79" t="s">
        <v>126</v>
      </c>
      <c r="M7" s="81" t="s">
        <v>147</v>
      </c>
      <c r="N7" s="52" t="s">
        <v>46</v>
      </c>
      <c r="O7" s="52" t="s">
        <v>47</v>
      </c>
      <c r="P7" s="52" t="s">
        <v>48</v>
      </c>
      <c r="Q7" s="52" t="s">
        <v>49</v>
      </c>
      <c r="R7" s="52" t="s">
        <v>50</v>
      </c>
      <c r="S7" s="77" t="s">
        <v>102</v>
      </c>
      <c r="T7" s="52" t="s">
        <v>51</v>
      </c>
      <c r="U7" s="52" t="s">
        <v>52</v>
      </c>
      <c r="V7" s="78" t="s">
        <v>103</v>
      </c>
      <c r="W7" s="78" t="s">
        <v>104</v>
      </c>
      <c r="X7" s="52" t="s">
        <v>53</v>
      </c>
      <c r="Y7" s="52" t="s">
        <v>54</v>
      </c>
      <c r="Z7" s="52" t="s">
        <v>71</v>
      </c>
      <c r="AA7" s="52" t="s">
        <v>72</v>
      </c>
      <c r="AB7" s="52" t="s">
        <v>73</v>
      </c>
      <c r="AC7" s="52" t="s">
        <v>90</v>
      </c>
      <c r="AD7" s="52" t="s">
        <v>55</v>
      </c>
      <c r="AE7" s="52" t="s">
        <v>56</v>
      </c>
      <c r="AF7" s="52" t="s">
        <v>57</v>
      </c>
      <c r="AG7" s="52" t="s">
        <v>58</v>
      </c>
      <c r="AH7" s="52" t="s">
        <v>59</v>
      </c>
      <c r="AI7" s="52" t="s">
        <v>60</v>
      </c>
      <c r="AJ7" s="52" t="s">
        <v>61</v>
      </c>
      <c r="AK7" s="52" t="s">
        <v>62</v>
      </c>
      <c r="AL7" s="52" t="s">
        <v>63</v>
      </c>
      <c r="AM7" s="52" t="s">
        <v>64</v>
      </c>
      <c r="AN7" s="52" t="s">
        <v>127</v>
      </c>
      <c r="AO7" s="52" t="s">
        <v>65</v>
      </c>
      <c r="AP7" s="52" t="s">
        <v>66</v>
      </c>
      <c r="AQ7" s="52" t="s">
        <v>67</v>
      </c>
      <c r="AR7" s="52" t="s">
        <v>69</v>
      </c>
      <c r="AS7" s="52" t="s">
        <v>75</v>
      </c>
      <c r="AT7" s="52" t="s">
        <v>68</v>
      </c>
      <c r="AU7" s="52" t="s">
        <v>91</v>
      </c>
      <c r="AV7" s="52" t="s">
        <v>70</v>
      </c>
      <c r="AW7" s="52" t="s">
        <v>76</v>
      </c>
      <c r="AX7" s="57" t="s">
        <v>74</v>
      </c>
      <c r="AY7" s="52" t="s">
        <v>77</v>
      </c>
      <c r="AZ7" s="54" t="s">
        <v>78</v>
      </c>
      <c r="BA7" s="54" t="s">
        <v>79</v>
      </c>
      <c r="BB7" s="52" t="s">
        <v>80</v>
      </c>
      <c r="BC7" s="52" t="s">
        <v>88</v>
      </c>
      <c r="BD7" s="52" t="s">
        <v>81</v>
      </c>
      <c r="BE7" s="52" t="s">
        <v>82</v>
      </c>
      <c r="BF7" s="52" t="s">
        <v>83</v>
      </c>
      <c r="BG7" s="52" t="s">
        <v>84</v>
      </c>
      <c r="BH7" s="52" t="s">
        <v>85</v>
      </c>
      <c r="BI7" s="52" t="s">
        <v>86</v>
      </c>
      <c r="BJ7" s="52" t="s">
        <v>87</v>
      </c>
      <c r="BK7" s="54" t="s">
        <v>89</v>
      </c>
      <c r="BL7" s="54" t="s">
        <v>92</v>
      </c>
      <c r="BM7" s="54" t="s">
        <v>93</v>
      </c>
      <c r="BN7" s="54" t="s">
        <v>94</v>
      </c>
      <c r="BO7" s="53" t="s">
        <v>95</v>
      </c>
    </row>
    <row r="8" spans="1:71" customFormat="1" ht="14.5">
      <c r="A8" s="66"/>
      <c r="B8" s="67"/>
      <c r="C8" s="67"/>
      <c r="D8" s="67"/>
      <c r="E8" s="67"/>
      <c r="F8" s="67"/>
      <c r="G8" s="68"/>
      <c r="H8" s="69">
        <f>SUM(H9:H14)</f>
        <v>1261</v>
      </c>
      <c r="I8" s="69">
        <f t="shared" ref="I8:L8" si="0">SUM(I9:I14)</f>
        <v>0</v>
      </c>
      <c r="J8" s="69">
        <f t="shared" si="0"/>
        <v>0</v>
      </c>
      <c r="K8" s="69">
        <f t="shared" si="0"/>
        <v>0</v>
      </c>
      <c r="L8" s="69">
        <f t="shared" si="0"/>
        <v>0</v>
      </c>
      <c r="M8" s="69">
        <f t="shared" ref="M8:AI8" si="1">SUM(M9:M14)</f>
        <v>87</v>
      </c>
      <c r="N8" s="69">
        <f t="shared" si="1"/>
        <v>38155</v>
      </c>
      <c r="O8" s="69">
        <f t="shared" si="1"/>
        <v>0</v>
      </c>
      <c r="P8" s="69">
        <f t="shared" si="1"/>
        <v>0</v>
      </c>
      <c r="Q8" s="69">
        <f t="shared" si="1"/>
        <v>0</v>
      </c>
      <c r="R8" s="70">
        <f t="shared" si="1"/>
        <v>0</v>
      </c>
      <c r="S8" s="70">
        <f t="shared" ref="S8" si="2">SUM(S9:S14)</f>
        <v>0</v>
      </c>
      <c r="T8" s="70">
        <f t="shared" si="1"/>
        <v>5</v>
      </c>
      <c r="U8" s="70">
        <f t="shared" si="1"/>
        <v>-1152.5</v>
      </c>
      <c r="V8" s="70">
        <f t="shared" ref="V8:W8" si="3">SUM(V9:V14)</f>
        <v>0</v>
      </c>
      <c r="W8" s="70">
        <f t="shared" si="3"/>
        <v>0</v>
      </c>
      <c r="X8" s="70">
        <f t="shared" si="1"/>
        <v>0</v>
      </c>
      <c r="Y8" s="70">
        <f t="shared" si="1"/>
        <v>0</v>
      </c>
      <c r="Z8" s="70">
        <f t="shared" si="1"/>
        <v>0</v>
      </c>
      <c r="AA8" s="70">
        <f t="shared" si="1"/>
        <v>0</v>
      </c>
      <c r="AB8" s="70">
        <f t="shared" si="1"/>
        <v>0</v>
      </c>
      <c r="AC8" s="70">
        <f t="shared" si="1"/>
        <v>13220</v>
      </c>
      <c r="AD8" s="70">
        <f t="shared" si="1"/>
        <v>0</v>
      </c>
      <c r="AE8" s="70">
        <f t="shared" si="1"/>
        <v>0</v>
      </c>
      <c r="AF8" s="70">
        <f t="shared" si="1"/>
        <v>0</v>
      </c>
      <c r="AG8" s="70">
        <f t="shared" si="1"/>
        <v>0</v>
      </c>
      <c r="AH8" s="70">
        <f t="shared" si="1"/>
        <v>0</v>
      </c>
      <c r="AI8" s="70">
        <f t="shared" si="1"/>
        <v>0</v>
      </c>
      <c r="AJ8" s="70">
        <f t="shared" ref="AJ8:AK8" si="4">SUM(AJ9:AJ14)</f>
        <v>0</v>
      </c>
      <c r="AK8" s="70">
        <f t="shared" si="4"/>
        <v>0</v>
      </c>
      <c r="AL8" s="70">
        <f>SUM(AL9:AL14)</f>
        <v>62300</v>
      </c>
      <c r="AM8" s="70">
        <f t="shared" ref="AM8:BN8" si="5">SUM(AM9:AM14)</f>
        <v>54800</v>
      </c>
      <c r="AN8" s="70">
        <f t="shared" si="5"/>
        <v>0</v>
      </c>
      <c r="AO8" s="70">
        <f t="shared" si="5"/>
        <v>0</v>
      </c>
      <c r="AP8" s="70">
        <f t="shared" si="5"/>
        <v>90</v>
      </c>
      <c r="AQ8" s="70">
        <f t="shared" si="5"/>
        <v>0</v>
      </c>
      <c r="AR8" s="70">
        <f t="shared" si="5"/>
        <v>-1556</v>
      </c>
      <c r="AS8" s="70">
        <f t="shared" si="5"/>
        <v>0</v>
      </c>
      <c r="AT8" s="70">
        <f t="shared" si="5"/>
        <v>0</v>
      </c>
      <c r="AU8" s="70">
        <f t="shared" si="5"/>
        <v>0</v>
      </c>
      <c r="AV8" s="70">
        <f t="shared" si="5"/>
        <v>0</v>
      </c>
      <c r="AW8" s="70">
        <f t="shared" si="5"/>
        <v>0</v>
      </c>
      <c r="AX8" s="70">
        <f t="shared" si="5"/>
        <v>0</v>
      </c>
      <c r="AY8" s="70">
        <f>SUM(AY9:AY14)</f>
        <v>0</v>
      </c>
      <c r="AZ8" s="70">
        <f t="shared" si="5"/>
        <v>37002</v>
      </c>
      <c r="BA8" s="70">
        <f t="shared" si="5"/>
        <v>48666</v>
      </c>
      <c r="BB8" s="70">
        <f t="shared" si="5"/>
        <v>5577</v>
      </c>
      <c r="BC8" s="70">
        <f t="shared" si="5"/>
        <v>0</v>
      </c>
      <c r="BD8" s="70">
        <f t="shared" si="5"/>
        <v>3288</v>
      </c>
      <c r="BE8" s="70">
        <f t="shared" si="5"/>
        <v>0</v>
      </c>
      <c r="BF8" s="70">
        <f t="shared" si="5"/>
        <v>0</v>
      </c>
      <c r="BG8" s="70">
        <f t="shared" si="5"/>
        <v>0</v>
      </c>
      <c r="BH8" s="70">
        <f t="shared" si="5"/>
        <v>781</v>
      </c>
      <c r="BI8" s="70">
        <f t="shared" si="5"/>
        <v>0</v>
      </c>
      <c r="BJ8" s="70">
        <f t="shared" si="5"/>
        <v>399</v>
      </c>
      <c r="BK8" s="70">
        <f t="shared" si="5"/>
        <v>50222</v>
      </c>
      <c r="BL8" s="70">
        <f t="shared" si="5"/>
        <v>10045</v>
      </c>
      <c r="BM8" s="70">
        <f t="shared" si="5"/>
        <v>0</v>
      </c>
      <c r="BN8" s="70">
        <f t="shared" si="5"/>
        <v>0</v>
      </c>
      <c r="BO8" s="71">
        <f>SUM(BO9:BO14)</f>
        <v>69267</v>
      </c>
      <c r="BP8" s="55"/>
    </row>
    <row r="9" spans="1:71">
      <c r="A9" s="72" t="s">
        <v>137</v>
      </c>
      <c r="B9" s="73" t="s">
        <v>140</v>
      </c>
      <c r="C9" s="73" t="s">
        <v>141</v>
      </c>
      <c r="D9" s="73" t="s">
        <v>142</v>
      </c>
      <c r="E9" s="74">
        <v>44137</v>
      </c>
      <c r="F9" s="74"/>
      <c r="G9" s="73" t="s">
        <v>139</v>
      </c>
      <c r="H9" s="61">
        <v>461</v>
      </c>
      <c r="I9" s="61"/>
      <c r="J9" s="61"/>
      <c r="K9" s="61"/>
      <c r="L9" s="61"/>
      <c r="M9" s="152">
        <v>55</v>
      </c>
      <c r="N9" s="61">
        <v>25355</v>
      </c>
      <c r="O9" s="61">
        <v>0</v>
      </c>
      <c r="P9" s="61">
        <v>0</v>
      </c>
      <c r="Q9" s="61">
        <v>0</v>
      </c>
      <c r="R9" s="61">
        <v>0</v>
      </c>
      <c r="S9" s="61"/>
      <c r="T9" s="61">
        <v>5</v>
      </c>
      <c r="U9" s="61">
        <f>-H9*5/2</f>
        <v>-1152.5</v>
      </c>
      <c r="V9" s="61"/>
      <c r="W9" s="61"/>
      <c r="X9" s="61">
        <v>0</v>
      </c>
      <c r="Y9" s="61">
        <v>0</v>
      </c>
      <c r="Z9" s="61">
        <v>0</v>
      </c>
      <c r="AA9" s="61">
        <v>0</v>
      </c>
      <c r="AB9" s="61">
        <v>0</v>
      </c>
      <c r="AC9" s="61">
        <v>9220</v>
      </c>
      <c r="AD9" s="62">
        <v>0</v>
      </c>
      <c r="AE9" s="63">
        <v>0</v>
      </c>
      <c r="AF9" s="62">
        <v>0</v>
      </c>
      <c r="AG9" s="63">
        <v>0</v>
      </c>
      <c r="AH9" s="63">
        <v>0</v>
      </c>
      <c r="AI9" s="63">
        <v>0</v>
      </c>
      <c r="AJ9" s="63">
        <v>0</v>
      </c>
      <c r="AK9" s="63">
        <v>0</v>
      </c>
      <c r="AL9" s="64">
        <v>40100</v>
      </c>
      <c r="AM9" s="64">
        <v>40100</v>
      </c>
      <c r="AN9" s="64">
        <v>0</v>
      </c>
      <c r="AO9" s="63">
        <v>0</v>
      </c>
      <c r="AP9" s="64">
        <v>30</v>
      </c>
      <c r="AQ9" s="61">
        <v>0</v>
      </c>
      <c r="AR9" s="63">
        <v>-1002</v>
      </c>
      <c r="AS9" s="64">
        <v>0</v>
      </c>
      <c r="AT9" s="61">
        <v>0</v>
      </c>
      <c r="AU9" s="61">
        <v>0</v>
      </c>
      <c r="AV9" s="63">
        <v>0</v>
      </c>
      <c r="AW9" s="64">
        <v>0</v>
      </c>
      <c r="AX9" s="64">
        <v>0</v>
      </c>
      <c r="AY9" s="63">
        <v>0</v>
      </c>
      <c r="AZ9" s="61">
        <v>24202</v>
      </c>
      <c r="BA9" s="61">
        <v>32420</v>
      </c>
      <c r="BB9" s="64">
        <v>3563</v>
      </c>
      <c r="BC9" s="64">
        <v>0</v>
      </c>
      <c r="BD9" s="64">
        <v>2406</v>
      </c>
      <c r="BE9" s="64">
        <v>0</v>
      </c>
      <c r="BF9" s="64">
        <v>0</v>
      </c>
      <c r="BG9" s="64">
        <v>0</v>
      </c>
      <c r="BH9" s="64">
        <v>511</v>
      </c>
      <c r="BI9" s="64">
        <v>0</v>
      </c>
      <c r="BJ9" s="64">
        <v>133</v>
      </c>
      <c r="BK9" s="64">
        <v>33422</v>
      </c>
      <c r="BL9" s="64">
        <v>6613</v>
      </c>
      <c r="BM9" s="64"/>
      <c r="BN9" s="64">
        <v>0</v>
      </c>
      <c r="BO9" s="65">
        <v>43035</v>
      </c>
      <c r="BP9" s="55"/>
      <c r="BS9" s="12"/>
    </row>
    <row r="10" spans="1:71">
      <c r="A10" s="72" t="s">
        <v>137</v>
      </c>
      <c r="B10" s="73" t="s">
        <v>183</v>
      </c>
      <c r="C10" s="73" t="s">
        <v>184</v>
      </c>
      <c r="D10" s="73" t="s">
        <v>138</v>
      </c>
      <c r="E10" s="74">
        <v>45871</v>
      </c>
      <c r="F10" s="74"/>
      <c r="G10" s="73" t="s">
        <v>139</v>
      </c>
      <c r="H10" s="61">
        <v>400</v>
      </c>
      <c r="I10" s="61"/>
      <c r="J10" s="61"/>
      <c r="K10" s="61"/>
      <c r="L10" s="61"/>
      <c r="M10" s="152">
        <v>15</v>
      </c>
      <c r="N10" s="61">
        <v>6000</v>
      </c>
      <c r="O10" s="61">
        <v>0</v>
      </c>
      <c r="P10" s="61">
        <v>0</v>
      </c>
      <c r="Q10" s="61">
        <v>0</v>
      </c>
      <c r="R10" s="61">
        <v>0</v>
      </c>
      <c r="S10" s="61"/>
      <c r="T10" s="61">
        <v>0</v>
      </c>
      <c r="U10" s="61">
        <v>0</v>
      </c>
      <c r="V10" s="61"/>
      <c r="W10" s="61"/>
      <c r="X10" s="61">
        <v>0</v>
      </c>
      <c r="Y10" s="61">
        <v>0</v>
      </c>
      <c r="Z10" s="61">
        <v>0</v>
      </c>
      <c r="AA10" s="61">
        <v>0</v>
      </c>
      <c r="AB10" s="61">
        <v>0</v>
      </c>
      <c r="AC10" s="61">
        <v>2000</v>
      </c>
      <c r="AD10" s="62">
        <v>0</v>
      </c>
      <c r="AE10" s="63">
        <v>0</v>
      </c>
      <c r="AF10" s="62">
        <v>0</v>
      </c>
      <c r="AG10" s="63">
        <v>0</v>
      </c>
      <c r="AH10" s="63">
        <v>0</v>
      </c>
      <c r="AI10" s="63">
        <v>0</v>
      </c>
      <c r="AJ10" s="63">
        <v>0</v>
      </c>
      <c r="AK10" s="63">
        <v>0</v>
      </c>
      <c r="AL10" s="64">
        <v>11100</v>
      </c>
      <c r="AM10" s="64">
        <v>8700</v>
      </c>
      <c r="AN10" s="64">
        <v>0</v>
      </c>
      <c r="AO10" s="63">
        <v>0</v>
      </c>
      <c r="AP10" s="64">
        <v>30</v>
      </c>
      <c r="AQ10" s="61">
        <v>0</v>
      </c>
      <c r="AR10" s="63">
        <v>-277</v>
      </c>
      <c r="AS10" s="64">
        <v>0</v>
      </c>
      <c r="AT10" s="61">
        <v>0</v>
      </c>
      <c r="AU10" s="61">
        <v>0</v>
      </c>
      <c r="AV10" s="63">
        <v>0</v>
      </c>
      <c r="AW10" s="64">
        <v>0</v>
      </c>
      <c r="AX10" s="64">
        <v>0</v>
      </c>
      <c r="AY10" s="63">
        <v>0</v>
      </c>
      <c r="AZ10" s="61">
        <v>6000</v>
      </c>
      <c r="BA10" s="61">
        <v>7723</v>
      </c>
      <c r="BB10" s="64">
        <v>1007</v>
      </c>
      <c r="BC10" s="64">
        <v>0</v>
      </c>
      <c r="BD10" s="64">
        <v>522</v>
      </c>
      <c r="BE10" s="64">
        <v>0</v>
      </c>
      <c r="BF10" s="64">
        <v>0</v>
      </c>
      <c r="BG10" s="64">
        <v>0</v>
      </c>
      <c r="BH10" s="64">
        <v>127</v>
      </c>
      <c r="BI10" s="64">
        <v>0</v>
      </c>
      <c r="BJ10" s="64">
        <v>133</v>
      </c>
      <c r="BK10" s="64">
        <v>8000</v>
      </c>
      <c r="BL10" s="64">
        <v>1789</v>
      </c>
      <c r="BM10" s="64"/>
      <c r="BN10" s="64">
        <v>0</v>
      </c>
      <c r="BO10" s="65">
        <v>12789</v>
      </c>
      <c r="BP10" s="55"/>
      <c r="BS10" s="12"/>
    </row>
    <row r="11" spans="1:71">
      <c r="A11" s="72" t="s">
        <v>137</v>
      </c>
      <c r="B11" s="73" t="s">
        <v>182</v>
      </c>
      <c r="C11" s="73" t="s">
        <v>185</v>
      </c>
      <c r="D11" s="73" t="s">
        <v>138</v>
      </c>
      <c r="E11" s="74">
        <v>45962</v>
      </c>
      <c r="F11" s="74"/>
      <c r="G11" s="73" t="s">
        <v>139</v>
      </c>
      <c r="H11" s="61">
        <v>400</v>
      </c>
      <c r="I11" s="61"/>
      <c r="J11" s="61"/>
      <c r="K11" s="61"/>
      <c r="L11" s="61"/>
      <c r="M11" s="152">
        <v>17</v>
      </c>
      <c r="N11" s="61">
        <v>6800</v>
      </c>
      <c r="O11" s="61"/>
      <c r="P11" s="61"/>
      <c r="Q11" s="61"/>
      <c r="R11" s="61"/>
      <c r="S11" s="61"/>
      <c r="T11" s="61">
        <v>0</v>
      </c>
      <c r="U11" s="61"/>
      <c r="V11" s="61"/>
      <c r="W11" s="61"/>
      <c r="X11" s="61"/>
      <c r="Y11" s="61"/>
      <c r="Z11" s="61"/>
      <c r="AA11" s="61"/>
      <c r="AB11" s="61"/>
      <c r="AC11" s="61">
        <v>2000</v>
      </c>
      <c r="AD11" s="62"/>
      <c r="AE11" s="63"/>
      <c r="AF11" s="62"/>
      <c r="AG11" s="63"/>
      <c r="AH11" s="63"/>
      <c r="AI11" s="63"/>
      <c r="AJ11" s="63"/>
      <c r="AK11" s="63"/>
      <c r="AL11" s="64">
        <v>11100</v>
      </c>
      <c r="AM11" s="64">
        <v>6000</v>
      </c>
      <c r="AN11" s="64"/>
      <c r="AO11" s="63"/>
      <c r="AP11" s="64">
        <v>30</v>
      </c>
      <c r="AQ11" s="61"/>
      <c r="AR11" s="63">
        <v>-277</v>
      </c>
      <c r="AS11" s="64"/>
      <c r="AT11" s="61"/>
      <c r="AU11" s="61"/>
      <c r="AV11" s="63"/>
      <c r="AW11" s="64"/>
      <c r="AX11" s="64"/>
      <c r="AY11" s="63">
        <v>0</v>
      </c>
      <c r="AZ11" s="61">
        <v>6800</v>
      </c>
      <c r="BA11" s="61">
        <v>8523</v>
      </c>
      <c r="BB11" s="64">
        <v>1007</v>
      </c>
      <c r="BC11" s="64">
        <v>0</v>
      </c>
      <c r="BD11" s="64">
        <v>360</v>
      </c>
      <c r="BE11" s="64">
        <v>0</v>
      </c>
      <c r="BF11" s="64">
        <v>0</v>
      </c>
      <c r="BG11" s="64">
        <v>0</v>
      </c>
      <c r="BH11" s="64">
        <v>143</v>
      </c>
      <c r="BI11" s="64">
        <v>0</v>
      </c>
      <c r="BJ11" s="64">
        <v>133</v>
      </c>
      <c r="BK11" s="64">
        <v>8800</v>
      </c>
      <c r="BL11" s="64">
        <v>1643</v>
      </c>
      <c r="BM11" s="64"/>
      <c r="BN11" s="64"/>
      <c r="BO11" s="65">
        <v>13443</v>
      </c>
      <c r="BP11" s="55"/>
      <c r="BS11" s="12"/>
    </row>
    <row r="12" spans="1:71">
      <c r="BS12" s="12"/>
    </row>
    <row r="13" spans="1:71">
      <c r="BS13" s="12"/>
    </row>
    <row r="14" spans="1:71">
      <c r="BS14" s="12"/>
    </row>
    <row r="15" spans="1:71">
      <c r="BS15" s="12"/>
    </row>
    <row r="16" spans="1:71">
      <c r="BS16" s="12"/>
    </row>
    <row r="17" spans="59:73">
      <c r="BG17" s="12"/>
    </row>
    <row r="18" spans="59:73">
      <c r="BT18" s="12"/>
      <c r="BU18" s="12"/>
    </row>
  </sheetData>
  <mergeCells count="8">
    <mergeCell ref="AL6:AP6"/>
    <mergeCell ref="AQ6:AY6"/>
    <mergeCell ref="BB6:BJ6"/>
    <mergeCell ref="A2:C2"/>
    <mergeCell ref="A3:B3"/>
    <mergeCell ref="AD3:AI3"/>
    <mergeCell ref="M6:AC6"/>
    <mergeCell ref="AD6:AK6"/>
  </mergeCells>
  <phoneticPr fontId="1" type="noConversion"/>
  <conditionalFormatting sqref="B9:B11">
    <cfRule type="duplicateValues" dxfId="1" priority="1" stopIfTrue="1"/>
    <cfRule type="duplicateValues" dxfId="0" priority="2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36F4-2B9B-5640-A77D-B90859A686B5}">
  <dimension ref="A1:K15"/>
  <sheetViews>
    <sheetView workbookViewId="0">
      <selection activeCell="J9" sqref="J9"/>
    </sheetView>
  </sheetViews>
  <sheetFormatPr defaultColWidth="8.81640625" defaultRowHeight="14.5"/>
  <cols>
    <col min="1" max="1" width="14.36328125" customWidth="1"/>
    <col min="2" max="2" width="13.6328125" customWidth="1"/>
    <col min="3" max="3" width="15.81640625" customWidth="1"/>
    <col min="4" max="4" width="9.36328125" customWidth="1"/>
    <col min="5" max="6" width="14.6328125" customWidth="1"/>
  </cols>
  <sheetData>
    <row r="1" spans="1:11" ht="58">
      <c r="A1" s="41" t="s">
        <v>111</v>
      </c>
      <c r="B1" s="41" t="s">
        <v>112</v>
      </c>
      <c r="C1" s="41" t="s">
        <v>113</v>
      </c>
      <c r="D1" s="41" t="s">
        <v>114</v>
      </c>
      <c r="E1" s="41" t="s">
        <v>115</v>
      </c>
      <c r="F1" s="151" t="s">
        <v>116</v>
      </c>
      <c r="G1" s="151" t="s">
        <v>29</v>
      </c>
      <c r="H1" s="41" t="s">
        <v>117</v>
      </c>
      <c r="I1" s="41" t="s">
        <v>105</v>
      </c>
      <c r="J1" s="151" t="s">
        <v>118</v>
      </c>
      <c r="K1" s="41" t="s">
        <v>119</v>
      </c>
    </row>
    <row r="2" spans="1:11">
      <c r="A2" s="150">
        <f>PN!F15</f>
        <v>1925.6207325138907</v>
      </c>
      <c r="B2" s="150">
        <f>PN!F37</f>
        <v>110.66000000000001</v>
      </c>
      <c r="C2" s="150">
        <f>PN!F23</f>
        <v>441.06308131268435</v>
      </c>
      <c r="D2" s="150">
        <f>PN!F35</f>
        <v>10</v>
      </c>
      <c r="E2" s="150">
        <f>PN!F34</f>
        <v>0</v>
      </c>
      <c r="F2">
        <v>0</v>
      </c>
      <c r="G2">
        <v>0</v>
      </c>
      <c r="H2" s="150">
        <f>PN!F32</f>
        <v>0</v>
      </c>
      <c r="I2" s="150">
        <f>PN!F33</f>
        <v>0</v>
      </c>
      <c r="J2">
        <v>0</v>
      </c>
      <c r="K2">
        <f>SUM(A2:J2)</f>
        <v>2487.3438138265751</v>
      </c>
    </row>
    <row r="7" spans="1:11">
      <c r="A7" t="s">
        <v>120</v>
      </c>
    </row>
    <row r="8" spans="1:11">
      <c r="A8" t="s">
        <v>121</v>
      </c>
    </row>
    <row r="9" spans="1:11">
      <c r="A9" t="s">
        <v>122</v>
      </c>
    </row>
    <row r="15" spans="1:11">
      <c r="F15" s="42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AA55CC3C3BD834BA343262FD5D71E76" ma:contentTypeVersion="18" ma:contentTypeDescription="新建文档。" ma:contentTypeScope="" ma:versionID="75414e83edc423b119944a22b9da6002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54758ecf0191dc4c3a854b640e238ecc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图像标记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D70D6F-6904-4CD2-BCA4-5F0BC221F8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EF31B6-FE18-4DF1-8438-5C9F3054A2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27f54e-f962-403c-9056-fc9f08248a08"/>
    <ds:schemaRef ds:uri="00ff829c-5328-4041-8e8f-a41155b38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EBE9FC-9315-4BA2-BE91-C7F6ABEB7BB4}">
  <ds:schemaRefs>
    <ds:schemaRef ds:uri="00ff829c-5328-4041-8e8f-a41155b380ee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d627f54e-f962-403c-9056-fc9f08248a08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PN</vt:lpstr>
      <vt:lpstr>TW</vt:lpstr>
      <vt:lpstr>TW EE</vt:lpstr>
      <vt:lpstr>TW-L</vt:lpstr>
      <vt:lpstr>FI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ChunJie</dc:creator>
  <cp:lastModifiedBy>LIU, SiYu</cp:lastModifiedBy>
  <cp:lastPrinted>2023-02-09T08:40:31Z</cp:lastPrinted>
  <dcterms:created xsi:type="dcterms:W3CDTF">2018-12-11T19:06:17Z</dcterms:created>
  <dcterms:modified xsi:type="dcterms:W3CDTF">2026-03-11T07:44:09Z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5990f738-fcdd-405e-99be-11cb97209fa1</vt:lpwstr>
  </property>
  <property fmtid="{D5CDD505-2E9C-101B-9397-08002B2CF9AE}" pid="4" name="MediaServiceImageTags">
    <vt:lpwstr/>
  </property>
</Properties>
</file>