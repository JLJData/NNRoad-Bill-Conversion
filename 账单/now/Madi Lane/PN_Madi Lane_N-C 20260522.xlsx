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0D0CE368-4B5E-4451-9001-55959E9BDE79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6" r:id="rId1"/>
    <sheet name="China" sheetId="2" r:id="rId2"/>
    <sheet name="China EE" sheetId="5" r:id="rId3"/>
    <sheet name="China-L" sheetId="3" r:id="rId4"/>
    <sheet name="China-L (2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K9" i="2"/>
  <c r="H9" i="2" s="1"/>
  <c r="E17" i="6"/>
  <c r="E16" i="6"/>
  <c r="B9" i="2"/>
  <c r="J9" i="2"/>
  <c r="AQ4" i="2"/>
  <c r="AP4" i="2" a="1"/>
  <c r="AP4" i="2" s="1"/>
  <c r="AO9" i="2"/>
  <c r="AL9" i="2"/>
  <c r="V9" i="2"/>
  <c r="AK9" i="2"/>
  <c r="AK6" i="2" s="1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W9" i="2"/>
  <c r="W6" i="2" s="1"/>
  <c r="N9" i="2"/>
  <c r="N6" i="2" s="1"/>
  <c r="O9" i="2"/>
  <c r="O6" i="2" s="1"/>
  <c r="P9" i="2"/>
  <c r="P6" i="2" s="1"/>
  <c r="Q9" i="2"/>
  <c r="Q6" i="2" s="1"/>
  <c r="R9" i="2"/>
  <c r="S9" i="2"/>
  <c r="T9" i="2"/>
  <c r="U9" i="2"/>
  <c r="M9" i="2"/>
  <c r="M6" i="2" s="1"/>
  <c r="L9" i="2"/>
  <c r="AQ9" i="2"/>
  <c r="AP9" i="2"/>
  <c r="AN9" i="2"/>
  <c r="AK4" i="2"/>
  <c r="AJ4" i="2"/>
  <c r="AA4" i="2"/>
  <c r="AB4" i="2"/>
  <c r="AC4" i="2"/>
  <c r="AD4" i="2"/>
  <c r="AE4" i="2"/>
  <c r="AF4" i="2"/>
  <c r="AG4" i="2"/>
  <c r="AH4" i="2"/>
  <c r="AI4" i="2"/>
  <c r="N4" i="2"/>
  <c r="O4" i="2"/>
  <c r="P4" i="2"/>
  <c r="Q4" i="2"/>
  <c r="R4" i="2"/>
  <c r="S4" i="2"/>
  <c r="T4" i="2"/>
  <c r="U4" i="2"/>
  <c r="W4" i="2"/>
  <c r="X4" i="2"/>
  <c r="Y4" i="2"/>
  <c r="Z4" i="2"/>
  <c r="M4" i="2"/>
  <c r="R6" i="2"/>
  <c r="S6" i="2"/>
  <c r="T6" i="2"/>
  <c r="U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L4" i="2" a="1"/>
  <c r="L4" i="2" s="1"/>
  <c r="I9" i="2"/>
  <c r="H10" i="5"/>
  <c r="V10" i="5"/>
  <c r="T10" i="5"/>
  <c r="I10" i="5"/>
  <c r="AC10" i="5"/>
  <c r="X10" i="5"/>
  <c r="Y10" i="5"/>
  <c r="Z10" i="5"/>
  <c r="AA10" i="5"/>
  <c r="AB10" i="5"/>
  <c r="W10" i="5"/>
  <c r="U10" i="5"/>
  <c r="S10" i="5"/>
  <c r="R10" i="5"/>
  <c r="Q10" i="5"/>
  <c r="O10" i="5"/>
  <c r="P10" i="5"/>
  <c r="L10" i="5"/>
  <c r="M10" i="5"/>
  <c r="N10" i="5"/>
  <c r="K10" i="5"/>
  <c r="J10" i="5"/>
  <c r="X4" i="5"/>
  <c r="Y4" i="5"/>
  <c r="Z4" i="5"/>
  <c r="AA4" i="5"/>
  <c r="AB4" i="5"/>
  <c r="W4" i="5"/>
  <c r="U4" i="5" a="1"/>
  <c r="U4" i="5" s="1"/>
  <c r="S4" i="5" a="1"/>
  <c r="S4" i="5" s="1"/>
  <c r="R4" i="5"/>
  <c r="Q4" i="5"/>
  <c r="P4" i="5"/>
  <c r="L4" i="5"/>
  <c r="M4" i="5"/>
  <c r="N4" i="5"/>
  <c r="O4" i="5"/>
  <c r="K4" i="5"/>
  <c r="J4" i="5"/>
  <c r="E10" i="5"/>
  <c r="B10" i="5"/>
  <c r="V6" i="2" l="1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N8" i="3"/>
  <c r="M8" i="3"/>
  <c r="L8" i="3"/>
  <c r="K8" i="3"/>
  <c r="J8" i="3"/>
  <c r="I8" i="3"/>
  <c r="H8" i="3"/>
  <c r="G8" i="3"/>
  <c r="F8" i="3"/>
  <c r="E8" i="3"/>
  <c r="F29" i="6"/>
  <c r="F30" i="6"/>
  <c r="F28" i="6"/>
  <c r="A27" i="6"/>
  <c r="A17" i="6"/>
  <c r="E14" i="6"/>
  <c r="J6" i="2"/>
  <c r="E25" i="2" l="1"/>
  <c r="F31" i="6" s="1"/>
  <c r="E21" i="2" l="1"/>
  <c r="C2" i="2"/>
  <c r="G10" i="5" s="1"/>
  <c r="B2" i="2"/>
  <c r="C10" i="5"/>
  <c r="F10" i="6"/>
  <c r="A16" i="6" l="1"/>
  <c r="A21" i="6"/>
  <c r="F10" i="5"/>
  <c r="L6" i="2" l="1"/>
  <c r="I6" i="2"/>
  <c r="AQ6" i="2"/>
  <c r="AN6" i="2"/>
  <c r="G9" i="2" l="1"/>
  <c r="AP6" i="2"/>
  <c r="E21" i="6" l="1"/>
  <c r="E20" i="6" s="1"/>
  <c r="E9" i="2"/>
  <c r="AO6" i="2"/>
  <c r="F17" i="6"/>
  <c r="H6" i="2"/>
  <c r="G6" i="2"/>
  <c r="F21" i="6" l="1"/>
  <c r="F20" i="6" s="1"/>
  <c r="K6" i="2" l="1"/>
  <c r="A1" i="5" l="1"/>
  <c r="AM6" i="2" l="1"/>
  <c r="D10" i="5"/>
  <c r="AL6" i="2" l="1"/>
  <c r="F16" i="6" l="1"/>
  <c r="F15" i="6" s="1"/>
  <c r="E15" i="6"/>
  <c r="E24" i="6" s="1"/>
  <c r="A1" i="2"/>
  <c r="F24" i="6" l="1"/>
  <c r="F6" i="2"/>
  <c r="F33" i="6" s="1"/>
  <c r="AR6" i="2"/>
  <c r="E6" i="2" l="1"/>
  <c r="F27" i="6"/>
  <c r="F32" i="6" s="1"/>
  <c r="F3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<sst xmlns="http://schemas.openxmlformats.org/spreadsheetml/2006/main" count="178" uniqueCount="150">
  <si>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</si>
  <si>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6" type="noConversion"/>
  </si>
  <si>
    <t>USA: +1 (669) 377-5080 | www.NNRoad.com</t>
    <phoneticPr fontId="6" type="noConversion"/>
  </si>
  <si>
    <t>INVOICE</t>
  </si>
  <si>
    <t>Bill to:</t>
  </si>
  <si>
    <t>Company name:</t>
  </si>
  <si>
    <t>Mia Solano</t>
  </si>
  <si>
    <t>Currency</t>
  </si>
  <si>
    <t>USD</t>
  </si>
  <si>
    <t>Client ID:</t>
  </si>
  <si>
    <t>CNUS2026003</t>
  </si>
  <si>
    <t>Invoice number</t>
  </si>
  <si>
    <t>PN-CNUS2026003-052220261</t>
  </si>
  <si>
    <t>Address:</t>
  </si>
  <si>
    <t>885 S Auto Mall Dr Unit C American Fork, UT 84003, USA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</si>
  <si>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</si>
  <si>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</si>
  <si>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</si>
  <si>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</si>
  <si>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</si>
  <si>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</si>
  <si>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</si>
  <si>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</si>
  <si>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</si>
  <si>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</si>
  <si>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</si>
  <si>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</si>
  <si>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</si>
  <si>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</si>
  <si>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</si>
  <si>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</si>
  <si>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</si>
  <si>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</si>
  <si>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</si>
  <si>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</si>
  <si>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</si>
  <si>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</si>
  <si>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</si>
  <si>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  <phoneticPr fontId="1" type="noConversion"/>
  </si>
  <si>
    <t>Sum</t>
    <phoneticPr fontId="1" type="noConversion"/>
  </si>
  <si>
    <t>Business
Tax</t>
    <phoneticPr fontId="1" type="noConversion"/>
  </si>
  <si>
    <t>Management Fee</t>
  </si>
  <si>
    <t>Gross Salary</t>
    <phoneticPr fontId="1" type="noConversion"/>
  </si>
  <si>
    <t>Mandatory Contribution</t>
  </si>
  <si>
    <t>Other Payment For EE</t>
  </si>
  <si>
    <t>Expense Claim</t>
    <phoneticPr fontId="1" type="noConversion"/>
  </si>
  <si>
    <t>Refundable
Deposit</t>
    <phoneticPr fontId="1" type="noConversion"/>
  </si>
  <si>
    <t>Subtotal</t>
    <phoneticPr fontId="1" type="noConversion"/>
  </si>
  <si>
    <t>For
Recurring</t>
  </si>
  <si>
    <t>For
Expense</t>
  </si>
  <si>
    <t>Set-up Fee(One time)</t>
  </si>
  <si>
    <t>计税不发</t>
    <phoneticPr fontId="1" type="noConversion"/>
  </si>
  <si>
    <t>当月个税（公司）</t>
    <phoneticPr fontId="1" type="noConversion"/>
  </si>
  <si>
    <t>(RMB)</t>
    <phoneticPr fontId="1" type="noConversion"/>
  </si>
  <si>
    <t>CNUS2026003-0002</t>
  </si>
  <si>
    <t>Other Fee</t>
    <phoneticPr fontId="5" type="noConversion"/>
  </si>
  <si>
    <t>Interests of delay</t>
  </si>
  <si>
    <t>Bank Charges</t>
  </si>
  <si>
    <t xml:space="preserve">Invoice adjustment </t>
  </si>
  <si>
    <t>EE</t>
    <phoneticPr fontId="1" type="noConversion"/>
  </si>
  <si>
    <t>Client Code</t>
  </si>
  <si>
    <t>Client Name</t>
  </si>
  <si>
    <t>EE Code</t>
  </si>
  <si>
    <t>EE Name</t>
  </si>
  <si>
    <t>Net
Income</t>
    <phoneticPr fontId="1" type="noConversion"/>
  </si>
  <si>
    <t>Salary</t>
  </si>
  <si>
    <t>EE Mandatory Contribution</t>
  </si>
  <si>
    <t>IIT</t>
    <phoneticPr fontId="1" type="noConversion"/>
  </si>
  <si>
    <t>From</t>
  </si>
  <si>
    <t>To</t>
  </si>
  <si>
    <t>EOR/PEO(CNY)</t>
  </si>
  <si>
    <t>Duration 发薪月</t>
    <phoneticPr fontId="8" type="noConversion"/>
  </si>
  <si>
    <t>202605</t>
  </si>
  <si>
    <t>Employer 雇主</t>
    <phoneticPr fontId="8" type="noConversion"/>
  </si>
  <si>
    <t>NNRoad-Madilane</t>
  </si>
  <si>
    <t>No.
序号</t>
    <phoneticPr fontId="8" type="noConversion"/>
  </si>
  <si>
    <t>Dept./cost code
部门/成本中心</t>
    <phoneticPr fontId="2" type="noConversion"/>
  </si>
  <si>
    <t>ID No. 工号</t>
    <phoneticPr fontId="8" type="noConversion"/>
  </si>
  <si>
    <t>Name 姓名</t>
    <phoneticPr fontId="8" type="noConversion"/>
  </si>
  <si>
    <t>Plus Item 加项</t>
    <phoneticPr fontId="8" type="noConversion"/>
  </si>
  <si>
    <t>Basis for Social Benefits Calculation
社保基数</t>
    <phoneticPr fontId="8" type="noConversion"/>
  </si>
  <si>
    <t>Basis for Housing Fund Calculation
公积金基数</t>
    <phoneticPr fontId="8" type="noConversion"/>
  </si>
  <si>
    <t>Minus Item 减项</t>
    <phoneticPr fontId="8" type="noConversion"/>
  </si>
  <si>
    <t>IIT
个税</t>
    <phoneticPr fontId="8" type="noConversion"/>
  </si>
  <si>
    <t>Adjustment After Tax
税后工资调整</t>
    <phoneticPr fontId="2" type="noConversion"/>
  </si>
  <si>
    <t>Expense
报销款</t>
    <phoneticPr fontId="8" type="noConversion"/>
  </si>
  <si>
    <t>Subsistence Allowance for Foreigners
外籍生活津贴</t>
    <phoneticPr fontId="8" type="noConversion"/>
  </si>
  <si>
    <t>Net Income
实发</t>
    <phoneticPr fontId="8" type="noConversion"/>
  </si>
  <si>
    <t>Basic Salary
基本工资</t>
    <phoneticPr fontId="8" type="noConversion"/>
  </si>
  <si>
    <t>Actual Base Salary
实际基本工资</t>
    <phoneticPr fontId="8" type="noConversion"/>
  </si>
  <si>
    <t xml:space="preserve"> Bonus
奖金</t>
    <phoneticPr fontId="8" type="noConversion"/>
  </si>
  <si>
    <t>Annual Bonus/13th Salary
年终奖/13薪</t>
    <phoneticPr fontId="8" type="noConversion"/>
  </si>
  <si>
    <t>Allowance/Subsidy
津贴/补贴</t>
    <phoneticPr fontId="8" type="noConversion"/>
  </si>
  <si>
    <t>OT Payment
加班费</t>
    <phoneticPr fontId="8" type="noConversion"/>
  </si>
  <si>
    <t>Other Adjustment Before Tax
税前其他调整</t>
    <phoneticPr fontId="8" type="noConversion"/>
  </si>
  <si>
    <t>Income Employer Afford Tax
公司负税项</t>
    <phoneticPr fontId="8" type="noConversion"/>
  </si>
  <si>
    <t>Stock option incentive/股权激励</t>
    <phoneticPr fontId="8" type="noConversion"/>
  </si>
  <si>
    <t>Compensation离职补偿金/赔偿金</t>
    <phoneticPr fontId="8" type="noConversion"/>
  </si>
  <si>
    <t>Basis  for Housing Fund Calculation
公积金基数</t>
    <phoneticPr fontId="8" type="noConversion"/>
  </si>
  <si>
    <t>Pension
缴养老</t>
    <phoneticPr fontId="8" type="noConversion"/>
  </si>
  <si>
    <t>Medical
缴医疗</t>
    <phoneticPr fontId="8" type="noConversion"/>
  </si>
  <si>
    <t>Unemployment
缴失业</t>
    <phoneticPr fontId="8" type="noConversion"/>
  </si>
  <si>
    <t>Housing Fund
缴公积金</t>
    <phoneticPr fontId="8" type="noConversion"/>
  </si>
  <si>
    <t>SB Adj-EE
社保补差-个人</t>
    <phoneticPr fontId="8" type="noConversion"/>
  </si>
  <si>
    <t>PHF Adj-EE
公积金补差-个人</t>
    <phoneticPr fontId="8" type="noConversion"/>
  </si>
  <si>
    <t>Deduction for Personal Affair/Absenteeism Leave
扣事假/旷工</t>
    <phoneticPr fontId="8" type="noConversion"/>
  </si>
  <si>
    <t>Deduction for Sick and Maternity Leave
扣病假/产假</t>
    <phoneticPr fontId="8" type="noConversion"/>
  </si>
  <si>
    <t>Annuity
缴年金</t>
    <phoneticPr fontId="2" type="noConversion"/>
  </si>
  <si>
    <t>Union Fee
工会费</t>
    <phoneticPr fontId="2" type="noConversion"/>
  </si>
  <si>
    <t/>
  </si>
  <si>
    <t>CHHK037-0001</t>
  </si>
  <si>
    <t>徐桂亮 Leon Xu</t>
  </si>
  <si>
    <t>Sum
合计</t>
  </si>
  <si>
    <t>Client 客户</t>
    <phoneticPr fontId="8" type="noConversion"/>
  </si>
  <si>
    <t>Employee ID
客户员工号</t>
    <phoneticPr fontId="8" type="noConversion"/>
  </si>
  <si>
    <t>Net Income
员工实得</t>
    <phoneticPr fontId="8" type="noConversion"/>
  </si>
  <si>
    <t>Expense
报销款</t>
  </si>
  <si>
    <t>Individual Portion 个人部分</t>
    <phoneticPr fontId="8" type="noConversion"/>
  </si>
  <si>
    <t>Employer Portion 雇主部分</t>
    <phoneticPr fontId="8" type="noConversion"/>
  </si>
  <si>
    <t>Service Fee
服务费</t>
    <phoneticPr fontId="8" type="noConversion"/>
  </si>
  <si>
    <t>SFT
服务费税</t>
    <phoneticPr fontId="8" type="noConversion"/>
  </si>
  <si>
    <t>Value Added Tax
增值税</t>
    <phoneticPr fontId="8" type="noConversion"/>
  </si>
  <si>
    <t>Total Cost
总成本</t>
    <phoneticPr fontId="8" type="noConversion"/>
  </si>
  <si>
    <t>Remark
备注</t>
    <phoneticPr fontId="8" type="noConversion"/>
  </si>
  <si>
    <t>Pension
养老-个人</t>
    <phoneticPr fontId="8" type="noConversion"/>
  </si>
  <si>
    <t>Medical
医疗-个人</t>
    <phoneticPr fontId="8" type="noConversion"/>
  </si>
  <si>
    <t>Unemployment
失业-个人</t>
    <phoneticPr fontId="8" type="noConversion"/>
  </si>
  <si>
    <t>Housing Fund
公积金-个人</t>
    <phoneticPr fontId="8" type="noConversion"/>
  </si>
  <si>
    <t>Annuity
年金-个人</t>
    <phoneticPr fontId="2" type="noConversion"/>
  </si>
  <si>
    <t>PHF Adj-EE
公积金补差-个人</t>
    <phoneticPr fontId="2" type="noConversion"/>
  </si>
  <si>
    <t>Union Fee
工会费-个人</t>
    <phoneticPr fontId="2" type="noConversion"/>
  </si>
  <si>
    <t>IIT Total
个税合计</t>
    <phoneticPr fontId="2" type="noConversion"/>
  </si>
  <si>
    <t>Pension
养老-公司</t>
    <phoneticPr fontId="8" type="noConversion"/>
  </si>
  <si>
    <t>Medical
医疗-公司</t>
    <phoneticPr fontId="8" type="noConversion"/>
  </si>
  <si>
    <t>Unemployment
失业-公司</t>
    <phoneticPr fontId="8" type="noConversion"/>
  </si>
  <si>
    <t>Maternity
生育-公司</t>
    <phoneticPr fontId="8" type="noConversion"/>
  </si>
  <si>
    <t>Work-Related-Injury
工伤</t>
    <phoneticPr fontId="8" type="noConversion"/>
  </si>
  <si>
    <t>Disability
残保金</t>
    <phoneticPr fontId="8" type="noConversion"/>
  </si>
  <si>
    <t>Housing Fund
公积金-公司</t>
    <phoneticPr fontId="8" type="noConversion"/>
  </si>
  <si>
    <t>Heating Fee
取暖费</t>
    <phoneticPr fontId="8" type="noConversion"/>
  </si>
  <si>
    <t>SB Adj-Com
社保补差-公司</t>
    <phoneticPr fontId="8" type="noConversion"/>
  </si>
  <si>
    <t>PHF Adj-Com
公积金补差-公司</t>
    <phoneticPr fontId="8" type="noConversion"/>
  </si>
  <si>
    <t>CD Adj-Com
残保金补差-公司</t>
    <phoneticPr fontId="8" type="noConversion"/>
  </si>
  <si>
    <t>Annuity
年金-公司</t>
    <phoneticPr fontId="2" type="noConversion"/>
  </si>
  <si>
    <t>Union Fee
工会费-公司</t>
    <phoneticPr fontId="8" type="noConversion"/>
  </si>
  <si>
    <t>Commercial Insurance
商业保险</t>
    <phoneticPr fontId="8" type="noConversion"/>
  </si>
  <si>
    <t>Business Tax for Expense
报销款税额</t>
    <phoneticPr fontId="8" type="noConversion"/>
  </si>
  <si>
    <t>Deposit
押金</t>
    <phoneticPr fontId="8" type="noConversion"/>
  </si>
  <si>
    <t>Employer Liability Insurance
雇主责任险</t>
    <phoneticPr fontId="8" type="noConversion"/>
  </si>
  <si>
    <t>Office Seat
其他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</si>
</sst>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_ "/>
    <numFmt numFmtId="165" formatCode="[$-F800]dddd\,\ mmmm\ dd\,\ yyyy"/>
    <numFmt numFmtId="166" formatCode="0.00_);[Red]\(0.00\)"/>
  </numFmts>
  <fonts count="4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Comic Sans MS"/>
      <family val="4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b/>
      <sz val="8"/>
      <name val="Calibri"/>
      <family val="3"/>
      <charset val="134"/>
      <scheme val="minor"/>
    </font>
    <font>
      <b/>
      <sz val="8"/>
      <color theme="1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0"/>
      <name val="Arial"/>
      <family val="2"/>
    </font>
    <font>
      <sz val="10"/>
      <color theme="1"/>
      <name val="Arial Unicode MS"/>
      <family val="2"/>
      <charset val="134"/>
    </font>
    <font>
      <sz val="11"/>
      <color theme="1"/>
      <name val="Calibri"/>
      <family val="3"/>
      <charset val="134"/>
      <scheme val="minor"/>
    </font>
    <font>
      <sz val="10"/>
      <color theme="1"/>
      <name val="Calibri"/>
      <family val="4"/>
      <charset val="134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b/>
      <sz val="10"/>
      <color theme="1"/>
      <name val="Arial Unicode MS"/>
      <family val="2"/>
      <charset val="134"/>
    </font>
    <font>
      <b/>
      <u/>
      <sz val="10"/>
      <color theme="1"/>
      <name val="Arial Unicode MS"/>
      <family val="2"/>
      <charset val="134"/>
    </font>
    <font>
      <sz val="10"/>
      <name val="Arial Unicode MS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165" fontId="9" fillId="0" borderId="0"/>
    <xf numFmtId="0" fontId="14" fillId="0" borderId="0"/>
  </cellStyleXfs>
  <cellXfs count="20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40" fontId="3" fillId="2" borderId="11" xfId="0" applyNumberFormat="1" applyFont="1" applyFill="1" applyBorder="1">
      <alignment vertical="center"/>
    </xf>
    <xf numFmtId="40" fontId="3" fillId="2" borderId="12" xfId="0" applyNumberFormat="1" applyFont="1" applyFill="1" applyBorder="1">
      <alignment vertical="center"/>
    </xf>
    <xf numFmtId="40" fontId="3" fillId="2" borderId="13" xfId="0" applyNumberFormat="1" applyFont="1" applyFill="1" applyBorder="1">
      <alignment vertical="center"/>
    </xf>
    <xf numFmtId="40" fontId="3" fillId="2" borderId="14" xfId="0" applyNumberFormat="1" applyFont="1" applyFill="1" applyBorder="1">
      <alignment vertical="center"/>
    </xf>
    <xf numFmtId="40" fontId="3" fillId="2" borderId="15" xfId="0" applyNumberFormat="1" applyFont="1" applyFill="1" applyBorder="1">
      <alignment vertical="center"/>
    </xf>
    <xf numFmtId="40" fontId="3" fillId="2" borderId="16" xfId="0" applyNumberFormat="1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>
      <alignment vertical="center"/>
    </xf>
    <xf numFmtId="40" fontId="3" fillId="2" borderId="17" xfId="0" applyNumberFormat="1" applyFont="1" applyFill="1" applyBorder="1">
      <alignment vertical="center"/>
    </xf>
    <xf numFmtId="40" fontId="3" fillId="2" borderId="18" xfId="0" applyNumberFormat="1" applyFont="1" applyFill="1" applyBorder="1">
      <alignment vertical="center"/>
    </xf>
    <xf numFmtId="40" fontId="3" fillId="2" borderId="19" xfId="0" applyNumberFormat="1" applyFont="1" applyFill="1" applyBorder="1">
      <alignment vertical="center"/>
    </xf>
    <xf numFmtId="40" fontId="3" fillId="0" borderId="0" xfId="0" applyNumberFormat="1" applyFont="1">
      <alignment vertical="center"/>
    </xf>
    <xf numFmtId="0" fontId="0" fillId="0" borderId="0" xfId="0" applyAlignment="1"/>
    <xf numFmtId="0" fontId="7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3" applyNumberFormat="1" applyFont="1" applyAlignment="1">
      <alignment horizontal="center" vertical="center"/>
    </xf>
    <xf numFmtId="0" fontId="11" fillId="0" borderId="8" xfId="0" applyFont="1" applyBorder="1">
      <alignment vertical="center"/>
    </xf>
    <xf numFmtId="0" fontId="7" fillId="0" borderId="27" xfId="0" applyFont="1" applyBorder="1" applyAlignment="1">
      <alignment horizontal="center" vertical="center"/>
    </xf>
    <xf numFmtId="0" fontId="15" fillId="0" borderId="0" xfId="4" applyFont="1" applyAlignment="1">
      <alignment vertical="center"/>
    </xf>
    <xf numFmtId="0" fontId="18" fillId="0" borderId="0" xfId="4" applyFont="1" applyAlignment="1">
      <alignment horizontal="right" vertical="center"/>
    </xf>
    <xf numFmtId="0" fontId="15" fillId="0" borderId="0" xfId="4" applyFont="1" applyAlignment="1">
      <alignment horizontal="right" vertical="center"/>
    </xf>
    <xf numFmtId="0" fontId="18" fillId="0" borderId="0" xfId="4" applyFont="1" applyAlignment="1">
      <alignment vertical="center"/>
    </xf>
    <xf numFmtId="0" fontId="21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22" fillId="0" borderId="0" xfId="4" applyFont="1" applyAlignment="1">
      <alignment vertical="center"/>
    </xf>
    <xf numFmtId="0" fontId="23" fillId="0" borderId="0" xfId="4" applyFont="1" applyAlignment="1">
      <alignment horizontal="right" vertical="center"/>
    </xf>
    <xf numFmtId="0" fontId="23" fillId="0" borderId="0" xfId="4" applyFont="1" applyAlignment="1">
      <alignment vertical="center"/>
    </xf>
    <xf numFmtId="0" fontId="24" fillId="0" borderId="0" xfId="4" applyFont="1" applyAlignment="1">
      <alignment horizontal="right" vertical="center"/>
    </xf>
    <xf numFmtId="0" fontId="24" fillId="0" borderId="0" xfId="4" applyFont="1" applyAlignment="1">
      <alignment vertical="center"/>
    </xf>
    <xf numFmtId="0" fontId="23" fillId="0" borderId="0" xfId="4" applyFont="1" applyAlignment="1">
      <alignment vertical="top" wrapText="1"/>
    </xf>
    <xf numFmtId="14" fontId="23" fillId="0" borderId="0" xfId="4" applyNumberFormat="1" applyFont="1" applyAlignment="1">
      <alignment vertical="center"/>
    </xf>
    <xf numFmtId="0" fontId="25" fillId="0" borderId="0" xfId="4" applyFont="1" applyAlignment="1">
      <alignment horizontal="right" vertical="center"/>
    </xf>
    <xf numFmtId="0" fontId="26" fillId="0" borderId="0" xfId="4" applyFont="1" applyAlignment="1">
      <alignment vertical="center"/>
    </xf>
    <xf numFmtId="14" fontId="26" fillId="0" borderId="0" xfId="4" applyNumberFormat="1" applyFont="1" applyAlignment="1">
      <alignment horizontal="left" vertical="center"/>
    </xf>
    <xf numFmtId="0" fontId="27" fillId="4" borderId="32" xfId="4" applyFont="1" applyFill="1" applyBorder="1" applyAlignment="1">
      <alignment horizontal="center" vertical="center"/>
    </xf>
    <xf numFmtId="0" fontId="27" fillId="4" borderId="33" xfId="4" applyFont="1" applyFill="1" applyBorder="1" applyAlignment="1">
      <alignment horizontal="center" vertical="center"/>
    </xf>
    <xf numFmtId="0" fontId="28" fillId="0" borderId="0" xfId="4" applyFont="1" applyAlignment="1">
      <alignment horizontal="right" vertical="center"/>
    </xf>
    <xf numFmtId="0" fontId="28" fillId="0" borderId="0" xfId="4" applyFont="1" applyAlignment="1">
      <alignment vertical="center"/>
    </xf>
    <xf numFmtId="0" fontId="29" fillId="0" borderId="0" xfId="4" applyFont="1" applyAlignment="1">
      <alignment horizontal="left" vertical="center" indent="1"/>
    </xf>
    <xf numFmtId="43" fontId="29" fillId="0" borderId="0" xfId="4" applyNumberFormat="1" applyFont="1" applyAlignment="1">
      <alignment horizontal="left" vertical="center"/>
    </xf>
    <xf numFmtId="44" fontId="13" fillId="0" borderId="35" xfId="4" applyNumberFormat="1" applyFont="1" applyBorder="1" applyAlignment="1">
      <alignment horizontal="left" vertical="center"/>
    </xf>
    <xf numFmtId="164" fontId="30" fillId="0" borderId="0" xfId="4" applyNumberFormat="1" applyFont="1" applyAlignment="1">
      <alignment horizontal="right" vertical="center"/>
    </xf>
    <xf numFmtId="0" fontId="30" fillId="0" borderId="0" xfId="4" applyFont="1" applyAlignment="1">
      <alignment vertical="center"/>
    </xf>
    <xf numFmtId="0" fontId="18" fillId="0" borderId="0" xfId="4" applyFont="1" applyAlignment="1">
      <alignment horizontal="left" vertical="center" indent="3"/>
    </xf>
    <xf numFmtId="43" fontId="18" fillId="0" borderId="0" xfId="4" applyNumberFormat="1" applyFont="1" applyAlignment="1">
      <alignment horizontal="left" vertical="center" indent="1"/>
    </xf>
    <xf numFmtId="44" fontId="18" fillId="0" borderId="35" xfId="4" applyNumberFormat="1" applyFont="1" applyBorder="1" applyAlignment="1">
      <alignment horizontal="left" vertical="center"/>
    </xf>
    <xf numFmtId="164" fontId="31" fillId="0" borderId="0" xfId="4" applyNumberFormat="1" applyFont="1" applyAlignment="1">
      <alignment horizontal="right" vertical="center"/>
    </xf>
    <xf numFmtId="0" fontId="31" fillId="0" borderId="0" xfId="4" applyFont="1" applyAlignment="1">
      <alignment vertical="center"/>
    </xf>
    <xf numFmtId="164" fontId="15" fillId="0" borderId="0" xfId="4" applyNumberFormat="1" applyFont="1" applyAlignment="1">
      <alignment horizontal="right" vertical="center"/>
    </xf>
    <xf numFmtId="0" fontId="18" fillId="0" borderId="0" xfId="4" applyFont="1" applyAlignment="1">
      <alignment horizontal="left" vertical="center" indent="1"/>
    </xf>
    <xf numFmtId="0" fontId="18" fillId="0" borderId="0" xfId="4" applyFont="1" applyAlignment="1">
      <alignment horizontal="center" vertical="center"/>
    </xf>
    <xf numFmtId="43" fontId="18" fillId="0" borderId="0" xfId="4" applyNumberFormat="1" applyFont="1" applyAlignment="1">
      <alignment horizontal="left" vertical="center"/>
    </xf>
    <xf numFmtId="44" fontId="29" fillId="0" borderId="35" xfId="4" applyNumberFormat="1" applyFont="1" applyBorder="1" applyAlignment="1">
      <alignment horizontal="left" vertical="center"/>
    </xf>
    <xf numFmtId="164" fontId="32" fillId="0" borderId="0" xfId="4" applyNumberFormat="1" applyFont="1" applyAlignment="1">
      <alignment horizontal="right" vertical="center"/>
    </xf>
    <xf numFmtId="0" fontId="32" fillId="0" borderId="0" xfId="4" applyFont="1" applyAlignment="1">
      <alignment vertical="center"/>
    </xf>
    <xf numFmtId="0" fontId="18" fillId="0" borderId="0" xfId="4" applyFont="1" applyAlignment="1">
      <alignment horizontal="left" vertical="center" indent="2"/>
    </xf>
    <xf numFmtId="0" fontId="33" fillId="0" borderId="0" xfId="4" applyFont="1" applyAlignment="1">
      <alignment horizontal="left" vertical="center" indent="1"/>
    </xf>
    <xf numFmtId="43" fontId="15" fillId="0" borderId="0" xfId="4" applyNumberFormat="1" applyFont="1" applyAlignment="1">
      <alignment horizontal="left" vertical="center"/>
    </xf>
    <xf numFmtId="44" fontId="15" fillId="0" borderId="35" xfId="4" applyNumberFormat="1" applyFont="1" applyBorder="1" applyAlignment="1">
      <alignment horizontal="left" vertical="center"/>
    </xf>
    <xf numFmtId="43" fontId="34" fillId="0" borderId="37" xfId="4" applyNumberFormat="1" applyFont="1" applyBorder="1" applyAlignment="1">
      <alignment horizontal="left" vertical="center"/>
    </xf>
    <xf numFmtId="44" fontId="34" fillId="0" borderId="38" xfId="4" applyNumberFormat="1" applyFont="1" applyBorder="1" applyAlignment="1">
      <alignment horizontal="left" vertical="center"/>
    </xf>
    <xf numFmtId="0" fontId="34" fillId="0" borderId="0" xfId="4" applyFont="1" applyAlignment="1">
      <alignment vertical="center"/>
    </xf>
    <xf numFmtId="0" fontId="34" fillId="0" borderId="0" xfId="4" applyFont="1" applyAlignment="1">
      <alignment horizontal="center" vertical="center"/>
    </xf>
    <xf numFmtId="43" fontId="34" fillId="0" borderId="0" xfId="4" applyNumberFormat="1" applyFont="1" applyAlignment="1">
      <alignment vertical="center"/>
    </xf>
    <xf numFmtId="44" fontId="34" fillId="0" borderId="0" xfId="4" applyNumberFormat="1" applyFont="1" applyAlignment="1">
      <alignment horizontal="right" vertical="center"/>
    </xf>
    <xf numFmtId="0" fontId="34" fillId="0" borderId="0" xfId="4" applyFont="1" applyAlignment="1">
      <alignment horizontal="right" vertical="center"/>
    </xf>
    <xf numFmtId="0" fontId="35" fillId="0" borderId="0" xfId="4" applyFont="1" applyAlignment="1">
      <alignment vertical="center" wrapText="1"/>
    </xf>
    <xf numFmtId="44" fontId="36" fillId="0" borderId="41" xfId="4" applyNumberFormat="1" applyFont="1" applyBorder="1" applyAlignment="1">
      <alignment horizontal="right" vertical="center"/>
    </xf>
    <xf numFmtId="0" fontId="35" fillId="0" borderId="0" xfId="4" applyFont="1" applyAlignment="1">
      <alignment vertical="center"/>
    </xf>
    <xf numFmtId="44" fontId="36" fillId="0" borderId="43" xfId="4" applyNumberFormat="1" applyFont="1" applyBorder="1" applyAlignment="1">
      <alignment horizontal="right" vertical="center"/>
    </xf>
    <xf numFmtId="40" fontId="34" fillId="0" borderId="0" xfId="4" applyNumberFormat="1" applyFont="1" applyAlignment="1">
      <alignment vertical="center"/>
    </xf>
    <xf numFmtId="44" fontId="36" fillId="0" borderId="46" xfId="4" applyNumberFormat="1" applyFont="1" applyBorder="1" applyAlignment="1">
      <alignment horizontal="right" vertical="center"/>
    </xf>
    <xf numFmtId="44" fontId="33" fillId="0" borderId="43" xfId="4" applyNumberFormat="1" applyFont="1" applyBorder="1" applyAlignment="1">
      <alignment horizontal="right" vertical="center"/>
    </xf>
    <xf numFmtId="0" fontId="33" fillId="0" borderId="0" xfId="4" applyFont="1" applyAlignment="1">
      <alignment vertical="center"/>
    </xf>
    <xf numFmtId="44" fontId="33" fillId="0" borderId="49" xfId="4" applyNumberFormat="1" applyFont="1" applyBorder="1" applyAlignment="1">
      <alignment horizontal="right" vertical="center"/>
    </xf>
    <xf numFmtId="44" fontId="15" fillId="0" borderId="0" xfId="4" applyNumberFormat="1" applyFont="1" applyAlignment="1">
      <alignment vertical="center"/>
    </xf>
    <xf numFmtId="14" fontId="3" fillId="0" borderId="0" xfId="0" applyNumberFormat="1" applyFont="1">
      <alignment vertical="center"/>
    </xf>
    <xf numFmtId="0" fontId="37" fillId="0" borderId="0" xfId="0" applyFont="1">
      <alignment vertical="center"/>
    </xf>
    <xf numFmtId="40" fontId="38" fillId="0" borderId="23" xfId="0" applyNumberFormat="1" applyFont="1" applyBorder="1">
      <alignment vertical="center"/>
    </xf>
    <xf numFmtId="40" fontId="38" fillId="0" borderId="2" xfId="0" applyNumberFormat="1" applyFont="1" applyBorder="1">
      <alignment vertical="center"/>
    </xf>
    <xf numFmtId="4" fontId="0" fillId="0" borderId="0" xfId="0" applyNumberFormat="1">
      <alignment vertical="center"/>
    </xf>
    <xf numFmtId="40" fontId="38" fillId="0" borderId="24" xfId="0" applyNumberFormat="1" applyFont="1" applyBorder="1">
      <alignment vertical="center"/>
    </xf>
    <xf numFmtId="40" fontId="38" fillId="0" borderId="3" xfId="0" applyNumberFormat="1" applyFont="1" applyBorder="1">
      <alignment vertical="center"/>
    </xf>
    <xf numFmtId="40" fontId="38" fillId="0" borderId="25" xfId="0" applyNumberFormat="1" applyFont="1" applyBorder="1">
      <alignment vertical="center"/>
    </xf>
    <xf numFmtId="40" fontId="38" fillId="0" borderId="4" xfId="0" applyNumberFormat="1" applyFont="1" applyBorder="1">
      <alignment vertical="center"/>
    </xf>
    <xf numFmtId="14" fontId="3" fillId="2" borderId="0" xfId="0" applyNumberFormat="1" applyFont="1" applyFill="1">
      <alignment vertical="center"/>
    </xf>
    <xf numFmtId="40" fontId="35" fillId="0" borderId="0" xfId="4" applyNumberFormat="1" applyFont="1" applyAlignment="1">
      <alignment horizontal="left" vertical="center" indent="1"/>
    </xf>
    <xf numFmtId="0" fontId="23" fillId="0" borderId="0" xfId="4" applyFont="1" applyAlignment="1">
      <alignment horizontal="right" vertical="top" wrapText="1"/>
    </xf>
    <xf numFmtId="0" fontId="10" fillId="0" borderId="0" xfId="3" applyNumberFormat="1" applyFont="1" applyAlignment="1">
      <alignment horizontal="left" vertical="center"/>
    </xf>
    <xf numFmtId="0" fontId="10" fillId="0" borderId="0" xfId="3" applyNumberFormat="1" applyFont="1" applyAlignment="1">
      <alignment vertical="center"/>
    </xf>
    <xf numFmtId="0" fontId="39" fillId="0" borderId="0" xfId="3" applyNumberFormat="1" applyFont="1" applyAlignment="1">
      <alignment horizontal="center" vertical="center"/>
    </xf>
    <xf numFmtId="0" fontId="39" fillId="0" borderId="54" xfId="3" applyNumberFormat="1" applyFont="1" applyBorder="1" applyAlignment="1">
      <alignment horizontal="center" vertical="center" wrapText="1"/>
    </xf>
    <xf numFmtId="0" fontId="39" fillId="3" borderId="54" xfId="3" applyNumberFormat="1" applyFont="1" applyFill="1" applyBorder="1" applyAlignment="1">
      <alignment horizontal="center" vertical="center" wrapText="1"/>
    </xf>
    <xf numFmtId="0" fontId="39" fillId="0" borderId="0" xfId="3" applyNumberFormat="1" applyFont="1" applyAlignment="1">
      <alignment horizontal="center" vertical="center" wrapText="1"/>
    </xf>
    <xf numFmtId="0" fontId="10" fillId="0" borderId="52" xfId="3" applyNumberFormat="1" applyFont="1" applyBorder="1" applyAlignment="1">
      <alignment horizontal="center" vertical="center"/>
    </xf>
    <xf numFmtId="0" fontId="10" fillId="0" borderId="56" xfId="3" applyNumberFormat="1" applyFont="1" applyBorder="1" applyAlignment="1">
      <alignment horizontal="center" vertical="center"/>
    </xf>
    <xf numFmtId="0" fontId="10" fillId="0" borderId="54" xfId="3" applyNumberFormat="1" applyFont="1" applyBorder="1" applyAlignment="1">
      <alignment horizontal="center" vertical="center"/>
    </xf>
    <xf numFmtId="0" fontId="10" fillId="0" borderId="54" xfId="3" applyNumberFormat="1" applyFont="1" applyBorder="1" applyAlignment="1">
      <alignment horizontal="left" vertical="center"/>
    </xf>
    <xf numFmtId="166" fontId="10" fillId="0" borderId="54" xfId="3" applyNumberFormat="1" applyFont="1" applyBorder="1" applyAlignment="1">
      <alignment horizontal="center" vertical="center"/>
    </xf>
    <xf numFmtId="166" fontId="10" fillId="0" borderId="57" xfId="3" applyNumberFormat="1" applyFont="1" applyBorder="1" applyAlignment="1">
      <alignment horizontal="center" vertical="center"/>
    </xf>
    <xf numFmtId="166" fontId="10" fillId="0" borderId="55" xfId="3" applyNumberFormat="1" applyFont="1" applyBorder="1" applyAlignment="1">
      <alignment horizontal="center" vertical="center"/>
    </xf>
    <xf numFmtId="0" fontId="40" fillId="0" borderId="58" xfId="3" applyNumberFormat="1" applyFont="1" applyBorder="1" applyAlignment="1">
      <alignment horizontal="center" vertical="center" wrapText="1"/>
    </xf>
    <xf numFmtId="0" fontId="40" fillId="0" borderId="59" xfId="3" applyNumberFormat="1" applyFont="1" applyBorder="1" applyAlignment="1">
      <alignment horizontal="center" vertical="center" wrapText="1"/>
    </xf>
    <xf numFmtId="0" fontId="40" fillId="0" borderId="59" xfId="3" applyNumberFormat="1" applyFont="1" applyBorder="1" applyAlignment="1">
      <alignment horizontal="center" vertical="center"/>
    </xf>
    <xf numFmtId="166" fontId="40" fillId="0" borderId="59" xfId="3" applyNumberFormat="1" applyFont="1" applyBorder="1" applyAlignment="1">
      <alignment horizontal="center" vertical="center"/>
    </xf>
    <xf numFmtId="166" fontId="40" fillId="0" borderId="60" xfId="3" applyNumberFormat="1" applyFont="1" applyBorder="1" applyAlignment="1">
      <alignment horizontal="center" vertical="center"/>
    </xf>
    <xf numFmtId="0" fontId="39" fillId="0" borderId="28" xfId="3" applyNumberFormat="1" applyFont="1" applyBorder="1" applyAlignment="1">
      <alignment vertical="center"/>
    </xf>
    <xf numFmtId="166" fontId="41" fillId="2" borderId="54" xfId="3" applyNumberFormat="1" applyFont="1" applyFill="1" applyBorder="1" applyAlignment="1">
      <alignment horizontal="center" vertical="center"/>
    </xf>
    <xf numFmtId="0" fontId="10" fillId="2" borderId="55" xfId="3" applyNumberFormat="1" applyFont="1" applyFill="1" applyBorder="1" applyAlignment="1">
      <alignment horizontal="center" vertical="center"/>
    </xf>
    <xf numFmtId="0" fontId="10" fillId="2" borderId="10" xfId="3" applyNumberFormat="1" applyFont="1" applyFill="1" applyBorder="1" applyAlignment="1">
      <alignment horizontal="center" vertical="center"/>
    </xf>
    <xf numFmtId="0" fontId="40" fillId="0" borderId="59" xfId="3" applyNumberFormat="1" applyFont="1" applyBorder="1" applyAlignment="1">
      <alignment horizontal="left" vertical="center"/>
    </xf>
    <xf numFmtId="0" fontId="40" fillId="0" borderId="60" xfId="3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 indent="1"/>
    </xf>
    <xf numFmtId="0" fontId="29" fillId="0" borderId="0" xfId="4" applyFont="1" applyAlignment="1">
      <alignment horizontal="left" vertical="center" indent="1"/>
    </xf>
    <xf numFmtId="0" fontId="16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20" fillId="0" borderId="0" xfId="4" applyFont="1" applyAlignment="1">
      <alignment horizontal="center" vertical="center"/>
    </xf>
    <xf numFmtId="0" fontId="27" fillId="4" borderId="31" xfId="4" applyFont="1" applyFill="1" applyBorder="1" applyAlignment="1">
      <alignment horizontal="center" vertical="center"/>
    </xf>
    <xf numFmtId="0" fontId="27" fillId="4" borderId="32" xfId="4" applyFont="1" applyFill="1" applyBorder="1" applyAlignment="1">
      <alignment horizontal="center" vertical="center"/>
    </xf>
    <xf numFmtId="0" fontId="18" fillId="0" borderId="34" xfId="4" applyFont="1" applyBorder="1" applyAlignment="1">
      <alignment horizontal="left" vertical="center" indent="3"/>
    </xf>
    <xf numFmtId="0" fontId="18" fillId="0" borderId="0" xfId="4" applyFont="1" applyAlignment="1">
      <alignment horizontal="left" vertical="center" indent="3"/>
    </xf>
    <xf numFmtId="0" fontId="18" fillId="0" borderId="34" xfId="4" applyFont="1" applyBorder="1" applyAlignment="1">
      <alignment horizontal="left" vertical="center" indent="1"/>
    </xf>
    <xf numFmtId="0" fontId="18" fillId="0" borderId="0" xfId="4" applyFont="1" applyAlignment="1">
      <alignment horizontal="left" vertical="center" indent="1"/>
    </xf>
    <xf numFmtId="0" fontId="18" fillId="0" borderId="34" xfId="4" applyFont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8" fillId="0" borderId="34" xfId="4" applyFont="1" applyBorder="1" applyAlignment="1">
      <alignment horizontal="left" vertical="center" indent="2"/>
    </xf>
    <xf numFmtId="0" fontId="18" fillId="0" borderId="0" xfId="4" applyFont="1" applyAlignment="1">
      <alignment horizontal="left" vertical="center" indent="2"/>
    </xf>
    <xf numFmtId="0" fontId="33" fillId="0" borderId="34" xfId="4" applyFont="1" applyBorder="1" applyAlignment="1">
      <alignment horizontal="left" vertical="center" indent="1"/>
    </xf>
    <xf numFmtId="0" fontId="33" fillId="0" borderId="0" xfId="4" applyFont="1" applyAlignment="1">
      <alignment horizontal="left" vertical="center" indent="1"/>
    </xf>
    <xf numFmtId="0" fontId="34" fillId="0" borderId="36" xfId="4" applyFont="1" applyBorder="1" applyAlignment="1">
      <alignment horizontal="left" vertical="center" indent="1"/>
    </xf>
    <xf numFmtId="0" fontId="34" fillId="0" borderId="37" xfId="4" applyFont="1" applyBorder="1" applyAlignment="1">
      <alignment horizontal="left" vertical="center" indent="1"/>
    </xf>
    <xf numFmtId="43" fontId="33" fillId="0" borderId="47" xfId="4" applyNumberFormat="1" applyFont="1" applyBorder="1" applyAlignment="1">
      <alignment horizontal="right" vertical="center"/>
    </xf>
    <xf numFmtId="43" fontId="33" fillId="0" borderId="48" xfId="4" applyNumberFormat="1" applyFont="1" applyBorder="1" applyAlignment="1">
      <alignment horizontal="right" vertical="center"/>
    </xf>
    <xf numFmtId="0" fontId="33" fillId="5" borderId="0" xfId="4" applyFont="1" applyFill="1" applyAlignment="1">
      <alignment horizontal="center"/>
    </xf>
    <xf numFmtId="164" fontId="15" fillId="6" borderId="0" xfId="4" applyNumberFormat="1" applyFont="1" applyFill="1" applyAlignment="1">
      <alignment horizontal="left" vertical="center" wrapText="1" indent="2"/>
    </xf>
    <xf numFmtId="164" fontId="15" fillId="6" borderId="50" xfId="4" applyNumberFormat="1" applyFont="1" applyFill="1" applyBorder="1" applyAlignment="1">
      <alignment horizontal="left" vertical="center" wrapText="1" indent="2"/>
    </xf>
    <xf numFmtId="164" fontId="15" fillId="6" borderId="51" xfId="4" applyNumberFormat="1" applyFont="1" applyFill="1" applyBorder="1" applyAlignment="1">
      <alignment horizontal="left" vertical="center" wrapText="1" indent="2"/>
    </xf>
    <xf numFmtId="43" fontId="36" fillId="0" borderId="42" xfId="4" applyNumberFormat="1" applyFont="1" applyBorder="1" applyAlignment="1">
      <alignment horizontal="right" vertical="center"/>
    </xf>
    <xf numFmtId="43" fontId="36" fillId="0" borderId="0" xfId="4" applyNumberFormat="1" applyFont="1" applyAlignment="1">
      <alignment horizontal="right" vertical="center"/>
    </xf>
    <xf numFmtId="40" fontId="36" fillId="0" borderId="44" xfId="4" applyNumberFormat="1" applyFont="1" applyBorder="1" applyAlignment="1">
      <alignment horizontal="right" vertical="center"/>
    </xf>
    <xf numFmtId="40" fontId="36" fillId="0" borderId="45" xfId="4" applyNumberFormat="1" applyFont="1" applyBorder="1" applyAlignment="1">
      <alignment horizontal="right" vertical="center"/>
    </xf>
    <xf numFmtId="43" fontId="33" fillId="0" borderId="42" xfId="4" applyNumberFormat="1" applyFont="1" applyBorder="1" applyAlignment="1">
      <alignment horizontal="right" vertical="center"/>
    </xf>
    <xf numFmtId="43" fontId="33" fillId="0" borderId="0" xfId="4" applyNumberFormat="1" applyFont="1" applyAlignment="1">
      <alignment horizontal="right" vertical="center"/>
    </xf>
    <xf numFmtId="43" fontId="33" fillId="0" borderId="42" xfId="4" applyNumberFormat="1" applyFont="1" applyBorder="1" applyAlignment="1">
      <alignment horizontal="right" vertical="center" indent="1"/>
    </xf>
    <xf numFmtId="43" fontId="33" fillId="0" borderId="0" xfId="4" applyNumberFormat="1" applyFont="1" applyAlignment="1">
      <alignment horizontal="right" vertical="center" indent="1"/>
    </xf>
    <xf numFmtId="43" fontId="36" fillId="0" borderId="39" xfId="4" applyNumberFormat="1" applyFont="1" applyBorder="1" applyAlignment="1">
      <alignment horizontal="right" vertical="center"/>
    </xf>
    <xf numFmtId="43" fontId="36" fillId="0" borderId="40" xfId="4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9" fillId="0" borderId="7" xfId="3" applyNumberFormat="1" applyFont="1" applyBorder="1" applyAlignment="1">
      <alignment horizontal="center" vertical="center" wrapText="1"/>
    </xf>
    <xf numFmtId="0" fontId="39" fillId="0" borderId="55" xfId="3" applyNumberFormat="1" applyFont="1" applyBorder="1" applyAlignment="1">
      <alignment horizontal="center" vertical="center" wrapText="1"/>
    </xf>
    <xf numFmtId="0" fontId="39" fillId="0" borderId="0" xfId="3" applyNumberFormat="1" applyFont="1" applyAlignment="1">
      <alignment horizontal="center" vertical="center"/>
    </xf>
    <xf numFmtId="0" fontId="39" fillId="0" borderId="6" xfId="3" applyNumberFormat="1" applyFont="1" applyBorder="1" applyAlignment="1">
      <alignment horizontal="center" vertical="center" wrapText="1"/>
    </xf>
    <xf numFmtId="0" fontId="39" fillId="0" borderId="54" xfId="3" applyNumberFormat="1" applyFont="1" applyBorder="1" applyAlignment="1">
      <alignment horizontal="center" vertical="center" wrapText="1"/>
    </xf>
    <xf numFmtId="0" fontId="39" fillId="0" borderId="26" xfId="3" applyNumberFormat="1" applyFont="1" applyBorder="1" applyAlignment="1">
      <alignment horizontal="center" vertical="center"/>
    </xf>
    <xf numFmtId="0" fontId="39" fillId="0" borderId="27" xfId="3" applyNumberFormat="1" applyFont="1" applyBorder="1" applyAlignment="1">
      <alignment horizontal="center" vertical="center"/>
    </xf>
    <xf numFmtId="0" fontId="39" fillId="0" borderId="28" xfId="3" applyNumberFormat="1" applyFont="1" applyBorder="1" applyAlignment="1">
      <alignment horizontal="center" vertical="center"/>
    </xf>
    <xf numFmtId="0" fontId="39" fillId="0" borderId="12" xfId="3" applyNumberFormat="1" applyFont="1" applyBorder="1" applyAlignment="1">
      <alignment horizontal="center" vertical="center" wrapText="1"/>
    </xf>
    <xf numFmtId="0" fontId="39" fillId="0" borderId="53" xfId="3" applyNumberFormat="1" applyFont="1" applyBorder="1" applyAlignment="1">
      <alignment horizontal="center" vertical="center" wrapText="1"/>
    </xf>
    <xf numFmtId="0" fontId="39" fillId="0" borderId="5" xfId="3" applyNumberFormat="1" applyFont="1" applyBorder="1" applyAlignment="1">
      <alignment horizontal="center" vertical="center" wrapText="1"/>
    </xf>
    <xf numFmtId="0" fontId="39" fillId="0" borderId="52" xfId="3" applyNumberFormat="1" applyFont="1" applyBorder="1" applyAlignment="1">
      <alignment horizontal="center" vertical="center" wrapText="1"/>
    </xf>
    <xf numFmtId="0" fontId="39" fillId="0" borderId="6" xfId="3" applyNumberFormat="1" applyFont="1" applyBorder="1" applyAlignment="1">
      <alignment horizontal="center" vertical="center"/>
    </xf>
    <xf numFmtId="0" fontId="39" fillId="0" borderId="54" xfId="3" applyNumberFormat="1" applyFont="1" applyBorder="1" applyAlignment="1">
      <alignment horizontal="center" vertical="center"/>
    </xf>
    <xf numFmtId="0" fontId="39" fillId="0" borderId="61" xfId="3" applyNumberFormat="1" applyFont="1" applyBorder="1" applyAlignment="1">
      <alignment horizontal="center" vertical="center" wrapText="1"/>
    </xf>
    <xf numFmtId="0" fontId="39" fillId="0" borderId="63" xfId="3" applyNumberFormat="1" applyFont="1" applyBorder="1" applyAlignment="1">
      <alignment horizontal="center" vertical="center" wrapText="1"/>
    </xf>
    <xf numFmtId="0" fontId="39" fillId="0" borderId="62" xfId="3" applyNumberFormat="1" applyFont="1" applyBorder="1" applyAlignment="1">
      <alignment horizontal="center" vertical="center" wrapText="1"/>
    </xf>
    <xf numFmtId="0" fontId="39" fillId="0" borderId="64" xfId="3" applyNumberFormat="1" applyFont="1" applyBorder="1" applyAlignment="1">
      <alignment horizontal="center" vertical="center" wrapText="1"/>
    </xf>
    <xf numFmtId="0" fontId="39" fillId="0" borderId="13" xfId="3" applyNumberFormat="1" applyFont="1" applyBorder="1" applyAlignment="1">
      <alignment horizontal="center" vertical="center" wrapText="1"/>
    </xf>
    <xf numFmtId="0" fontId="39" fillId="0" borderId="65" xfId="3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4" xr:uid="{4FD414F3-6E38-B64F-A2B8-B32407B17A92}"/>
    <cellStyle name="一般_Sheet1 2" xfId="2" xr:uid="{97932239-367E-4FB4-81AC-4750293905D5}"/>
    <cellStyle name="千分位 2" xfId="1" xr:uid="{7D91ED06-D3AA-4708-AD3B-7854A1F7D8E5}"/>
    <cellStyle name="常规 2" xfId="3" xr:uid="{A2487ADC-D49F-F54B-BD35-0440816CF932}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D2445806-358F-064E-9020-F63946F44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8F3-9674-CC4A-9DC9-EF8A4B32140F}">
  <dimension ref="A1:H43"/>
  <sheetViews>
    <sheetView tabSelected="1" topLeftCell="A23" zoomScale="150" zoomScaleNormal="150" workbookViewId="0">
      <selection activeCell="I31" sqref="I31"/>
    </sheetView>
  </sheetViews>
  <sheetFormatPr defaultColWidth="9.125" defaultRowHeight="10.5"/>
  <cols>
    <col min="1" max="1" width="15.375" style="31" customWidth="1"/>
    <col min="2" max="2" width="23.5" style="31" customWidth="1"/>
    <col min="3" max="3" width="5.5" style="31" customWidth="1"/>
    <col min="4" max="4" width="14" style="31" customWidth="1"/>
    <col min="5" max="5" width="14.125" style="31" customWidth="1"/>
    <col min="6" max="6" width="14.375" style="33" customWidth="1"/>
    <col min="7" max="7" width="9.125" style="33"/>
    <col min="8" max="8" width="9.125" style="31"/>
    <col min="9" max="9" width="9.125" style="31" customWidth="1"/>
    <col min="10" max="16384" width="9.125" style="31"/>
  </cols>
  <sheetData>
    <row r="1" spans="1:8" ht="18.95" customHeight="1">
      <c r="B1" s="128" t="s">
        <v>0</v>
      </c>
      <c r="C1" s="128"/>
      <c r="D1" s="128"/>
      <c r="E1" s="128"/>
      <c r="F1" s="128"/>
      <c r="G1" s="32"/>
      <c r="H1" s="33"/>
    </row>
    <row r="2" spans="1:8" ht="14.25" customHeight="1">
      <c r="B2" s="129" t="s">
        <v>1</v>
      </c>
      <c r="C2" s="129"/>
      <c r="D2" s="129"/>
      <c r="E2" s="129"/>
      <c r="F2" s="129"/>
      <c r="G2" s="32"/>
      <c r="H2" s="33"/>
    </row>
    <row r="3" spans="1:8" s="34" customFormat="1" ht="18" customHeight="1">
      <c r="B3" s="129" t="s">
        <v>2</v>
      </c>
      <c r="C3" s="129"/>
      <c r="D3" s="129"/>
      <c r="E3" s="129"/>
      <c r="F3" s="129"/>
      <c r="G3" s="32"/>
      <c r="H3" s="32"/>
    </row>
    <row r="4" spans="1:8" s="34" customFormat="1" ht="14.1" customHeight="1">
      <c r="G4" s="32"/>
      <c r="H4" s="32"/>
    </row>
    <row r="5" spans="1:8" s="34" customFormat="1" ht="32.1" customHeight="1">
      <c r="A5" s="130" t="s">
        <v>3</v>
      </c>
      <c r="B5" s="130"/>
      <c r="C5" s="130"/>
      <c r="D5" s="130"/>
      <c r="E5" s="130"/>
      <c r="F5" s="130"/>
      <c r="G5" s="32"/>
      <c r="H5" s="32"/>
    </row>
    <row r="6" spans="1:8" s="34" customFormat="1" ht="12" customHeight="1">
      <c r="A6" s="35"/>
      <c r="B6" s="35"/>
      <c r="C6" s="35"/>
      <c r="D6" s="35"/>
      <c r="E6" s="35"/>
      <c r="F6" s="35"/>
      <c r="G6" s="32"/>
      <c r="H6" s="32"/>
    </row>
    <row r="7" spans="1:8" s="34" customFormat="1" ht="12.95" customHeight="1">
      <c r="A7" s="36" t="s">
        <v>4</v>
      </c>
      <c r="B7" s="36"/>
      <c r="C7" s="36"/>
      <c r="D7" s="36"/>
      <c r="E7" s="36"/>
      <c r="G7" s="32"/>
      <c r="H7" s="32"/>
    </row>
    <row r="8" spans="1:8" s="41" customFormat="1" ht="12.95" customHeight="1">
      <c r="A8" s="37" t="s">
        <v>5</v>
      </c>
      <c r="B8" s="38" t="s">
        <v>6</v>
      </c>
      <c r="C8" s="39"/>
      <c r="D8" s="37" t="s">
        <v>7</v>
      </c>
      <c r="E8" s="37"/>
      <c r="F8" s="38" t="s">
        <v>8</v>
      </c>
      <c r="G8" s="40"/>
    </row>
    <row r="9" spans="1:8" s="41" customFormat="1" ht="12.95" customHeight="1">
      <c r="A9" s="37" t="s">
        <v>9</v>
      </c>
      <c r="B9" s="38" t="s">
        <v>10</v>
      </c>
      <c r="C9" s="42"/>
      <c r="D9" s="37" t="s">
        <v>11</v>
      </c>
      <c r="E9" s="37"/>
      <c r="F9" s="38" t="s">
        <v>12</v>
      </c>
      <c r="G9" s="40"/>
    </row>
    <row r="10" spans="1:8" s="34" customFormat="1" ht="24.95" customHeight="1">
      <c r="A10" s="37" t="s">
        <v>13</v>
      </c>
      <c r="B10" s="100" t="s">
        <v>14</v>
      </c>
      <c r="C10" s="42"/>
      <c r="D10" s="37" t="s">
        <v>15</v>
      </c>
      <c r="E10" s="37"/>
      <c r="F10" s="43">
        <f ca="1">TODAY()</f>
        <v>46183</v>
      </c>
      <c r="G10" s="32"/>
    </row>
    <row r="11" spans="1:8" s="41" customFormat="1" ht="12" customHeight="1">
      <c r="A11" s="44"/>
      <c r="B11" s="100"/>
      <c r="D11" s="37" t="s">
        <v>16</v>
      </c>
      <c r="E11" s="37"/>
      <c r="F11" s="43">
        <v>46161</v>
      </c>
      <c r="G11" s="40"/>
    </row>
    <row r="12" spans="1:8" s="34" customFormat="1" ht="12" customHeight="1">
      <c r="A12" s="45"/>
      <c r="B12" s="45"/>
      <c r="C12" s="45"/>
      <c r="D12" s="45"/>
      <c r="E12" s="46"/>
      <c r="G12" s="32"/>
    </row>
    <row r="13" spans="1:8" ht="11.1" thickBot="1"/>
    <row r="14" spans="1:8" s="50" customFormat="1" ht="27.95" customHeight="1">
      <c r="A14" s="131" t="s">
        <v>17</v>
      </c>
      <c r="B14" s="132"/>
      <c r="C14" s="132"/>
      <c r="D14" s="47"/>
      <c r="E14" s="47" t="str">
        <f>"Amount "&amp;China!C6</f>
        <v>Amount (RMB)</v>
      </c>
      <c r="F14" s="48" t="s">
        <v>18</v>
      </c>
      <c r="G14" s="49"/>
    </row>
    <row r="15" spans="1:8" s="55" customFormat="1" ht="15.95" customHeight="1">
      <c r="A15" s="126" t="s">
        <v>19</v>
      </c>
      <c r="B15" s="127"/>
      <c r="C15" s="127"/>
      <c r="D15" s="51"/>
      <c r="E15" s="52">
        <f>SUM(E16:E17)</f>
        <v>15410.95</v>
      </c>
      <c r="F15" s="53">
        <f>SUM(F16:F17)</f>
        <v>2331.4599092284416</v>
      </c>
      <c r="G15" s="54"/>
    </row>
    <row r="16" spans="1:8" s="60" customFormat="1" ht="12.95">
      <c r="A16" s="133" t="str">
        <f ca="1">"- Labor cost for "&amp;China!B9&amp;"  -  "&amp;MONTH(China!B2) &amp;"-"&amp; YEAR(China!B2)</f>
        <v>- Labor cost for 徐桂亮 Leon Xu  -  6-2026</v>
      </c>
      <c r="B16" s="134"/>
      <c r="C16" s="134"/>
      <c r="D16" s="56"/>
      <c r="E16" s="57">
        <f>China!K9+China!V9+China!AL9</f>
        <v>15410.95</v>
      </c>
      <c r="F16" s="58">
        <f>E16/$B$27</f>
        <v>2331.4599092284416</v>
      </c>
      <c r="G16" s="59"/>
    </row>
    <row r="17" spans="1:7" ht="12.95">
      <c r="A17" s="133" t="str">
        <f>"- "&amp;+"Expense claim for "&amp;China!B9</f>
        <v>- Expense claim for 徐桂亮 Leon Xu</v>
      </c>
      <c r="B17" s="134"/>
      <c r="C17" s="134"/>
      <c r="D17" s="56"/>
      <c r="E17" s="57">
        <f>China!AO9</f>
        <v>0</v>
      </c>
      <c r="F17" s="58">
        <f>E17/$B$27</f>
        <v>0</v>
      </c>
      <c r="G17" s="61"/>
    </row>
    <row r="18" spans="1:7" ht="12.95">
      <c r="A18" s="135"/>
      <c r="B18" s="136"/>
      <c r="C18" s="136"/>
      <c r="D18" s="62"/>
      <c r="E18" s="57"/>
      <c r="F18" s="58"/>
      <c r="G18" s="61"/>
    </row>
    <row r="19" spans="1:7" ht="12.95">
      <c r="A19" s="137"/>
      <c r="B19" s="138"/>
      <c r="C19" s="138"/>
      <c r="D19" s="63"/>
      <c r="E19" s="64"/>
      <c r="F19" s="58"/>
      <c r="G19" s="61"/>
    </row>
    <row r="20" spans="1:7" s="67" customFormat="1" ht="15.95" customHeight="1">
      <c r="A20" s="126" t="s">
        <v>20</v>
      </c>
      <c r="B20" s="127"/>
      <c r="C20" s="127"/>
      <c r="D20" s="51"/>
      <c r="E20" s="52">
        <f>SUM(E21:E22)</f>
        <v>2180.1855</v>
      </c>
      <c r="F20" s="65">
        <f>SUM(F21:F22)</f>
        <v>329.83139183055977</v>
      </c>
      <c r="G20" s="66"/>
    </row>
    <row r="21" spans="1:7" ht="12.95">
      <c r="A21" s="139" t="str">
        <f ca="1">"- "&amp;+"Management Fee - "&amp;MONTH(China!$B$2) &amp;"-"&amp; YEAR(China!$B$2)</f>
        <v>- Management Fee - 6-2026</v>
      </c>
      <c r="B21" s="140"/>
      <c r="C21" s="140"/>
      <c r="D21" s="68"/>
      <c r="E21" s="64">
        <f>China!G9</f>
        <v>2180.1855</v>
      </c>
      <c r="F21" s="58">
        <f>E21/$B$27</f>
        <v>329.83139183055977</v>
      </c>
      <c r="G21" s="61"/>
    </row>
    <row r="22" spans="1:7" ht="12.95">
      <c r="A22" s="139"/>
      <c r="B22" s="140"/>
      <c r="C22" s="140"/>
      <c r="D22" s="68"/>
      <c r="E22" s="64"/>
      <c r="F22" s="58"/>
      <c r="G22" s="61"/>
    </row>
    <row r="23" spans="1:7" ht="14.45">
      <c r="A23" s="141"/>
      <c r="B23" s="142"/>
      <c r="C23" s="142"/>
      <c r="D23" s="69"/>
      <c r="E23" s="70"/>
      <c r="F23" s="71"/>
      <c r="G23" s="61"/>
    </row>
    <row r="24" spans="1:7" s="55" customFormat="1" ht="15" thickBot="1">
      <c r="A24" s="143" t="s">
        <v>21</v>
      </c>
      <c r="B24" s="144"/>
      <c r="C24" s="144"/>
      <c r="D24" s="144"/>
      <c r="E24" s="72">
        <f>E15+E20</f>
        <v>17591.1355</v>
      </c>
      <c r="F24" s="73">
        <f>F15+F20</f>
        <v>2661.2913010590014</v>
      </c>
      <c r="G24" s="54"/>
    </row>
    <row r="25" spans="1:7" s="55" customFormat="1" ht="14.45">
      <c r="A25" s="74"/>
      <c r="B25" s="74"/>
      <c r="C25" s="75"/>
      <c r="D25" s="75"/>
      <c r="E25" s="76"/>
      <c r="F25" s="77"/>
      <c r="G25" s="54"/>
    </row>
    <row r="26" spans="1:7" s="55" customFormat="1" ht="15" thickBot="1">
      <c r="A26" s="78"/>
      <c r="B26" s="78"/>
      <c r="C26" s="78"/>
      <c r="D26" s="78"/>
      <c r="E26" s="76"/>
      <c r="F26" s="77"/>
      <c r="G26" s="54"/>
    </row>
    <row r="27" spans="1:7" ht="26.1">
      <c r="A27" s="79" t="str">
        <f>"*FX rate  USD:  "&amp;China!C6</f>
        <v>*FX rate  USD:  (RMB)</v>
      </c>
      <c r="B27" s="99">
        <v>6.61</v>
      </c>
      <c r="C27" s="76"/>
      <c r="D27" s="159" t="s">
        <v>22</v>
      </c>
      <c r="E27" s="160"/>
      <c r="F27" s="80">
        <f>F24</f>
        <v>2661.2913010590014</v>
      </c>
      <c r="G27" s="61"/>
    </row>
    <row r="28" spans="1:7" s="60" customFormat="1" ht="15.95" customHeight="1">
      <c r="A28" s="81"/>
      <c r="B28" s="81"/>
      <c r="C28" s="76"/>
      <c r="D28" s="151" t="s">
        <v>23</v>
      </c>
      <c r="E28" s="152"/>
      <c r="F28" s="82">
        <f>China!E22</f>
        <v>0</v>
      </c>
      <c r="G28" s="59"/>
    </row>
    <row r="29" spans="1:7" s="60" customFormat="1" ht="14.45">
      <c r="A29" s="81"/>
      <c r="B29" s="81"/>
      <c r="C29" s="76"/>
      <c r="D29" s="151" t="s">
        <v>24</v>
      </c>
      <c r="E29" s="152"/>
      <c r="F29" s="82">
        <f>China!E23</f>
        <v>0</v>
      </c>
      <c r="G29" s="59"/>
    </row>
    <row r="30" spans="1:7" ht="14.45">
      <c r="A30" s="81"/>
      <c r="B30" s="81"/>
      <c r="C30" s="76"/>
      <c r="D30" s="151" t="s">
        <v>25</v>
      </c>
      <c r="E30" s="152"/>
      <c r="F30" s="82">
        <f>China!E24</f>
        <v>0</v>
      </c>
      <c r="G30" s="61"/>
    </row>
    <row r="31" spans="1:7" ht="15" thickBot="1">
      <c r="A31" s="81"/>
      <c r="B31" s="81"/>
      <c r="C31" s="83"/>
      <c r="D31" s="153" t="s">
        <v>26</v>
      </c>
      <c r="E31" s="154"/>
      <c r="F31" s="84">
        <f>China!E25</f>
        <v>10</v>
      </c>
      <c r="G31" s="61"/>
    </row>
    <row r="32" spans="1:7" ht="14.45">
      <c r="A32" s="81"/>
      <c r="B32" s="81"/>
      <c r="C32" s="76"/>
      <c r="D32" s="155" t="s">
        <v>27</v>
      </c>
      <c r="E32" s="156"/>
      <c r="F32" s="85">
        <f>SUM(F27:F31)</f>
        <v>2671.2913010590014</v>
      </c>
      <c r="G32" s="61"/>
    </row>
    <row r="33" spans="1:8" ht="14.45">
      <c r="A33" s="81"/>
      <c r="B33" s="81"/>
      <c r="C33" s="76"/>
      <c r="D33" s="157" t="s">
        <v>28</v>
      </c>
      <c r="E33" s="158"/>
      <c r="F33" s="85">
        <f>China!F6/$B$27</f>
        <v>180.1694210816944</v>
      </c>
      <c r="G33" s="61"/>
    </row>
    <row r="34" spans="1:8" ht="15" thickBot="1">
      <c r="A34" s="86"/>
      <c r="B34" s="86"/>
      <c r="C34" s="76"/>
      <c r="D34" s="145" t="s">
        <v>29</v>
      </c>
      <c r="E34" s="146"/>
      <c r="F34" s="87">
        <f>SUM(F32:F33)</f>
        <v>2851.4607221406959</v>
      </c>
      <c r="G34" s="61"/>
      <c r="H34" s="88"/>
    </row>
    <row r="35" spans="1:8" ht="14.45">
      <c r="A35" s="69"/>
      <c r="B35" s="69"/>
      <c r="C35" s="69"/>
      <c r="D35" s="69"/>
      <c r="E35" s="83"/>
      <c r="F35" s="83"/>
      <c r="G35" s="61"/>
    </row>
    <row r="36" spans="1:8" ht="14.45">
      <c r="A36" s="69"/>
      <c r="B36" s="69"/>
      <c r="C36" s="69"/>
      <c r="D36" s="69"/>
      <c r="E36" s="83"/>
      <c r="F36" s="83"/>
      <c r="G36" s="61"/>
    </row>
    <row r="37" spans="1:8">
      <c r="G37" s="61"/>
    </row>
    <row r="38" spans="1:8" ht="18.95" customHeight="1">
      <c r="A38" s="147" t="s">
        <v>30</v>
      </c>
      <c r="B38" s="147"/>
      <c r="C38" s="147"/>
      <c r="D38" s="147"/>
      <c r="E38" s="147"/>
      <c r="F38" s="147"/>
    </row>
    <row r="39" spans="1:8" ht="60.95" customHeight="1">
      <c r="A39" s="148" t="s">
        <v>31</v>
      </c>
      <c r="B39" s="148"/>
      <c r="C39" s="149"/>
      <c r="D39" s="150" t="s">
        <v>32</v>
      </c>
      <c r="E39" s="148"/>
      <c r="F39" s="148"/>
    </row>
    <row r="40" spans="1:8">
      <c r="A40" s="31" t="s">
        <v>33</v>
      </c>
    </row>
    <row r="41" spans="1:8" ht="11.1" customHeight="1">
      <c r="A41" s="55" t="s">
        <v>34</v>
      </c>
      <c r="B41" s="55"/>
      <c r="C41" s="55"/>
      <c r="D41" s="55"/>
      <c r="E41" s="55"/>
      <c r="F41" s="55"/>
    </row>
    <row r="42" spans="1:8">
      <c r="A42" s="55" t="s">
        <v>35</v>
      </c>
    </row>
    <row r="43" spans="1:8">
      <c r="A43" s="55" t="s">
        <v>36</v>
      </c>
    </row>
  </sheetData>
  <mergeCells count="26">
    <mergeCell ref="A39:C39"/>
    <mergeCell ref="D39:F39"/>
    <mergeCell ref="A22:C22"/>
    <mergeCell ref="D28:E28"/>
    <mergeCell ref="D29:E29"/>
    <mergeCell ref="D30:E30"/>
    <mergeCell ref="D31:E31"/>
    <mergeCell ref="D32:E32"/>
    <mergeCell ref="D33:E33"/>
    <mergeCell ref="D27:E27"/>
    <mergeCell ref="A21:C21"/>
    <mergeCell ref="A23:C23"/>
    <mergeCell ref="A24:D24"/>
    <mergeCell ref="D34:E34"/>
    <mergeCell ref="A38:F38"/>
    <mergeCell ref="A20:C20"/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AR26"/>
  <sheetViews>
    <sheetView zoomScaleNormal="120" workbookViewId="0">
      <pane xSplit="3" ySplit="4" topLeftCell="D5" activePane="bottomRight" state="frozen"/>
      <selection pane="bottomRight" activeCell="L25" sqref="L25"/>
      <selection pane="bottomLeft" activeCell="A5" sqref="A5"/>
      <selection pane="topRight" activeCell="D1" sqref="D1"/>
    </sheetView>
  </sheetViews>
  <sheetFormatPr defaultColWidth="9.125" defaultRowHeight="12.95"/>
  <cols>
    <col min="1" max="1" width="8.875" style="1" bestFit="1" customWidth="1"/>
    <col min="2" max="2" width="18" style="2" bestFit="1" customWidth="1"/>
    <col min="3" max="3" width="15.625" style="2" bestFit="1" customWidth="1"/>
    <col min="4" max="4" width="7.5" style="2" customWidth="1"/>
    <col min="5" max="5" width="8.375" style="2" bestFit="1" customWidth="1"/>
    <col min="6" max="8" width="7.5" style="2" bestFit="1" customWidth="1"/>
    <col min="9" max="9" width="6.625" style="2" bestFit="1" customWidth="1"/>
    <col min="10" max="10" width="6.375" style="2" bestFit="1" customWidth="1"/>
    <col min="11" max="12" width="8.375" style="2" bestFit="1" customWidth="1"/>
    <col min="13" max="13" width="7.875" style="2" bestFit="1" customWidth="1"/>
    <col min="14" max="14" width="5.875" style="2" bestFit="1" customWidth="1"/>
    <col min="15" max="15" width="4.875" style="2" bestFit="1" customWidth="1"/>
    <col min="16" max="20" width="7.875" style="2" bestFit="1" customWidth="1"/>
    <col min="21" max="21" width="6.125" style="2" bestFit="1" customWidth="1"/>
    <col min="22" max="22" width="8.375" style="2" bestFit="1" customWidth="1"/>
    <col min="23" max="24" width="7.125" style="2" bestFit="1" customWidth="1"/>
    <col min="25" max="25" width="7.5" style="2" bestFit="1" customWidth="1"/>
    <col min="26" max="26" width="6.125" style="2" bestFit="1" customWidth="1"/>
    <col min="27" max="27" width="7.875" style="2" bestFit="1" customWidth="1"/>
    <col min="28" max="28" width="6.125" style="2" bestFit="1" customWidth="1"/>
    <col min="29" max="29" width="7.125" style="2" bestFit="1" customWidth="1"/>
    <col min="30" max="30" width="6.125" style="2" bestFit="1" customWidth="1"/>
    <col min="31" max="32" width="7.875" style="2" bestFit="1" customWidth="1"/>
    <col min="33" max="33" width="6.25" style="2" customWidth="1"/>
    <col min="34" max="34" width="4.625" style="2" bestFit="1" customWidth="1"/>
    <col min="35" max="35" width="7.875" style="2" bestFit="1" customWidth="1"/>
    <col min="36" max="36" width="9.5" style="2" bestFit="1" customWidth="1"/>
    <col min="37" max="37" width="11.125" style="2" bestFit="1" customWidth="1"/>
    <col min="38" max="38" width="6.625" style="2" bestFit="1" customWidth="1"/>
    <col min="39" max="40" width="7.875" style="2" bestFit="1" customWidth="1"/>
    <col min="41" max="41" width="6.625" style="2" bestFit="1" customWidth="1"/>
    <col min="42" max="42" width="6.875" style="2" customWidth="1"/>
    <col min="43" max="43" width="7" style="2" bestFit="1" customWidth="1"/>
    <col min="44" max="44" width="8.875" style="2" bestFit="1" customWidth="1"/>
    <col min="45" max="16384" width="9.125" style="2"/>
  </cols>
  <sheetData>
    <row r="1" spans="1:44" ht="13.5" thickBot="1">
      <c r="A1" s="1" t="e">
        <f ca="1">MID(CELL("filename",A1),FIND("]",CELL("filename",A1))+1,256)</f>
        <v>#VALUE!</v>
      </c>
    </row>
    <row r="2" spans="1:44" ht="13.5" thickBot="1">
      <c r="A2" s="3" t="s">
        <v>37</v>
      </c>
      <c r="B2" s="89">
        <f ca="1">EOMONTH(TODAY(),-1)+1</f>
        <v>46174</v>
      </c>
      <c r="C2" s="89">
        <f ca="1">EOMONTH(TODAY(),0)</f>
        <v>46203</v>
      </c>
      <c r="E2" s="5" t="s">
        <v>38</v>
      </c>
    </row>
    <row r="3" spans="1:44" s="6" customFormat="1" ht="12.95" customHeight="1">
      <c r="A3" s="3"/>
      <c r="B3" s="4"/>
      <c r="E3" s="161" t="s">
        <v>39</v>
      </c>
      <c r="F3" s="166" t="s">
        <v>40</v>
      </c>
      <c r="G3" s="171" t="s">
        <v>41</v>
      </c>
      <c r="H3" s="172"/>
      <c r="I3" s="172"/>
      <c r="J3" s="173"/>
      <c r="K3" s="168" t="s">
        <v>42</v>
      </c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30"/>
      <c r="W3" s="168" t="s">
        <v>43</v>
      </c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70"/>
      <c r="AL3" s="168" t="s">
        <v>44</v>
      </c>
      <c r="AM3" s="169"/>
      <c r="AN3" s="170"/>
      <c r="AO3" s="165" t="s">
        <v>45</v>
      </c>
      <c r="AP3" s="165"/>
      <c r="AQ3" s="165"/>
      <c r="AR3" s="163" t="s">
        <v>46</v>
      </c>
    </row>
    <row r="4" spans="1:44" s="6" customFormat="1" ht="91.5" thickBot="1">
      <c r="E4" s="162"/>
      <c r="F4" s="167"/>
      <c r="G4" s="26" t="s">
        <v>47</v>
      </c>
      <c r="H4" s="7" t="s">
        <v>48</v>
      </c>
      <c r="I4" s="7" t="s">
        <v>49</v>
      </c>
      <c r="J4" s="7" t="s">
        <v>50</v>
      </c>
      <c r="K4" s="26" t="s">
        <v>47</v>
      </c>
      <c r="L4" s="7" t="str" cm="1">
        <f t="array" ref="L4:L5">'China-L (2)'!F3:F4</f>
        <v>Net Income
员工实得</v>
      </c>
      <c r="M4" s="7" t="str">
        <f>'China-L (2)'!I4</f>
        <v>Pension
养老-个人</v>
      </c>
      <c r="N4" s="7" t="str">
        <f>'China-L (2)'!J4</f>
        <v>Medical
医疗-个人</v>
      </c>
      <c r="O4" s="7" t="str">
        <f>'China-L (2)'!K4</f>
        <v>Unemployment
失业-个人</v>
      </c>
      <c r="P4" s="7" t="str">
        <f>'China-L (2)'!L4</f>
        <v>Housing Fund
公积金-个人</v>
      </c>
      <c r="Q4" s="7" t="str">
        <f>'China-L (2)'!M4</f>
        <v>Annuity
年金-个人</v>
      </c>
      <c r="R4" s="7" t="str">
        <f>'China-L (2)'!N4</f>
        <v>SB Adj-EE
社保补差-个人</v>
      </c>
      <c r="S4" s="7" t="str">
        <f>'China-L (2)'!O4</f>
        <v>PHF Adj-EE
公积金补差-个人</v>
      </c>
      <c r="T4" s="7" t="str">
        <f>'China-L (2)'!P4</f>
        <v>Union Fee
工会费-个人</v>
      </c>
      <c r="U4" s="7" t="str">
        <f>'China-L (2)'!Q4</f>
        <v>IIT Total
个税合计</v>
      </c>
      <c r="V4" s="26" t="s">
        <v>47</v>
      </c>
      <c r="W4" s="7" t="str">
        <f>'China-L (2)'!R4</f>
        <v>Pension
养老-公司</v>
      </c>
      <c r="X4" s="7" t="str">
        <f>'China-L (2)'!S4</f>
        <v>Medical
医疗-公司</v>
      </c>
      <c r="Y4" s="7" t="str">
        <f>'China-L (2)'!T4</f>
        <v>Unemployment
失业-公司</v>
      </c>
      <c r="Z4" s="7" t="str">
        <f>'China-L (2)'!U4</f>
        <v>Maternity
生育-公司</v>
      </c>
      <c r="AA4" s="7" t="str">
        <f>'China-L (2)'!V4</f>
        <v>Work-Related-Injury
工伤</v>
      </c>
      <c r="AB4" s="7" t="str">
        <f>'China-L (2)'!W4</f>
        <v>Disability
残保金</v>
      </c>
      <c r="AC4" s="7" t="str">
        <f>'China-L (2)'!X4</f>
        <v>Housing Fund
公积金-公司</v>
      </c>
      <c r="AD4" s="7" t="str">
        <f>'China-L (2)'!Y4</f>
        <v>Heating Fee
取暖费</v>
      </c>
      <c r="AE4" s="7" t="str">
        <f>'China-L (2)'!Z4</f>
        <v>SB Adj-Com
社保补差-公司</v>
      </c>
      <c r="AF4" s="7" t="str">
        <f>'China-L (2)'!AA4</f>
        <v>PHF Adj-Com
公积金补差-公司</v>
      </c>
      <c r="AG4" s="7" t="str">
        <f>'China-L (2)'!AB4</f>
        <v>CD Adj-Com
残保金补差-公司</v>
      </c>
      <c r="AH4" s="7" t="str">
        <f>'China-L (2)'!AC4</f>
        <v>Annuity
年金-公司</v>
      </c>
      <c r="AI4" s="7" t="str">
        <f>'China-L (2)'!AD4</f>
        <v>Union Fee
工会费-公司</v>
      </c>
      <c r="AJ4" s="7" t="str">
        <f>'China-L (2)'!AE4</f>
        <v>Commercial Insurance
商业保险</v>
      </c>
      <c r="AK4" s="7" t="str">
        <f>'China-L (2)'!AH4</f>
        <v>Employer Liability Insurance
雇主责任险</v>
      </c>
      <c r="AL4" s="26" t="s">
        <v>47</v>
      </c>
      <c r="AM4" s="7" t="s">
        <v>51</v>
      </c>
      <c r="AN4" s="7" t="s">
        <v>52</v>
      </c>
      <c r="AO4" s="26" t="s">
        <v>47</v>
      </c>
      <c r="AP4" s="125" t="str" cm="1">
        <f t="array" ref="AP4:AP5">'China-L'!AC3:AC4</f>
        <v>Expense
报销款</v>
      </c>
      <c r="AQ4" s="7" t="str">
        <f>'China-L (2)'!AF4</f>
        <v>Business Tax for Expense
报销款税额</v>
      </c>
      <c r="AR4" s="164"/>
    </row>
    <row r="5" spans="1:44" s="6" customFormat="1" ht="13.5" thickBot="1">
      <c r="A5" s="1"/>
      <c r="E5" s="8"/>
      <c r="F5" s="9"/>
      <c r="G5" s="9"/>
      <c r="H5" s="9"/>
      <c r="I5" s="9"/>
      <c r="J5" s="9"/>
      <c r="K5" s="9"/>
      <c r="L5" s="9">
        <v>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>
        <v>0</v>
      </c>
      <c r="AQ5" s="9"/>
      <c r="AR5" s="10"/>
    </row>
    <row r="6" spans="1:44" s="12" customFormat="1">
      <c r="A6" s="11"/>
      <c r="B6" s="12" t="s">
        <v>39</v>
      </c>
      <c r="C6" s="12" t="s">
        <v>53</v>
      </c>
      <c r="E6" s="16">
        <f>SUM(E9:E18)</f>
        <v>18782.055373349998</v>
      </c>
      <c r="F6" s="17">
        <f t="shared" ref="F6:AR6" si="0">SUM(F9:F18)</f>
        <v>1190.91987335</v>
      </c>
      <c r="G6" s="17">
        <f>SUM(G9:G18)</f>
        <v>2180.1855</v>
      </c>
      <c r="H6" s="17">
        <f t="shared" ref="H6:AQ6" si="1">SUM(H9:H18)</f>
        <v>1386.9855</v>
      </c>
      <c r="I6" s="17">
        <f t="shared" si="1"/>
        <v>0</v>
      </c>
      <c r="J6" s="17">
        <f t="shared" si="1"/>
        <v>793.2</v>
      </c>
      <c r="K6" s="17">
        <f t="shared" si="1"/>
        <v>10344.83</v>
      </c>
      <c r="L6" s="17">
        <f t="shared" si="1"/>
        <v>7672.59</v>
      </c>
      <c r="M6" s="17">
        <f t="shared" si="1"/>
        <v>1200</v>
      </c>
      <c r="N6" s="17">
        <f t="shared" si="1"/>
        <v>300</v>
      </c>
      <c r="O6" s="17">
        <f t="shared" si="1"/>
        <v>30</v>
      </c>
      <c r="P6" s="17">
        <f t="shared" si="1"/>
        <v>1050</v>
      </c>
      <c r="Q6" s="17">
        <f t="shared" si="1"/>
        <v>0</v>
      </c>
      <c r="R6" s="17">
        <f t="shared" si="1"/>
        <v>0</v>
      </c>
      <c r="S6" s="17">
        <f t="shared" si="1"/>
        <v>0</v>
      </c>
      <c r="T6" s="17">
        <f t="shared" si="1"/>
        <v>0</v>
      </c>
      <c r="U6" s="17">
        <f t="shared" si="1"/>
        <v>92.24</v>
      </c>
      <c r="V6" s="17">
        <f t="shared" ref="V6" si="2">SUM(V9:V18)</f>
        <v>5066.12</v>
      </c>
      <c r="W6" s="17">
        <f t="shared" si="1"/>
        <v>2400</v>
      </c>
      <c r="X6" s="17">
        <f t="shared" si="1"/>
        <v>1027.5</v>
      </c>
      <c r="Y6" s="17">
        <f t="shared" si="1"/>
        <v>120</v>
      </c>
      <c r="Z6" s="17">
        <f t="shared" si="1"/>
        <v>0</v>
      </c>
      <c r="AA6" s="17">
        <f t="shared" si="1"/>
        <v>60</v>
      </c>
      <c r="AB6" s="17">
        <f t="shared" si="1"/>
        <v>98.62</v>
      </c>
      <c r="AC6" s="17">
        <f t="shared" si="1"/>
        <v>1050</v>
      </c>
      <c r="AD6" s="17">
        <f t="shared" si="1"/>
        <v>0</v>
      </c>
      <c r="AE6" s="17">
        <f t="shared" si="1"/>
        <v>0</v>
      </c>
      <c r="AF6" s="17">
        <f t="shared" si="1"/>
        <v>0</v>
      </c>
      <c r="AG6" s="17">
        <f t="shared" si="1"/>
        <v>0</v>
      </c>
      <c r="AH6" s="17">
        <f t="shared" si="1"/>
        <v>0</v>
      </c>
      <c r="AI6" s="17">
        <f t="shared" si="1"/>
        <v>0</v>
      </c>
      <c r="AJ6" s="17">
        <f t="shared" si="1"/>
        <v>310</v>
      </c>
      <c r="AK6" s="17">
        <f t="shared" si="1"/>
        <v>0</v>
      </c>
      <c r="AL6" s="17">
        <f t="shared" si="1"/>
        <v>0</v>
      </c>
      <c r="AM6" s="17">
        <f t="shared" si="1"/>
        <v>0</v>
      </c>
      <c r="AN6" s="17">
        <f t="shared" si="1"/>
        <v>0</v>
      </c>
      <c r="AO6" s="17">
        <f t="shared" si="1"/>
        <v>0</v>
      </c>
      <c r="AP6" s="17">
        <f t="shared" si="1"/>
        <v>0</v>
      </c>
      <c r="AQ6" s="17">
        <f t="shared" si="1"/>
        <v>0</v>
      </c>
      <c r="AR6" s="18">
        <f t="shared" si="0"/>
        <v>0</v>
      </c>
    </row>
    <row r="7" spans="1:44" s="12" customFormat="1">
      <c r="A7" s="19"/>
      <c r="B7" s="20"/>
      <c r="C7" s="20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8"/>
    </row>
    <row r="8" spans="1:44" s="12" customFormat="1">
      <c r="A8" s="19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8"/>
    </row>
    <row r="9" spans="1:44" s="12" customFormat="1">
      <c r="A9" s="11"/>
      <c r="B9" s="12" t="str">
        <f>'China EE'!E10</f>
        <v>徐桂亮 Leon Xu</v>
      </c>
      <c r="C9" s="20" t="s">
        <v>54</v>
      </c>
      <c r="E9" s="16">
        <f>F9+G9+K9+V9+AL9+AO9</f>
        <v>18782.055373349998</v>
      </c>
      <c r="F9" s="17">
        <f>(K9+V9+AL9+AO9+G9)*6.77%</f>
        <v>1190.91987335</v>
      </c>
      <c r="G9" s="17">
        <f>SUM(H9:J9)</f>
        <v>2180.1855</v>
      </c>
      <c r="H9" s="17">
        <f>MIN(MAX(150*PN!B27,9%*(K9+V9+AL9+AO9)),1000*PN!B27)</f>
        <v>1386.9855</v>
      </c>
      <c r="I9" s="17">
        <f>50*PN!$B$27*0</f>
        <v>0</v>
      </c>
      <c r="J9" s="17">
        <f>120*PN!B27</f>
        <v>793.2</v>
      </c>
      <c r="K9" s="17">
        <f>SUM(L9:U9)</f>
        <v>10344.83</v>
      </c>
      <c r="L9" s="17">
        <f>'China-L (2)'!F5</f>
        <v>7672.59</v>
      </c>
      <c r="M9" s="17">
        <f>'China-L (2)'!I5</f>
        <v>1200</v>
      </c>
      <c r="N9" s="17">
        <f>'China-L (2)'!J5</f>
        <v>300</v>
      </c>
      <c r="O9" s="17">
        <f>'China-L (2)'!K5</f>
        <v>30</v>
      </c>
      <c r="P9" s="17">
        <f>'China-L (2)'!L5</f>
        <v>1050</v>
      </c>
      <c r="Q9" s="17">
        <f>'China-L (2)'!M5</f>
        <v>0</v>
      </c>
      <c r="R9" s="17">
        <f>'China-L (2)'!N5</f>
        <v>0</v>
      </c>
      <c r="S9" s="17">
        <f>'China-L (2)'!O5</f>
        <v>0</v>
      </c>
      <c r="T9" s="17">
        <f>'China-L (2)'!P5</f>
        <v>0</v>
      </c>
      <c r="U9" s="17">
        <f>'China-L (2)'!Q5</f>
        <v>92.24</v>
      </c>
      <c r="V9" s="17">
        <f>SUM(W9:AK9)</f>
        <v>5066.12</v>
      </c>
      <c r="W9" s="17">
        <f>'China-L (2)'!R5</f>
        <v>2400</v>
      </c>
      <c r="X9" s="17">
        <f>'China-L (2)'!S5</f>
        <v>1027.5</v>
      </c>
      <c r="Y9" s="17">
        <f>'China-L (2)'!T5</f>
        <v>120</v>
      </c>
      <c r="Z9" s="17">
        <f>'China-L (2)'!U5</f>
        <v>0</v>
      </c>
      <c r="AA9" s="17">
        <f>'China-L (2)'!V5</f>
        <v>60</v>
      </c>
      <c r="AB9" s="17">
        <f>'China-L (2)'!W5</f>
        <v>98.62</v>
      </c>
      <c r="AC9" s="17">
        <f>'China-L (2)'!X5</f>
        <v>1050</v>
      </c>
      <c r="AD9" s="17">
        <f>'China-L (2)'!Y5</f>
        <v>0</v>
      </c>
      <c r="AE9" s="17">
        <f>'China-L (2)'!Z5</f>
        <v>0</v>
      </c>
      <c r="AF9" s="17">
        <f>'China-L (2)'!AA5</f>
        <v>0</v>
      </c>
      <c r="AG9" s="17">
        <f>'China-L (2)'!AB5</f>
        <v>0</v>
      </c>
      <c r="AH9" s="17">
        <f>'China-L (2)'!AC5</f>
        <v>0</v>
      </c>
      <c r="AI9" s="17">
        <f>'China-L (2)'!AD5</f>
        <v>0</v>
      </c>
      <c r="AJ9" s="17">
        <f>'China-L (2)'!AE5</f>
        <v>310</v>
      </c>
      <c r="AK9" s="17">
        <f>'China-L (2)'!AH5</f>
        <v>0</v>
      </c>
      <c r="AL9" s="17">
        <f>SUM(AM9:AN9)</f>
        <v>0</v>
      </c>
      <c r="AM9" s="17">
        <v>0</v>
      </c>
      <c r="AN9" s="17">
        <f>'China-L (2)'!Q5-'China-L'!AA5</f>
        <v>0</v>
      </c>
      <c r="AO9" s="17">
        <f>SUM(AP9:AQ9)</f>
        <v>0</v>
      </c>
      <c r="AP9" s="17">
        <f>'China-L'!AC5</f>
        <v>0</v>
      </c>
      <c r="AQ9" s="17">
        <f>'China-L (2)'!AF5</f>
        <v>0</v>
      </c>
      <c r="AR9" s="18">
        <v>0</v>
      </c>
    </row>
    <row r="10" spans="1:44" s="12" customFormat="1">
      <c r="A10" s="11"/>
      <c r="C10" s="20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8"/>
    </row>
    <row r="11" spans="1:44" s="12" customFormat="1">
      <c r="A11" s="1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8"/>
    </row>
    <row r="12" spans="1:44" s="12" customFormat="1">
      <c r="A12" s="1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8"/>
    </row>
    <row r="13" spans="1:44" s="12" customFormat="1">
      <c r="A13" s="11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8"/>
    </row>
    <row r="14" spans="1:44" s="12" customFormat="1">
      <c r="A14" s="11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8"/>
    </row>
    <row r="15" spans="1:44" s="12" customFormat="1">
      <c r="A15" s="11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8"/>
    </row>
    <row r="16" spans="1:44" s="12" customFormat="1">
      <c r="A16" s="11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8"/>
    </row>
    <row r="17" spans="1:44" s="12" customFormat="1">
      <c r="A17" s="11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8"/>
    </row>
    <row r="18" spans="1:44" s="12" customFormat="1" ht="13.5" thickBot="1">
      <c r="A18" s="11"/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</row>
    <row r="19" spans="1:44">
      <c r="E19" s="24"/>
    </row>
    <row r="20" spans="1:44" ht="13.5" thickBot="1"/>
    <row r="21" spans="1:44" customFormat="1" ht="14.45">
      <c r="A21" s="27" t="s">
        <v>55</v>
      </c>
      <c r="B21" s="90"/>
      <c r="C21" s="90"/>
      <c r="D21" s="90"/>
      <c r="E21" s="91">
        <f>SUM(E22:E26)</f>
        <v>10</v>
      </c>
      <c r="F21" s="92">
        <v>0</v>
      </c>
      <c r="G21" s="93"/>
    </row>
    <row r="22" spans="1:44" customFormat="1" ht="14.45">
      <c r="A22" s="27"/>
      <c r="B22" s="90" t="s">
        <v>23</v>
      </c>
      <c r="C22" s="90"/>
      <c r="D22" s="90"/>
      <c r="E22" s="94">
        <v>0</v>
      </c>
      <c r="F22" s="95"/>
    </row>
    <row r="23" spans="1:44" customFormat="1" ht="14.45">
      <c r="A23" s="27"/>
      <c r="B23" s="90" t="s">
        <v>24</v>
      </c>
      <c r="C23" s="90"/>
      <c r="D23" s="90"/>
      <c r="E23" s="94"/>
      <c r="F23" s="95">
        <v>0</v>
      </c>
    </row>
    <row r="24" spans="1:44" customFormat="1" ht="14.45">
      <c r="A24" s="27"/>
      <c r="B24" s="90" t="s">
        <v>56</v>
      </c>
      <c r="C24" s="90"/>
      <c r="D24" s="90"/>
      <c r="E24" s="94"/>
      <c r="F24" s="95">
        <v>0</v>
      </c>
    </row>
    <row r="25" spans="1:44" customFormat="1" ht="14.45">
      <c r="A25" s="27"/>
      <c r="B25" s="90" t="s">
        <v>57</v>
      </c>
      <c r="C25" s="90"/>
      <c r="D25" s="90"/>
      <c r="E25" s="94">
        <f>10</f>
        <v>10</v>
      </c>
      <c r="F25" s="95"/>
    </row>
    <row r="26" spans="1:44" customFormat="1" ht="15" thickBot="1">
      <c r="A26" s="27"/>
      <c r="B26" s="90" t="s">
        <v>58</v>
      </c>
      <c r="C26" s="90"/>
      <c r="D26" s="90"/>
      <c r="E26" s="96">
        <v>0</v>
      </c>
      <c r="F26" s="97"/>
    </row>
  </sheetData>
  <mergeCells count="8">
    <mergeCell ref="E3:E4"/>
    <mergeCell ref="AR3:AR4"/>
    <mergeCell ref="AO3:AQ3"/>
    <mergeCell ref="F3:F4"/>
    <mergeCell ref="AL3:AN3"/>
    <mergeCell ref="G3:J3"/>
    <mergeCell ref="K3:U3"/>
    <mergeCell ref="W3:AK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4A0-174B-254A-B9A7-361779549F4C}">
  <dimension ref="A1:AC19"/>
  <sheetViews>
    <sheetView zoomScale="120" zoomScaleNormal="120" workbookViewId="0">
      <pane xSplit="7" ySplit="4" topLeftCell="H5" activePane="bottomRight" state="frozen"/>
      <selection pane="bottomRight" activeCell="S19" sqref="S19"/>
      <selection pane="bottomLeft" activeCell="A5" sqref="A5"/>
      <selection pane="topRight" activeCell="D1" sqref="D1"/>
    </sheetView>
  </sheetViews>
  <sheetFormatPr defaultColWidth="9.125" defaultRowHeight="12.95"/>
  <cols>
    <col min="1" max="1" width="12.25" style="1" customWidth="1"/>
    <col min="2" max="2" width="11.875" style="2" customWidth="1"/>
    <col min="3" max="3" width="9.75" style="2" customWidth="1"/>
    <col min="4" max="4" width="16.625" style="2" customWidth="1"/>
    <col min="5" max="5" width="12.875" style="2" bestFit="1" customWidth="1"/>
    <col min="6" max="6" width="8" style="2" customWidth="1"/>
    <col min="7" max="7" width="8.5" style="2" customWidth="1"/>
    <col min="8" max="10" width="9" style="2" bestFit="1" customWidth="1"/>
    <col min="11" max="11" width="8.625" style="2" bestFit="1" customWidth="1"/>
    <col min="12" max="12" width="8.125" style="2" bestFit="1" customWidth="1"/>
    <col min="13" max="14" width="8.125" style="2" customWidth="1"/>
    <col min="15" max="15" width="11.75" style="2" bestFit="1" customWidth="1"/>
    <col min="16" max="16" width="9.875" style="2" bestFit="1" customWidth="1"/>
    <col min="17" max="17" width="14.875" style="2" customWidth="1"/>
    <col min="18" max="18" width="13.125" style="2" bestFit="1" customWidth="1"/>
    <col min="19" max="19" width="9.125" style="2" bestFit="1" customWidth="1"/>
    <col min="20" max="20" width="8.5" style="2" bestFit="1" customWidth="1"/>
    <col min="21" max="21" width="8.375" style="2" customWidth="1"/>
    <col min="22" max="22" width="8.5" style="2" bestFit="1" customWidth="1"/>
    <col min="23" max="23" width="8.125" style="2" bestFit="1" customWidth="1"/>
    <col min="24" max="24" width="7" style="2" bestFit="1" customWidth="1"/>
    <col min="25" max="25" width="10.875" style="2" bestFit="1" customWidth="1"/>
    <col min="26" max="26" width="8.125" style="2" bestFit="1" customWidth="1"/>
    <col min="27" max="28" width="8.125" style="2" customWidth="1"/>
    <col min="29" max="29" width="8.125" style="2" bestFit="1" customWidth="1"/>
    <col min="30" max="16384" width="9.125" style="2"/>
  </cols>
  <sheetData>
    <row r="1" spans="1:29" ht="13.5" thickBot="1">
      <c r="A1" s="1" t="e">
        <f ca="1">MID(CELL("filename",A1),FIND("]",CELL("filename",A1))+1,256)</f>
        <v>#VALUE!</v>
      </c>
    </row>
    <row r="2" spans="1:29" ht="13.5" thickBot="1">
      <c r="A2" s="3"/>
      <c r="B2" s="4"/>
      <c r="C2" s="4"/>
      <c r="D2" s="4"/>
      <c r="E2" s="4"/>
      <c r="F2" s="4"/>
      <c r="H2" s="5" t="s">
        <v>59</v>
      </c>
    </row>
    <row r="3" spans="1:29" s="6" customFormat="1" ht="12.95" customHeight="1">
      <c r="A3" s="3"/>
      <c r="B3" s="174" t="s">
        <v>60</v>
      </c>
      <c r="C3" s="174" t="s">
        <v>61</v>
      </c>
      <c r="D3" s="174" t="s">
        <v>62</v>
      </c>
      <c r="E3" s="174" t="s">
        <v>63</v>
      </c>
      <c r="F3" s="176" t="s">
        <v>37</v>
      </c>
      <c r="G3" s="177"/>
      <c r="H3" s="179" t="s">
        <v>64</v>
      </c>
      <c r="I3" s="168" t="s">
        <v>65</v>
      </c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5" t="s">
        <v>45</v>
      </c>
      <c r="U3" s="165"/>
      <c r="V3" s="165" t="s">
        <v>66</v>
      </c>
      <c r="W3" s="165"/>
      <c r="X3" s="165"/>
      <c r="Y3" s="165"/>
      <c r="Z3" s="165"/>
      <c r="AA3" s="165"/>
      <c r="AB3" s="165"/>
      <c r="AC3" s="178" t="s">
        <v>67</v>
      </c>
    </row>
    <row r="4" spans="1:29" s="6" customFormat="1" ht="79.5" customHeight="1" thickBot="1">
      <c r="B4" s="175"/>
      <c r="C4" s="175"/>
      <c r="D4" s="175"/>
      <c r="E4" s="175"/>
      <c r="F4" s="29" t="s">
        <v>68</v>
      </c>
      <c r="G4" s="29" t="s">
        <v>69</v>
      </c>
      <c r="H4" s="162"/>
      <c r="I4" s="26" t="s">
        <v>47</v>
      </c>
      <c r="J4" s="7" t="str">
        <f>'China-L'!E4</f>
        <v>Basic Salary
基本工资</v>
      </c>
      <c r="K4" s="7" t="str">
        <f>'China-L'!G4</f>
        <v xml:space="preserve"> Bonus
奖金</v>
      </c>
      <c r="L4" s="7" t="str">
        <f>'China-L'!H4</f>
        <v>Annual Bonus/13th Salary
年终奖/13薪</v>
      </c>
      <c r="M4" s="7" t="str">
        <f>'China-L'!I4</f>
        <v>Allowance/Subsidy
津贴/补贴</v>
      </c>
      <c r="N4" s="7" t="str">
        <f>'China-L'!J4</f>
        <v>OT Payment
加班费</v>
      </c>
      <c r="O4" s="7" t="str">
        <f>'China-L'!K4</f>
        <v>Other Adjustment Before Tax
税前其他调整</v>
      </c>
      <c r="P4" s="7" t="str">
        <f>'China-L'!L4</f>
        <v>Income Employer Afford Tax
公司负税项</v>
      </c>
      <c r="Q4" s="7" t="str">
        <f>'China-L'!W4</f>
        <v>Deduction for Personal Affair/Absenteeism Leave
扣事假/旷工</v>
      </c>
      <c r="R4" s="7" t="str">
        <f>'China-L'!X4</f>
        <v>Deduction for Sick and Maternity Leave
扣病假/产假</v>
      </c>
      <c r="S4" s="7" t="str" cm="1">
        <f t="array" ref="S4:S5">'China-L'!AB3:AB4</f>
        <v>Adjustment After Tax
税后工资调整</v>
      </c>
      <c r="T4" s="26" t="s">
        <v>47</v>
      </c>
      <c r="U4" s="125" t="str" cm="1">
        <f t="array" ref="U4:U5">'China-L'!AC3:AC4</f>
        <v>Expense
报销款</v>
      </c>
      <c r="V4" s="26" t="s">
        <v>47</v>
      </c>
      <c r="W4" s="7" t="str">
        <f>'China-L'!Q4</f>
        <v>Pension
缴养老</v>
      </c>
      <c r="X4" s="7" t="str">
        <f>'China-L'!R4</f>
        <v>Medical
缴医疗</v>
      </c>
      <c r="Y4" s="7" t="str">
        <f>'China-L'!S4</f>
        <v>Unemployment
缴失业</v>
      </c>
      <c r="Z4" s="7" t="str">
        <f>'China-L'!T4</f>
        <v>Housing Fund
缴公积金</v>
      </c>
      <c r="AA4" s="7" t="str">
        <f>'China-L'!U4</f>
        <v>SB Adj-EE
社保补差-个人</v>
      </c>
      <c r="AB4" s="7" t="str">
        <f>'China-L'!V4</f>
        <v>PHF Adj-EE
公积金补差-个人</v>
      </c>
      <c r="AC4" s="164"/>
    </row>
    <row r="5" spans="1:29" s="6" customFormat="1" ht="13.5" thickBot="1">
      <c r="A5" s="1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>
        <v>0</v>
      </c>
      <c r="T5" s="9"/>
      <c r="U5" s="9">
        <v>0</v>
      </c>
      <c r="V5" s="9"/>
      <c r="W5" s="9"/>
      <c r="X5" s="9"/>
      <c r="Y5" s="9"/>
      <c r="Z5" s="9"/>
      <c r="AA5" s="9"/>
      <c r="AB5" s="9"/>
      <c r="AC5" s="10"/>
    </row>
    <row r="6" spans="1:29" s="12" customFormat="1">
      <c r="A6" s="11" t="s">
        <v>70</v>
      </c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5"/>
    </row>
    <row r="7" spans="1:29" s="12" customFormat="1">
      <c r="A7" s="11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8"/>
    </row>
    <row r="8" spans="1:29" s="12" customFormat="1">
      <c r="A8" s="19"/>
      <c r="B8" s="20"/>
      <c r="C8" s="20"/>
      <c r="D8" s="20"/>
      <c r="E8" s="20"/>
      <c r="F8" s="20"/>
      <c r="G8" s="20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8"/>
    </row>
    <row r="9" spans="1:29" s="12" customFormat="1">
      <c r="A9" s="19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</row>
    <row r="10" spans="1:29" s="12" customFormat="1">
      <c r="A10" s="11"/>
      <c r="B10" s="12" t="str">
        <f>PN!B9</f>
        <v>CNUS2026003</v>
      </c>
      <c r="C10" s="12" t="str">
        <f>PN!B8</f>
        <v>Mia Solano</v>
      </c>
      <c r="D10" s="20" t="str">
        <f>China!C9</f>
        <v>CNUS2026003-0002</v>
      </c>
      <c r="E10" s="12" t="str">
        <f>'China-L'!D5</f>
        <v>徐桂亮 Leon Xu</v>
      </c>
      <c r="F10" s="98">
        <f ca="1">China!B2</f>
        <v>46174</v>
      </c>
      <c r="G10" s="98">
        <f ca="1">China!C2</f>
        <v>46203</v>
      </c>
      <c r="H10" s="16">
        <f>I10+T10-V10-AC10</f>
        <v>7672.59</v>
      </c>
      <c r="I10" s="17">
        <f>SUM(J10:S10)</f>
        <v>10344.83</v>
      </c>
      <c r="J10" s="17">
        <f>'China-L'!E5</f>
        <v>15000</v>
      </c>
      <c r="K10" s="17">
        <f>'China-L'!G5</f>
        <v>0</v>
      </c>
      <c r="L10" s="17">
        <f>'China-L'!H5</f>
        <v>0</v>
      </c>
      <c r="M10" s="17">
        <f>'China-L'!I5</f>
        <v>0</v>
      </c>
      <c r="N10" s="17">
        <f>'China-L'!J5</f>
        <v>0</v>
      </c>
      <c r="O10" s="17">
        <f>'China-L'!K5</f>
        <v>-4655.17</v>
      </c>
      <c r="P10" s="17">
        <f>'China-L'!L5</f>
        <v>0</v>
      </c>
      <c r="Q10" s="17">
        <f>'China-L'!W5</f>
        <v>0</v>
      </c>
      <c r="R10" s="17">
        <f>'China-L'!X5</f>
        <v>0</v>
      </c>
      <c r="S10" s="17">
        <f>'China-L'!AB5</f>
        <v>0</v>
      </c>
      <c r="T10" s="17">
        <f>SUM(U10:U10)</f>
        <v>0</v>
      </c>
      <c r="U10" s="17">
        <f>'China-L'!AC5</f>
        <v>0</v>
      </c>
      <c r="V10" s="17">
        <f>SUM(W10:AB10)</f>
        <v>2580</v>
      </c>
      <c r="W10" s="17">
        <f>'China-L'!Q5</f>
        <v>1200</v>
      </c>
      <c r="X10" s="17">
        <f>'China-L'!R5</f>
        <v>300</v>
      </c>
      <c r="Y10" s="17">
        <f>'China-L'!S5</f>
        <v>30</v>
      </c>
      <c r="Z10" s="17">
        <f>'China-L'!T5</f>
        <v>1050</v>
      </c>
      <c r="AA10" s="17">
        <f>'China-L'!U5</f>
        <v>0</v>
      </c>
      <c r="AB10" s="17">
        <f>'China-L'!V5</f>
        <v>0</v>
      </c>
      <c r="AC10" s="18">
        <f>'China-L'!AA5</f>
        <v>92.24</v>
      </c>
    </row>
    <row r="11" spans="1:29" s="12" customFormat="1">
      <c r="A11" s="11"/>
      <c r="G11" s="20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8"/>
    </row>
    <row r="12" spans="1:29" s="12" customFormat="1">
      <c r="A12" s="11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8"/>
    </row>
    <row r="13" spans="1:29" s="12" customFormat="1">
      <c r="A13" s="11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/>
    </row>
    <row r="14" spans="1:29" s="12" customFormat="1">
      <c r="A14" s="11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/>
    </row>
    <row r="15" spans="1:29" s="12" customFormat="1">
      <c r="A15" s="11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/>
    </row>
    <row r="16" spans="1:29" s="12" customFormat="1">
      <c r="A16" s="11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</row>
    <row r="17" spans="1:29" s="12" customFormat="1">
      <c r="A17" s="11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8"/>
    </row>
    <row r="18" spans="1:29" s="12" customFormat="1">
      <c r="A18" s="11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8"/>
    </row>
    <row r="19" spans="1:29" s="12" customFormat="1" ht="13.5" thickBot="1">
      <c r="A19" s="11"/>
      <c r="H19" s="2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3"/>
    </row>
  </sheetData>
  <mergeCells count="10">
    <mergeCell ref="I3:S3"/>
    <mergeCell ref="T3:U3"/>
    <mergeCell ref="V3:AB3"/>
    <mergeCell ref="AC3:AC4"/>
    <mergeCell ref="H3:H4"/>
    <mergeCell ref="B3:B4"/>
    <mergeCell ref="C3:C4"/>
    <mergeCell ref="D3:D4"/>
    <mergeCell ref="E3:E4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36B-42D2-4399-8090-A962FE4A1438}">
  <dimension ref="A1:AF1001"/>
  <sheetViews>
    <sheetView topLeftCell="H1" zoomScale="110" zoomScaleNormal="110" workbookViewId="0">
      <selection activeCell="L25" sqref="L25"/>
    </sheetView>
  </sheetViews>
  <sheetFormatPr defaultColWidth="9.125" defaultRowHeight="14.45"/>
  <cols>
    <col min="1" max="1" width="14.125" style="25" bestFit="1" customWidth="1"/>
    <col min="2" max="2" width="7" style="25" bestFit="1" customWidth="1"/>
    <col min="3" max="3" width="10.5" style="25" bestFit="1" customWidth="1"/>
    <col min="4" max="4" width="13.625" style="25" bestFit="1" customWidth="1"/>
    <col min="5" max="5" width="12.625" style="25" bestFit="1" customWidth="1"/>
    <col min="6" max="6" width="14.5" style="25" bestFit="1" customWidth="1"/>
    <col min="7" max="7" width="9.875" style="25" bestFit="1" customWidth="1"/>
    <col min="8" max="10" width="8.625" style="25" bestFit="1" customWidth="1"/>
    <col min="11" max="11" width="10.875" style="25" bestFit="1" customWidth="1"/>
    <col min="12" max="14" width="6" style="25" bestFit="1" customWidth="1"/>
    <col min="15" max="15" width="9.5" style="25" bestFit="1" customWidth="1"/>
    <col min="16" max="16" width="11.875" style="25" bestFit="1" customWidth="1"/>
    <col min="17" max="17" width="8.875" style="25" bestFit="1" customWidth="1"/>
    <col min="18" max="18" width="7.875" style="25" bestFit="1" customWidth="1"/>
    <col min="19" max="19" width="6.875" style="25" bestFit="1" customWidth="1"/>
    <col min="20" max="20" width="8.875" style="25" bestFit="1" customWidth="1"/>
    <col min="21" max="22" width="7" style="25" bestFit="1" customWidth="1"/>
    <col min="23" max="24" width="6" style="25" bestFit="1" customWidth="1"/>
    <col min="25" max="25" width="7" style="25" bestFit="1" customWidth="1"/>
    <col min="26" max="26" width="9.5" style="25" bestFit="1" customWidth="1"/>
    <col min="27" max="27" width="8" style="25" bestFit="1" customWidth="1"/>
    <col min="28" max="28" width="7" style="25" bestFit="1" customWidth="1"/>
    <col min="29" max="29" width="9.5" style="25" bestFit="1" customWidth="1"/>
    <col min="30" max="30" width="8.5" style="25" bestFit="1" customWidth="1"/>
    <col min="31" max="31" width="8.875" style="25" bestFit="1" customWidth="1"/>
    <col min="32" max="32" width="7" style="25" bestFit="1" customWidth="1"/>
    <col min="33" max="34" width="6" style="25" bestFit="1" customWidth="1"/>
    <col min="35" max="35" width="7" style="25" bestFit="1" customWidth="1"/>
    <col min="36" max="36" width="10.5" style="25" bestFit="1" customWidth="1"/>
    <col min="37" max="37" width="9.5" style="25" bestFit="1" customWidth="1"/>
    <col min="38" max="38" width="11.5" style="25" bestFit="1" customWidth="1"/>
    <col min="39" max="41" width="10.5" style="25" bestFit="1" customWidth="1"/>
    <col min="42" max="42" width="7" style="25" bestFit="1" customWidth="1"/>
    <col min="43" max="43" width="10.5" style="25" bestFit="1" customWidth="1"/>
    <col min="44" max="44" width="7" style="25" bestFit="1" customWidth="1"/>
    <col min="45" max="45" width="10.5" style="25" bestFit="1" customWidth="1"/>
    <col min="46" max="46" width="7" style="25" bestFit="1" customWidth="1"/>
    <col min="47" max="47" width="11.875" style="25" bestFit="1" customWidth="1"/>
    <col min="48" max="48" width="11.5" style="25" bestFit="1" customWidth="1"/>
    <col min="49" max="49" width="10.5" style="25" bestFit="1" customWidth="1"/>
    <col min="50" max="50" width="9.5" style="25" bestFit="1" customWidth="1"/>
    <col min="51" max="52" width="7" style="25" bestFit="1" customWidth="1"/>
    <col min="53" max="54" width="11.5" style="25" bestFit="1" customWidth="1"/>
    <col min="55" max="56" width="10.5" style="25" bestFit="1" customWidth="1"/>
    <col min="57" max="58" width="7" style="25" bestFit="1" customWidth="1"/>
    <col min="59" max="59" width="8.5" style="25" bestFit="1" customWidth="1"/>
    <col min="60" max="60" width="8" style="25" bestFit="1" customWidth="1"/>
    <col min="61" max="62" width="7" style="25" bestFit="1" customWidth="1"/>
    <col min="63" max="64" width="6" style="25" bestFit="1" customWidth="1"/>
    <col min="65" max="66" width="7.625" style="25" bestFit="1" customWidth="1"/>
    <col min="67" max="67" width="7.5" style="25" bestFit="1" customWidth="1"/>
    <col min="68" max="68" width="8.5" style="25" bestFit="1" customWidth="1"/>
    <col min="69" max="70" width="7" style="25" bestFit="1" customWidth="1"/>
    <col min="71" max="73" width="10.5" style="25" bestFit="1" customWidth="1"/>
    <col min="74" max="75" width="9.5" style="25" bestFit="1" customWidth="1"/>
    <col min="76" max="78" width="8" style="25" bestFit="1" customWidth="1"/>
    <col min="79" max="79" width="7" style="25" bestFit="1" customWidth="1"/>
    <col min="80" max="80" width="9.5" style="25" bestFit="1" customWidth="1"/>
    <col min="81" max="81" width="8.5" style="25" bestFit="1" customWidth="1"/>
    <col min="82" max="82" width="10.5" style="25" bestFit="1" customWidth="1"/>
    <col min="83" max="83" width="7" style="25" bestFit="1" customWidth="1"/>
    <col min="84" max="84" width="5.5" style="25" bestFit="1" customWidth="1"/>
    <col min="85" max="85" width="7" style="25" bestFit="1" customWidth="1"/>
    <col min="86" max="86" width="5.5" style="25" bestFit="1" customWidth="1"/>
    <col min="87" max="87" width="7.5" style="25" bestFit="1" customWidth="1"/>
    <col min="88" max="88" width="6.5" style="25" bestFit="1" customWidth="1"/>
    <col min="89" max="89" width="7" style="25" bestFit="1" customWidth="1"/>
    <col min="90" max="90" width="4.625" style="25" bestFit="1" customWidth="1"/>
    <col min="91" max="97" width="9.125" style="25"/>
    <col min="98" max="98" width="10.375" style="25" customWidth="1"/>
    <col min="99" max="99" width="11.375" style="25" customWidth="1"/>
    <col min="100" max="120" width="9.125" style="25"/>
    <col min="121" max="122" width="12.375" style="25" customWidth="1"/>
    <col min="123" max="131" width="9.125" style="25"/>
    <col min="132" max="132" width="11.875" style="25" customWidth="1"/>
    <col min="133" max="159" width="9.125" style="25"/>
    <col min="160" max="169" width="0" style="25" hidden="1" customWidth="1"/>
    <col min="170" max="16384" width="9.125" style="25"/>
  </cols>
  <sheetData>
    <row r="1" spans="1:32" s="28" customFormat="1" ht="12.95">
      <c r="A1" s="101" t="s">
        <v>71</v>
      </c>
      <c r="B1" s="101"/>
      <c r="D1" s="101" t="s">
        <v>72</v>
      </c>
      <c r="E1" s="102" t="s">
        <v>73</v>
      </c>
      <c r="F1" s="102" t="s">
        <v>74</v>
      </c>
      <c r="G1" s="102"/>
    </row>
    <row r="2" spans="1:32" s="28" customFormat="1" ht="13.5" thickBot="1"/>
    <row r="3" spans="1:32" s="103" customFormat="1" ht="16.5" customHeight="1">
      <c r="A3" s="190" t="s">
        <v>75</v>
      </c>
      <c r="B3" s="188" t="s">
        <v>76</v>
      </c>
      <c r="C3" s="192" t="s">
        <v>77</v>
      </c>
      <c r="D3" s="192" t="s">
        <v>78</v>
      </c>
      <c r="E3" s="185" t="s">
        <v>79</v>
      </c>
      <c r="F3" s="186"/>
      <c r="G3" s="186"/>
      <c r="H3" s="186"/>
      <c r="I3" s="186"/>
      <c r="J3" s="186"/>
      <c r="K3" s="186"/>
      <c r="L3" s="186"/>
      <c r="M3" s="186"/>
      <c r="N3" s="187"/>
      <c r="O3" s="183" t="s">
        <v>80</v>
      </c>
      <c r="P3" s="183" t="s">
        <v>81</v>
      </c>
      <c r="Q3" s="185" t="s">
        <v>82</v>
      </c>
      <c r="R3" s="186"/>
      <c r="S3" s="186"/>
      <c r="T3" s="186"/>
      <c r="U3" s="186"/>
      <c r="V3" s="186"/>
      <c r="W3" s="186"/>
      <c r="X3" s="186"/>
      <c r="Y3" s="186"/>
      <c r="Z3" s="187"/>
      <c r="AA3" s="183" t="s">
        <v>83</v>
      </c>
      <c r="AB3" s="188" t="s">
        <v>84</v>
      </c>
      <c r="AC3" s="188" t="s">
        <v>85</v>
      </c>
      <c r="AD3" s="188" t="s">
        <v>86</v>
      </c>
      <c r="AE3" s="180" t="s">
        <v>87</v>
      </c>
      <c r="AF3" s="182"/>
    </row>
    <row r="4" spans="1:32" s="103" customFormat="1" ht="69" customHeight="1">
      <c r="A4" s="191"/>
      <c r="B4" s="189"/>
      <c r="C4" s="193"/>
      <c r="D4" s="193"/>
      <c r="E4" s="104" t="s">
        <v>88</v>
      </c>
      <c r="F4" s="104" t="s">
        <v>89</v>
      </c>
      <c r="G4" s="104" t="s">
        <v>90</v>
      </c>
      <c r="H4" s="104" t="s">
        <v>91</v>
      </c>
      <c r="I4" s="104" t="s">
        <v>92</v>
      </c>
      <c r="J4" s="104" t="s">
        <v>93</v>
      </c>
      <c r="K4" s="104" t="s">
        <v>94</v>
      </c>
      <c r="L4" s="105" t="s">
        <v>95</v>
      </c>
      <c r="M4" s="104" t="s">
        <v>96</v>
      </c>
      <c r="N4" s="105" t="s">
        <v>97</v>
      </c>
      <c r="O4" s="184" t="s">
        <v>80</v>
      </c>
      <c r="P4" s="184" t="s">
        <v>98</v>
      </c>
      <c r="Q4" s="104" t="s">
        <v>99</v>
      </c>
      <c r="R4" s="104" t="s">
        <v>100</v>
      </c>
      <c r="S4" s="104" t="s">
        <v>101</v>
      </c>
      <c r="T4" s="104" t="s">
        <v>102</v>
      </c>
      <c r="U4" s="104" t="s">
        <v>103</v>
      </c>
      <c r="V4" s="104" t="s">
        <v>104</v>
      </c>
      <c r="W4" s="106" t="s">
        <v>105</v>
      </c>
      <c r="X4" s="106" t="s">
        <v>106</v>
      </c>
      <c r="Y4" s="106" t="s">
        <v>107</v>
      </c>
      <c r="Z4" s="106" t="s">
        <v>108</v>
      </c>
      <c r="AA4" s="184"/>
      <c r="AB4" s="189"/>
      <c r="AC4" s="189"/>
      <c r="AD4" s="189"/>
      <c r="AE4" s="181"/>
      <c r="AF4" s="182"/>
    </row>
    <row r="5" spans="1:32" s="28" customFormat="1" ht="12.95">
      <c r="A5" s="107">
        <v>1</v>
      </c>
      <c r="B5" s="108" t="s">
        <v>109</v>
      </c>
      <c r="C5" s="109" t="s">
        <v>110</v>
      </c>
      <c r="D5" s="110" t="s">
        <v>111</v>
      </c>
      <c r="E5" s="111">
        <v>15000</v>
      </c>
      <c r="F5" s="111">
        <v>15000</v>
      </c>
      <c r="G5" s="111">
        <v>0</v>
      </c>
      <c r="H5" s="111">
        <v>0</v>
      </c>
      <c r="I5" s="111">
        <v>0</v>
      </c>
      <c r="J5" s="111">
        <v>0</v>
      </c>
      <c r="K5" s="111">
        <v>-4655.17</v>
      </c>
      <c r="L5" s="111">
        <v>0</v>
      </c>
      <c r="M5" s="111">
        <v>0</v>
      </c>
      <c r="N5" s="111">
        <v>0</v>
      </c>
      <c r="O5" s="111">
        <v>15000</v>
      </c>
      <c r="P5" s="111">
        <v>15000</v>
      </c>
      <c r="Q5" s="111">
        <v>1200</v>
      </c>
      <c r="R5" s="111">
        <v>300</v>
      </c>
      <c r="S5" s="111">
        <v>30</v>
      </c>
      <c r="T5" s="111">
        <v>1050</v>
      </c>
      <c r="U5" s="111">
        <v>0</v>
      </c>
      <c r="V5" s="111">
        <v>0</v>
      </c>
      <c r="W5" s="111">
        <v>0</v>
      </c>
      <c r="X5" s="111">
        <v>0</v>
      </c>
      <c r="Y5" s="111">
        <v>0</v>
      </c>
      <c r="Z5" s="111">
        <v>0</v>
      </c>
      <c r="AA5" s="111">
        <v>92.24</v>
      </c>
      <c r="AB5" s="111">
        <v>0</v>
      </c>
      <c r="AC5" s="112">
        <v>0</v>
      </c>
      <c r="AD5" s="112">
        <v>0</v>
      </c>
      <c r="AE5" s="113">
        <v>7672.59</v>
      </c>
    </row>
    <row r="6" spans="1:32" s="28" customFormat="1" ht="12.95">
      <c r="A6" s="107"/>
      <c r="B6" s="108"/>
      <c r="C6" s="109"/>
      <c r="D6" s="110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2"/>
      <c r="AD6" s="112"/>
      <c r="AE6" s="113"/>
    </row>
    <row r="7" spans="1:32" s="28" customFormat="1" ht="13.5" customHeight="1" thickBot="1">
      <c r="A7" s="107"/>
      <c r="B7" s="108"/>
      <c r="C7" s="109"/>
      <c r="D7" s="110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2"/>
      <c r="AD7" s="112"/>
      <c r="AE7" s="113"/>
    </row>
    <row r="8" spans="1:32" s="28" customFormat="1" ht="26.45" customHeight="1" thickBot="1">
      <c r="A8" s="114" t="s">
        <v>112</v>
      </c>
      <c r="B8" s="115"/>
      <c r="C8" s="116"/>
      <c r="D8" s="116"/>
      <c r="E8" s="117">
        <f>SUM($E$1:E7)</f>
        <v>15000</v>
      </c>
      <c r="F8" s="117">
        <f>SUM($F$1:F7)</f>
        <v>15000</v>
      </c>
      <c r="G8" s="117">
        <f>SUM($G$1:G7)</f>
        <v>0</v>
      </c>
      <c r="H8" s="117">
        <f>SUM($H$1:H7)</f>
        <v>0</v>
      </c>
      <c r="I8" s="117">
        <f>SUM($I$1:I7)</f>
        <v>0</v>
      </c>
      <c r="J8" s="117">
        <f>SUM($J$1:J7)</f>
        <v>0</v>
      </c>
      <c r="K8" s="117">
        <f>SUM($K$1:K7)</f>
        <v>-4655.17</v>
      </c>
      <c r="L8" s="117">
        <f>SUM($L$1:L7)</f>
        <v>0</v>
      </c>
      <c r="M8" s="117">
        <f>SUM($M$1:M7)</f>
        <v>0</v>
      </c>
      <c r="N8" s="117">
        <f>SUM($N$1:N7)</f>
        <v>0</v>
      </c>
      <c r="O8" s="117"/>
      <c r="P8" s="117"/>
      <c r="Q8" s="117">
        <f>SUM($Q$1:Q7)</f>
        <v>1200</v>
      </c>
      <c r="R8" s="117">
        <f>SUM($R$1:R7)</f>
        <v>300</v>
      </c>
      <c r="S8" s="117">
        <f>SUM($S$1:S7)</f>
        <v>30</v>
      </c>
      <c r="T8" s="117">
        <f>SUM($T$1:T7)</f>
        <v>1050</v>
      </c>
      <c r="U8" s="117">
        <f>SUM($U$1:U7)</f>
        <v>0</v>
      </c>
      <c r="V8" s="117">
        <f>SUM($V$1:V7)</f>
        <v>0</v>
      </c>
      <c r="W8" s="117">
        <f>SUM($W$1:W7)</f>
        <v>0</v>
      </c>
      <c r="X8" s="117">
        <f>SUM($X$1:X7)</f>
        <v>0</v>
      </c>
      <c r="Y8" s="117">
        <f>SUM($Y$1:Y7)</f>
        <v>0</v>
      </c>
      <c r="Z8" s="117">
        <f>SUM($Z$1:Z7)</f>
        <v>0</v>
      </c>
      <c r="AA8" s="117">
        <f>SUM($AA$1:AA7)</f>
        <v>92.24</v>
      </c>
      <c r="AB8" s="117">
        <f>SUM($AB$1:AB7)</f>
        <v>0</v>
      </c>
      <c r="AC8" s="117">
        <f>SUM($AC$1:AC7)</f>
        <v>0</v>
      </c>
      <c r="AD8" s="117">
        <f>SUM($AD$1:AD7)</f>
        <v>0</v>
      </c>
      <c r="AE8" s="118">
        <f>SUM($AE$1:AE7)</f>
        <v>7672.59</v>
      </c>
    </row>
    <row r="19" spans="7:7">
      <c r="G19" s="28"/>
    </row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21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O3:O4"/>
    <mergeCell ref="A3:A4"/>
    <mergeCell ref="B3:B4"/>
    <mergeCell ref="C3:C4"/>
    <mergeCell ref="D3:D4"/>
    <mergeCell ref="E3:N3"/>
    <mergeCell ref="AE3:AE4"/>
    <mergeCell ref="AF3:AF4"/>
    <mergeCell ref="P3:P4"/>
    <mergeCell ref="Q3:Z3"/>
    <mergeCell ref="AA3:AA4"/>
    <mergeCell ref="AB3:AB4"/>
    <mergeCell ref="AC3:AC4"/>
    <mergeCell ref="AD3:AD4"/>
  </mergeCells>
  <phoneticPr fontId="1" type="noConversion"/>
  <conditionalFormatting sqref="Z2">
    <cfRule type="expression" dxfId="1" priority="1" stopIfTrue="1">
      <formula>$Z2&gt;73500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6A61-F572-4775-8476-9A5781F7E2D9}">
  <dimension ref="A1:AW1001"/>
  <sheetViews>
    <sheetView topLeftCell="V1" zoomScale="110" zoomScaleNormal="110" workbookViewId="0">
      <selection activeCell="AK10" sqref="AK10"/>
    </sheetView>
  </sheetViews>
  <sheetFormatPr defaultColWidth="9.125" defaultRowHeight="14.45"/>
  <cols>
    <col min="1" max="1" width="14.125" style="25" bestFit="1" customWidth="1"/>
    <col min="2" max="2" width="7" style="25" bestFit="1" customWidth="1"/>
    <col min="3" max="3" width="10.5" style="25" bestFit="1" customWidth="1"/>
    <col min="4" max="4" width="13.625" style="25" bestFit="1" customWidth="1"/>
    <col min="5" max="5" width="12.625" style="25" bestFit="1" customWidth="1"/>
    <col min="6" max="6" width="14.5" style="25" bestFit="1" customWidth="1"/>
    <col min="7" max="7" width="9.875" style="25" bestFit="1" customWidth="1"/>
    <col min="8" max="10" width="8.625" style="25" bestFit="1" customWidth="1"/>
    <col min="11" max="11" width="10.875" style="25" bestFit="1" customWidth="1"/>
    <col min="12" max="12" width="8.875" style="25" bestFit="1" customWidth="1"/>
    <col min="13" max="14" width="6" style="25" bestFit="1" customWidth="1"/>
    <col min="15" max="15" width="9.5" style="25" bestFit="1" customWidth="1"/>
    <col min="16" max="16" width="11.875" style="25" bestFit="1" customWidth="1"/>
    <col min="17" max="20" width="8.875" style="25" bestFit="1" customWidth="1"/>
    <col min="21" max="22" width="7" style="25" bestFit="1" customWidth="1"/>
    <col min="23" max="23" width="6.875" style="25" bestFit="1" customWidth="1"/>
    <col min="24" max="24" width="8.875" style="25" bestFit="1" customWidth="1"/>
    <col min="25" max="25" width="7" style="25" bestFit="1" customWidth="1"/>
    <col min="26" max="26" width="9.5" style="25" bestFit="1" customWidth="1"/>
    <col min="27" max="27" width="8" style="25" bestFit="1" customWidth="1"/>
    <col min="28" max="28" width="7" style="25" bestFit="1" customWidth="1"/>
    <col min="29" max="29" width="9.5" style="25" bestFit="1" customWidth="1"/>
    <col min="30" max="30" width="8.5" style="25" bestFit="1" customWidth="1"/>
    <col min="31" max="31" width="8.875" style="25" bestFit="1" customWidth="1"/>
    <col min="32" max="32" width="7" style="25" bestFit="1" customWidth="1"/>
    <col min="33" max="34" width="6" style="25" bestFit="1" customWidth="1"/>
    <col min="35" max="35" width="7" style="25" bestFit="1" customWidth="1"/>
    <col min="36" max="36" width="10.5" style="25" bestFit="1" customWidth="1"/>
    <col min="37" max="37" width="9.5" style="25" bestFit="1" customWidth="1"/>
    <col min="38" max="38" width="11.5" style="25" bestFit="1" customWidth="1"/>
    <col min="39" max="41" width="10.5" style="25" bestFit="1" customWidth="1"/>
    <col min="42" max="42" width="7" style="25" bestFit="1" customWidth="1"/>
    <col min="43" max="43" width="10.5" style="25" bestFit="1" customWidth="1"/>
    <col min="44" max="44" width="7" style="25" bestFit="1" customWidth="1"/>
    <col min="45" max="45" width="10.5" style="25" bestFit="1" customWidth="1"/>
    <col min="46" max="46" width="7" style="25" bestFit="1" customWidth="1"/>
    <col min="47" max="47" width="11.875" style="25" bestFit="1" customWidth="1"/>
    <col min="48" max="48" width="11.5" style="25" bestFit="1" customWidth="1"/>
    <col min="49" max="49" width="10.5" style="25" bestFit="1" customWidth="1"/>
    <col min="50" max="50" width="9.5" style="25" bestFit="1" customWidth="1"/>
    <col min="51" max="52" width="7" style="25" bestFit="1" customWidth="1"/>
    <col min="53" max="54" width="11.5" style="25" bestFit="1" customWidth="1"/>
    <col min="55" max="56" width="10.5" style="25" bestFit="1" customWidth="1"/>
    <col min="57" max="58" width="7" style="25" bestFit="1" customWidth="1"/>
    <col min="59" max="59" width="8.5" style="25" bestFit="1" customWidth="1"/>
    <col min="60" max="60" width="8" style="25" bestFit="1" customWidth="1"/>
    <col min="61" max="62" width="7" style="25" bestFit="1" customWidth="1"/>
    <col min="63" max="64" width="6" style="25" bestFit="1" customWidth="1"/>
    <col min="65" max="66" width="7.625" style="25" bestFit="1" customWidth="1"/>
    <col min="67" max="67" width="7.5" style="25" bestFit="1" customWidth="1"/>
    <col min="68" max="68" width="8.5" style="25" bestFit="1" customWidth="1"/>
    <col min="69" max="70" width="7" style="25" bestFit="1" customWidth="1"/>
    <col min="71" max="73" width="10.5" style="25" bestFit="1" customWidth="1"/>
    <col min="74" max="75" width="9.5" style="25" bestFit="1" customWidth="1"/>
    <col min="76" max="78" width="8" style="25" bestFit="1" customWidth="1"/>
    <col min="79" max="79" width="7" style="25" bestFit="1" customWidth="1"/>
    <col min="80" max="80" width="9.5" style="25" bestFit="1" customWidth="1"/>
    <col min="81" max="81" width="8.5" style="25" bestFit="1" customWidth="1"/>
    <col min="82" max="82" width="10.5" style="25" bestFit="1" customWidth="1"/>
    <col min="83" max="83" width="7" style="25" bestFit="1" customWidth="1"/>
    <col min="84" max="84" width="5.5" style="25" bestFit="1" customWidth="1"/>
    <col min="85" max="85" width="7" style="25" bestFit="1" customWidth="1"/>
    <col min="86" max="86" width="5.5" style="25" bestFit="1" customWidth="1"/>
    <col min="87" max="87" width="7.5" style="25" bestFit="1" customWidth="1"/>
    <col min="88" max="88" width="6.5" style="25" bestFit="1" customWidth="1"/>
    <col min="89" max="89" width="7" style="25" bestFit="1" customWidth="1"/>
    <col min="90" max="90" width="4.625" style="25" bestFit="1" customWidth="1"/>
    <col min="91" max="97" width="9.125" style="25"/>
    <col min="98" max="98" width="10.375" style="25" customWidth="1"/>
    <col min="99" max="99" width="11.375" style="25" customWidth="1"/>
    <col min="100" max="120" width="9.125" style="25"/>
    <col min="121" max="122" width="12.375" style="25" customWidth="1"/>
    <col min="123" max="131" width="9.125" style="25"/>
    <col min="132" max="132" width="11.875" style="25" customWidth="1"/>
    <col min="133" max="159" width="9.125" style="25"/>
    <col min="160" max="169" width="0" style="25" hidden="1" customWidth="1"/>
    <col min="170" max="16384" width="9.125" style="25"/>
  </cols>
  <sheetData>
    <row r="1" spans="1:49" s="28" customFormat="1" ht="12.95">
      <c r="A1" s="101" t="s">
        <v>71</v>
      </c>
      <c r="B1" s="101"/>
      <c r="C1" s="101"/>
      <c r="D1" s="101" t="s">
        <v>72</v>
      </c>
      <c r="E1" s="101" t="s">
        <v>113</v>
      </c>
      <c r="F1" s="101" t="s">
        <v>74</v>
      </c>
      <c r="G1" s="101"/>
    </row>
    <row r="2" spans="1:49" s="28" customFormat="1" ht="13.5" thickBot="1">
      <c r="E2" s="101"/>
    </row>
    <row r="3" spans="1:49" s="103" customFormat="1" ht="14.45" customHeight="1">
      <c r="A3" s="190" t="s">
        <v>75</v>
      </c>
      <c r="B3" s="188" t="s">
        <v>76</v>
      </c>
      <c r="C3" s="183" t="s">
        <v>114</v>
      </c>
      <c r="D3" s="192" t="s">
        <v>77</v>
      </c>
      <c r="E3" s="192" t="s">
        <v>78</v>
      </c>
      <c r="F3" s="183" t="s">
        <v>115</v>
      </c>
      <c r="G3" s="188" t="s">
        <v>116</v>
      </c>
      <c r="H3" s="188" t="s">
        <v>86</v>
      </c>
      <c r="I3" s="185" t="s">
        <v>117</v>
      </c>
      <c r="J3" s="186"/>
      <c r="K3" s="186"/>
      <c r="L3" s="186"/>
      <c r="M3" s="186"/>
      <c r="N3" s="186"/>
      <c r="O3" s="186"/>
      <c r="P3" s="186"/>
      <c r="Q3" s="186"/>
      <c r="R3" s="185" t="s">
        <v>118</v>
      </c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19"/>
      <c r="AJ3" s="194" t="s">
        <v>119</v>
      </c>
      <c r="AK3" s="196" t="s">
        <v>120</v>
      </c>
      <c r="AL3" s="196" t="s">
        <v>121</v>
      </c>
      <c r="AM3" s="188" t="s">
        <v>122</v>
      </c>
      <c r="AN3" s="198" t="s">
        <v>123</v>
      </c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49" s="103" customFormat="1" ht="60" customHeight="1">
      <c r="A4" s="191"/>
      <c r="B4" s="189"/>
      <c r="C4" s="193"/>
      <c r="D4" s="193"/>
      <c r="E4" s="193"/>
      <c r="F4" s="184"/>
      <c r="G4" s="189"/>
      <c r="H4" s="189"/>
      <c r="I4" s="104" t="s">
        <v>124</v>
      </c>
      <c r="J4" s="104" t="s">
        <v>125</v>
      </c>
      <c r="K4" s="104" t="s">
        <v>126</v>
      </c>
      <c r="L4" s="104" t="s">
        <v>127</v>
      </c>
      <c r="M4" s="104" t="s">
        <v>128</v>
      </c>
      <c r="N4" s="104" t="s">
        <v>103</v>
      </c>
      <c r="O4" s="104" t="s">
        <v>129</v>
      </c>
      <c r="P4" s="104" t="s">
        <v>130</v>
      </c>
      <c r="Q4" s="104" t="s">
        <v>131</v>
      </c>
      <c r="R4" s="104" t="s">
        <v>132</v>
      </c>
      <c r="S4" s="104" t="s">
        <v>133</v>
      </c>
      <c r="T4" s="104" t="s">
        <v>134</v>
      </c>
      <c r="U4" s="104" t="s">
        <v>135</v>
      </c>
      <c r="V4" s="104" t="s">
        <v>136</v>
      </c>
      <c r="W4" s="104" t="s">
        <v>137</v>
      </c>
      <c r="X4" s="104" t="s">
        <v>138</v>
      </c>
      <c r="Y4" s="104" t="s">
        <v>139</v>
      </c>
      <c r="Z4" s="104" t="s">
        <v>140</v>
      </c>
      <c r="AA4" s="104" t="s">
        <v>141</v>
      </c>
      <c r="AB4" s="104" t="s">
        <v>142</v>
      </c>
      <c r="AC4" s="104" t="s">
        <v>143</v>
      </c>
      <c r="AD4" s="104" t="s">
        <v>144</v>
      </c>
      <c r="AE4" s="104" t="s">
        <v>145</v>
      </c>
      <c r="AF4" s="104" t="s">
        <v>146</v>
      </c>
      <c r="AG4" s="104" t="s">
        <v>147</v>
      </c>
      <c r="AH4" s="104" t="s">
        <v>148</v>
      </c>
      <c r="AI4" s="104" t="s">
        <v>149</v>
      </c>
      <c r="AJ4" s="195"/>
      <c r="AK4" s="197"/>
      <c r="AL4" s="197"/>
      <c r="AM4" s="189"/>
      <c r="AN4" s="199"/>
      <c r="AO4" s="182"/>
      <c r="AP4" s="182"/>
      <c r="AQ4" s="182"/>
      <c r="AR4" s="182"/>
      <c r="AS4" s="182"/>
      <c r="AT4" s="182"/>
      <c r="AU4" s="182"/>
      <c r="AV4" s="182"/>
      <c r="AW4" s="182"/>
    </row>
    <row r="5" spans="1:49" s="28" customFormat="1" ht="15.75" customHeight="1">
      <c r="A5" s="107">
        <v>1</v>
      </c>
      <c r="B5" s="108" t="s">
        <v>109</v>
      </c>
      <c r="C5" s="108" t="s">
        <v>109</v>
      </c>
      <c r="D5" s="109" t="s">
        <v>110</v>
      </c>
      <c r="E5" s="110" t="s">
        <v>111</v>
      </c>
      <c r="F5" s="111">
        <v>7672.59</v>
      </c>
      <c r="G5" s="109">
        <v>0</v>
      </c>
      <c r="H5" s="111">
        <v>0</v>
      </c>
      <c r="I5" s="111">
        <v>1200</v>
      </c>
      <c r="J5" s="111">
        <v>300</v>
      </c>
      <c r="K5" s="111">
        <v>30</v>
      </c>
      <c r="L5" s="111">
        <v>1050</v>
      </c>
      <c r="M5" s="111">
        <v>0</v>
      </c>
      <c r="N5" s="111">
        <v>0</v>
      </c>
      <c r="O5" s="111">
        <v>0</v>
      </c>
      <c r="P5" s="111">
        <v>0</v>
      </c>
      <c r="Q5" s="111">
        <v>92.24</v>
      </c>
      <c r="R5" s="111">
        <v>2400</v>
      </c>
      <c r="S5" s="111">
        <v>1027.5</v>
      </c>
      <c r="T5" s="111">
        <v>120</v>
      </c>
      <c r="U5" s="111">
        <v>0</v>
      </c>
      <c r="V5" s="111">
        <v>60</v>
      </c>
      <c r="W5" s="111">
        <v>98.62</v>
      </c>
      <c r="X5" s="111">
        <v>1050</v>
      </c>
      <c r="Y5" s="111">
        <v>0</v>
      </c>
      <c r="Z5" s="111">
        <v>0</v>
      </c>
      <c r="AA5" s="111">
        <v>0</v>
      </c>
      <c r="AB5" s="111">
        <v>0</v>
      </c>
      <c r="AC5" s="111">
        <v>0</v>
      </c>
      <c r="AD5" s="120">
        <v>0</v>
      </c>
      <c r="AE5" s="120">
        <v>310</v>
      </c>
      <c r="AF5" s="120">
        <v>0</v>
      </c>
      <c r="AG5" s="120">
        <v>0</v>
      </c>
      <c r="AH5" s="120">
        <v>0</v>
      </c>
      <c r="AI5" s="111">
        <v>0</v>
      </c>
      <c r="AJ5" s="120"/>
      <c r="AK5" s="120"/>
      <c r="AL5" s="120"/>
      <c r="AM5" s="111">
        <v>16934.740000000002</v>
      </c>
      <c r="AN5" s="121" t="s">
        <v>109</v>
      </c>
    </row>
    <row r="6" spans="1:49" s="28" customFormat="1" ht="15.75" customHeight="1">
      <c r="A6" s="107"/>
      <c r="B6" s="108"/>
      <c r="C6" s="108"/>
      <c r="D6" s="109"/>
      <c r="E6" s="110"/>
      <c r="F6" s="111"/>
      <c r="G6" s="109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20"/>
      <c r="AE6" s="120"/>
      <c r="AF6" s="120"/>
      <c r="AG6" s="120"/>
      <c r="AH6" s="120"/>
      <c r="AI6" s="111"/>
      <c r="AJ6" s="120"/>
      <c r="AK6" s="120"/>
      <c r="AL6" s="120"/>
      <c r="AM6" s="111"/>
      <c r="AN6" s="121"/>
    </row>
    <row r="7" spans="1:49" s="28" customFormat="1" ht="13.5" customHeight="1" thickBot="1">
      <c r="A7" s="107"/>
      <c r="B7" s="108"/>
      <c r="C7" s="108"/>
      <c r="D7" s="109"/>
      <c r="E7" s="110"/>
      <c r="F7" s="111"/>
      <c r="G7" s="109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20"/>
      <c r="AE7" s="120"/>
      <c r="AF7" s="120"/>
      <c r="AG7" s="120"/>
      <c r="AH7" s="120"/>
      <c r="AI7" s="111"/>
      <c r="AJ7" s="120"/>
      <c r="AK7" s="120"/>
      <c r="AL7" s="120"/>
      <c r="AM7" s="111"/>
      <c r="AN7" s="122"/>
    </row>
    <row r="8" spans="1:49" s="28" customFormat="1" ht="26.45" customHeight="1" thickBot="1">
      <c r="A8" s="114" t="s">
        <v>112</v>
      </c>
      <c r="B8" s="115"/>
      <c r="C8" s="115"/>
      <c r="D8" s="116"/>
      <c r="E8" s="123"/>
      <c r="F8" s="117">
        <f>SUM($F$1:F7)</f>
        <v>7672.59</v>
      </c>
      <c r="G8" s="117">
        <f>SUM($G$1:G7)</f>
        <v>0</v>
      </c>
      <c r="H8" s="117">
        <f>SUM($H$1:H7)</f>
        <v>0</v>
      </c>
      <c r="I8" s="117">
        <f>SUM($I$1:I7)</f>
        <v>1200</v>
      </c>
      <c r="J8" s="117">
        <f>SUM($J$1:J7)</f>
        <v>300</v>
      </c>
      <c r="K8" s="117">
        <f>SUM($K$1:K7)</f>
        <v>30</v>
      </c>
      <c r="L8" s="117">
        <f>SUM($L$1:L7)</f>
        <v>1050</v>
      </c>
      <c r="M8" s="117">
        <f>SUM($M$1:M7)</f>
        <v>0</v>
      </c>
      <c r="N8" s="117">
        <f>SUM($N$1:N7)</f>
        <v>0</v>
      </c>
      <c r="O8" s="117">
        <f>SUM($O$1:O7)</f>
        <v>0</v>
      </c>
      <c r="P8" s="117">
        <f>SUM($P$1:P7)</f>
        <v>0</v>
      </c>
      <c r="Q8" s="117">
        <f>SUM($Q$1:Q7)</f>
        <v>92.24</v>
      </c>
      <c r="R8" s="117">
        <f>SUM($R$1:R7)</f>
        <v>2400</v>
      </c>
      <c r="S8" s="117">
        <f>SUM($S$1:S7)</f>
        <v>1027.5</v>
      </c>
      <c r="T8" s="117">
        <f>SUM($T$1:T7)</f>
        <v>120</v>
      </c>
      <c r="U8" s="117">
        <f>SUM($U$1:U7)</f>
        <v>0</v>
      </c>
      <c r="V8" s="117">
        <f>SUM($V$1:V7)</f>
        <v>60</v>
      </c>
      <c r="W8" s="117">
        <f>SUM($W$1:W7)</f>
        <v>98.62</v>
      </c>
      <c r="X8" s="117">
        <f>SUM($X$1:X7)</f>
        <v>1050</v>
      </c>
      <c r="Y8" s="117">
        <f>SUM($Y$1:Y7)</f>
        <v>0</v>
      </c>
      <c r="Z8" s="117">
        <f>SUM($Z$1:Z7)</f>
        <v>0</v>
      </c>
      <c r="AA8" s="117">
        <f>SUM($AA$1:AA7)</f>
        <v>0</v>
      </c>
      <c r="AB8" s="117">
        <f>SUM($AB$1:AB7)</f>
        <v>0</v>
      </c>
      <c r="AC8" s="117">
        <f>SUM($AC$1:AC7)</f>
        <v>0</v>
      </c>
      <c r="AD8" s="117">
        <f>SUM($AD$1:AD7)</f>
        <v>0</v>
      </c>
      <c r="AE8" s="117">
        <f>SUM($AE$1:AE7)</f>
        <v>310</v>
      </c>
      <c r="AF8" s="117">
        <f>SUM($AF$1:AF7)</f>
        <v>0</v>
      </c>
      <c r="AG8" s="117">
        <f>SUM($AG$1:AG7)</f>
        <v>0</v>
      </c>
      <c r="AH8" s="117">
        <f>SUM($AH$1:AH7)</f>
        <v>0</v>
      </c>
      <c r="AI8" s="117">
        <f>SUM($AI$1:AI7)</f>
        <v>0</v>
      </c>
      <c r="AJ8" s="117">
        <f>SUM($AJ$1:AJ7)</f>
        <v>0</v>
      </c>
      <c r="AK8" s="117">
        <f>SUM($AK$1:AK7)</f>
        <v>0</v>
      </c>
      <c r="AL8" s="117">
        <f>SUM($AL$1:AL7)</f>
        <v>0</v>
      </c>
      <c r="AM8" s="117">
        <f>SUM($AM$1:AM7)</f>
        <v>16934.740000000002</v>
      </c>
      <c r="AN8" s="124"/>
    </row>
    <row r="19" spans="7:7">
      <c r="G19" s="28"/>
    </row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21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A3:A4"/>
    <mergeCell ref="B3:B4"/>
    <mergeCell ref="C3:C4"/>
    <mergeCell ref="D3:D4"/>
    <mergeCell ref="AO3:AO4"/>
    <mergeCell ref="E3:E4"/>
    <mergeCell ref="F3:F4"/>
    <mergeCell ref="G3:G4"/>
    <mergeCell ref="H3:H4"/>
    <mergeCell ref="I3:Q3"/>
    <mergeCell ref="R3:AH3"/>
    <mergeCell ref="AJ3:AJ4"/>
    <mergeCell ref="AK3:AK4"/>
    <mergeCell ref="AL3:AL4"/>
    <mergeCell ref="AM3:AM4"/>
    <mergeCell ref="AN3:AN4"/>
    <mergeCell ref="AV3:AV4"/>
    <mergeCell ref="AW3:AW4"/>
    <mergeCell ref="AP3:AP4"/>
    <mergeCell ref="AQ3:AQ4"/>
    <mergeCell ref="AR3:AR4"/>
    <mergeCell ref="AS3:AS4"/>
    <mergeCell ref="AT3:AT4"/>
    <mergeCell ref="AU3:AU4"/>
  </mergeCells>
  <conditionalFormatting sqref="Z2">
    <cfRule type="expression" dxfId="0" priority="1" stopIfTrue="1">
      <formula>$Z2&gt;73500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B9C76-E7EB-4DC9-BBD8-B8E28DDACBF1}"/>
</file>

<file path=customXml/itemProps2.xml><?xml version="1.0" encoding="utf-8"?>
<ds:datastoreItem xmlns:ds="http://schemas.openxmlformats.org/officeDocument/2006/customXml" ds:itemID="{91C6BEBB-54C2-430E-A5D6-0EB4AD3B8CCB}"/>
</file>

<file path=customXml/itemProps3.xml><?xml version="1.0" encoding="utf-8"?>
<ds:datastoreItem xmlns:ds="http://schemas.openxmlformats.org/officeDocument/2006/customXml" ds:itemID="{8AE1DAB4-36D7-48F6-A3E3-0B37ECC93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ChunJie</dc:creator>
  <cp:keywords/>
  <dc:description/>
  <cp:lastModifiedBy>Zhang, Vicky</cp:lastModifiedBy>
  <cp:revision/>
  <dcterms:created xsi:type="dcterms:W3CDTF">2018-12-11T19:06:17Z</dcterms:created>
  <dcterms:modified xsi:type="dcterms:W3CDTF">2026-06-10T01:53:21Z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116d97b9-8c04-419d-8baa-7a189acc6451</vt:lpwstr>
  </property>
  <property fmtid="{D5CDD505-2E9C-101B-9397-08002B2CF9AE}" pid="4" name="MediaServiceImageTags">
    <vt:lpwstr/>
  </property>
</Properties>
</file>