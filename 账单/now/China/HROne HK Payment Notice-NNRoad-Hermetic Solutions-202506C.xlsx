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1" documentId="13_ncr:1_{0CB8237E-C23C-45FE-AA7C-03CD8B707400}" xr6:coauthVersionLast="47" xr6:coauthVersionMax="47" xr10:uidLastSave="{FEFB9BF2-0D16-41B8-BA4C-87D047264404}"/>
  <bookViews>
    <workbookView xWindow="-110" yWindow="-110" windowWidth="25820" windowHeight="15500" tabRatio="700" xr2:uid="{00000000-000D-0000-FFFF-FFFF00000000}"/>
  </bookViews>
  <sheets>
    <sheet name="S-Payment Notice" sheetId="1" r:id="rId1"/>
    <sheet name="Other Fee" sheetId="27" r:id="rId2"/>
    <sheet name="MLC to China" sheetId="33" r:id="rId3"/>
    <sheet name="S-Payroll Report" sheetId="3" r:id="rId4"/>
    <sheet name="S-Payslip" sheetId="2" r:id="rId5"/>
    <sheet name="基本信息" sheetId="4" r:id="rId6"/>
    <sheet name="专项附加" sheetId="30" r:id="rId7"/>
    <sheet name="计算结果" sheetId="6" r:id="rId8"/>
    <sheet name="YTD" sheetId="29" r:id="rId9"/>
    <sheet name="工资税" sheetId="24" r:id="rId10"/>
    <sheet name="年终奖税" sheetId="32" r:id="rId11"/>
    <sheet name="离职补偿金税" sheetId="25" r:id="rId12"/>
    <sheet name="股权激励税" sheetId="31" r:id="rId13"/>
    <sheet name="交行发薪" sheetId="9" r:id="rId14"/>
    <sheet name="其他行发薪" sheetId="10" r:id="rId15"/>
    <sheet name="Formula Statement" sheetId="19" state="hidden" r:id="rId16"/>
    <sheet name="各地政策" sheetId="7" r:id="rId17"/>
    <sheet name="批注" sheetId="12" r:id="rId18"/>
  </sheets>
  <definedNames>
    <definedName name="_xlnm._FilterDatabase" localSheetId="3" hidden="1">'S-Payroll Report'!$A$7:$AH$7</definedName>
    <definedName name="_xlnm._FilterDatabase" localSheetId="8" hidden="1">YTD!$A$1:$BT$1</definedName>
    <definedName name="_xlnm._FilterDatabase" localSheetId="5" hidden="1">基本信息!$A$1:$EO$1</definedName>
    <definedName name="_xlnm._FilterDatabase" localSheetId="7" hidden="1">计算结果!$A$1:$BV$1</definedName>
    <definedName name="_xlnm._FilterDatabase" localSheetId="6" hidden="1">专项附加!$A$1:$AA$274</definedName>
    <definedName name="_xlnm.Print_Area" localSheetId="0">'S-Payment Notice'!$A$1:$E$66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7" l="1"/>
  <c r="E39" i="1"/>
  <c r="CT2" i="4" l="1"/>
  <c r="CS2" i="4"/>
  <c r="CR2" i="4"/>
  <c r="CQ2" i="4"/>
  <c r="CP2" i="4"/>
  <c r="CO2" i="4"/>
  <c r="C1" i="10" l="1"/>
  <c r="A3" i="6" l="1"/>
  <c r="B3" i="6"/>
  <c r="C3" i="6"/>
  <c r="D3" i="6"/>
  <c r="E3" i="6"/>
  <c r="F3" i="6"/>
  <c r="G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K3" i="6"/>
  <c r="AO3" i="6"/>
  <c r="AP3" i="6"/>
  <c r="AQ3" i="6"/>
  <c r="AR3" i="6"/>
  <c r="AS3" i="6"/>
  <c r="AT3" i="6" a="1"/>
  <c r="AT3" i="6" s="1"/>
  <c r="AY3" i="6"/>
  <c r="BF3" i="6"/>
  <c r="BG3" i="6"/>
  <c r="BH3" i="6"/>
  <c r="BI3" i="6"/>
  <c r="BJ3" i="6"/>
  <c r="BK3" i="6"/>
  <c r="BL3" i="6"/>
  <c r="BM3" i="6"/>
  <c r="BN3" i="6" a="1"/>
  <c r="BN3" i="6" s="1"/>
  <c r="BO3" i="6"/>
  <c r="BP3" i="6" a="1"/>
  <c r="BP3" i="6" s="1"/>
  <c r="BQ3" i="6"/>
  <c r="BR3" i="6" a="1"/>
  <c r="BR3" i="6" s="1"/>
  <c r="BV3" i="6"/>
  <c r="BW3" i="6"/>
  <c r="BX3" i="6"/>
  <c r="BY3" i="6"/>
  <c r="BZ3" i="6"/>
  <c r="CA3" i="6"/>
  <c r="CB3" i="6"/>
  <c r="CC3" i="6"/>
  <c r="CE3" i="6"/>
  <c r="CH3" i="6"/>
  <c r="CI3" i="6"/>
  <c r="CJ3" i="6"/>
  <c r="CK3" i="6"/>
  <c r="A4" i="6"/>
  <c r="AM4" i="6" s="1"/>
  <c r="B4" i="6"/>
  <c r="C4" i="6"/>
  <c r="L4" i="6" s="1"/>
  <c r="D4" i="6"/>
  <c r="E4" i="6"/>
  <c r="F4" i="6"/>
  <c r="G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O4" i="6"/>
  <c r="AP4" i="6"/>
  <c r="AQ4" i="6"/>
  <c r="AR4" i="6"/>
  <c r="AS4" i="6"/>
  <c r="AV4" i="6"/>
  <c r="AW4" i="6" a="1"/>
  <c r="AW4" i="6" s="1"/>
  <c r="AX4" i="6" a="1"/>
  <c r="AX4" i="6" s="1"/>
  <c r="AY4" i="6"/>
  <c r="BF4" i="6"/>
  <c r="BG4" i="6"/>
  <c r="BH4" i="6"/>
  <c r="BI4" i="6"/>
  <c r="BJ4" i="6"/>
  <c r="BK4" i="6"/>
  <c r="BL4" i="6"/>
  <c r="BM4" i="6"/>
  <c r="BN4" i="6" s="1" a="1"/>
  <c r="BN4" i="6" s="1"/>
  <c r="BO4" i="6"/>
  <c r="BP4" i="6" a="1"/>
  <c r="BP4" i="6" s="1"/>
  <c r="BQ4" i="6"/>
  <c r="BR4" i="6" s="1" a="1"/>
  <c r="BR4" i="6" s="1"/>
  <c r="BV4" i="6"/>
  <c r="BW4" i="6"/>
  <c r="BX4" i="6"/>
  <c r="BY4" i="6"/>
  <c r="BZ4" i="6"/>
  <c r="CA4" i="6"/>
  <c r="CB4" i="6"/>
  <c r="CC4" i="6"/>
  <c r="CE4" i="6"/>
  <c r="CF4" i="6"/>
  <c r="CG4" i="6"/>
  <c r="CH4" i="6"/>
  <c r="CI4" i="6"/>
  <c r="CJ4" i="6"/>
  <c r="CK4" i="6"/>
  <c r="A5" i="6"/>
  <c r="AT5" i="6" s="1" a="1"/>
  <c r="AT5" i="6" s="1"/>
  <c r="B5" i="6"/>
  <c r="C5" i="6"/>
  <c r="L5" i="6" s="1"/>
  <c r="D5" i="6"/>
  <c r="E5" i="6"/>
  <c r="F5" i="6"/>
  <c r="G5" i="6"/>
  <c r="K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V5" i="6"/>
  <c r="AW5" i="6" a="1"/>
  <c r="AW5" i="6" s="1"/>
  <c r="AX5" i="6" a="1"/>
  <c r="AX5" i="6" s="1"/>
  <c r="AY5" i="6"/>
  <c r="BF5" i="6"/>
  <c r="BG5" i="6"/>
  <c r="BH5" i="6"/>
  <c r="BI5" i="6"/>
  <c r="BJ5" i="6"/>
  <c r="BK5" i="6"/>
  <c r="BL5" i="6"/>
  <c r="BM5" i="6"/>
  <c r="BN5" i="6" s="1" a="1"/>
  <c r="BN5" i="6" s="1"/>
  <c r="BO5" i="6"/>
  <c r="BP5" i="6" a="1"/>
  <c r="BP5" i="6"/>
  <c r="BQ5" i="6"/>
  <c r="BR5" i="6" a="1"/>
  <c r="BR5" i="6" s="1"/>
  <c r="BV5" i="6"/>
  <c r="BW5" i="6"/>
  <c r="BX5" i="6"/>
  <c r="BY5" i="6"/>
  <c r="BZ5" i="6"/>
  <c r="CA5" i="6"/>
  <c r="CB5" i="6"/>
  <c r="CC5" i="6"/>
  <c r="CE5" i="6"/>
  <c r="CK5" i="6"/>
  <c r="A6" i="6"/>
  <c r="AN6" i="6" s="1"/>
  <c r="B6" i="6"/>
  <c r="C6" i="6"/>
  <c r="L6" i="6" s="1"/>
  <c r="D6" i="6"/>
  <c r="E6" i="6"/>
  <c r="F6" i="6"/>
  <c r="G6" i="6"/>
  <c r="J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O6" i="6"/>
  <c r="AP6" i="6"/>
  <c r="AQ6" i="6"/>
  <c r="AR6" i="6"/>
  <c r="AS6" i="6"/>
  <c r="AT6" i="6" a="1"/>
  <c r="AT6" i="6" s="1"/>
  <c r="AV6" i="6"/>
  <c r="AW6" i="6" a="1"/>
  <c r="AW6" i="6" s="1"/>
  <c r="AX6" i="6" a="1"/>
  <c r="AX6" i="6" s="1"/>
  <c r="AY6" i="6"/>
  <c r="BF6" i="6"/>
  <c r="BG6" i="6"/>
  <c r="BH6" i="6"/>
  <c r="BI6" i="6"/>
  <c r="BJ6" i="6"/>
  <c r="BK6" i="6"/>
  <c r="BL6" i="6"/>
  <c r="BM6" i="6"/>
  <c r="BN6" i="6" s="1" a="1"/>
  <c r="BN6" i="6" s="1"/>
  <c r="BO6" i="6"/>
  <c r="BP6" i="6" a="1"/>
  <c r="BP6" i="6" s="1"/>
  <c r="BQ6" i="6"/>
  <c r="BR6" i="6" a="1"/>
  <c r="BR6" i="6" s="1"/>
  <c r="BV6" i="6"/>
  <c r="BW6" i="6"/>
  <c r="BX6" i="6"/>
  <c r="BY6" i="6"/>
  <c r="BZ6" i="6"/>
  <c r="CA6" i="6"/>
  <c r="CB6" i="6"/>
  <c r="CC6" i="6"/>
  <c r="CE6" i="6"/>
  <c r="CF6" i="6"/>
  <c r="CG6" i="6"/>
  <c r="CH6" i="6"/>
  <c r="CI6" i="6"/>
  <c r="CJ6" i="6"/>
  <c r="CK6" i="6"/>
  <c r="A7" i="6"/>
  <c r="AT7" i="6" s="1" a="1"/>
  <c r="AT7" i="6" s="1"/>
  <c r="B7" i="6"/>
  <c r="C7" i="6"/>
  <c r="I7" i="6" s="1"/>
  <c r="D7" i="6"/>
  <c r="E7" i="6"/>
  <c r="F7" i="6"/>
  <c r="G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O7" i="6"/>
  <c r="AP7" i="6"/>
  <c r="AQ7" i="6"/>
  <c r="AR7" i="6"/>
  <c r="AS7" i="6"/>
  <c r="AV7" i="6"/>
  <c r="AW7" i="6" a="1"/>
  <c r="AW7" i="6" s="1"/>
  <c r="AX7" i="6" a="1"/>
  <c r="AX7" i="6" s="1"/>
  <c r="AY7" i="6"/>
  <c r="BF7" i="6"/>
  <c r="BG7" i="6"/>
  <c r="BH7" i="6"/>
  <c r="BI7" i="6"/>
  <c r="BJ7" i="6"/>
  <c r="BK7" i="6"/>
  <c r="BL7" i="6"/>
  <c r="BM7" i="6"/>
  <c r="BN7" i="6" s="1" a="1"/>
  <c r="BN7" i="6" s="1"/>
  <c r="BO7" i="6"/>
  <c r="BP7" i="6" a="1"/>
  <c r="BP7" i="6" s="1"/>
  <c r="BQ7" i="6"/>
  <c r="BR7" i="6" s="1" a="1"/>
  <c r="BR7" i="6" s="1"/>
  <c r="BV7" i="6"/>
  <c r="BW7" i="6"/>
  <c r="BX7" i="6"/>
  <c r="BY7" i="6"/>
  <c r="BZ7" i="6"/>
  <c r="CA7" i="6"/>
  <c r="CB7" i="6"/>
  <c r="CC7" i="6"/>
  <c r="CE7" i="6"/>
  <c r="CF7" i="6"/>
  <c r="CG7" i="6"/>
  <c r="CH7" i="6"/>
  <c r="CI7" i="6"/>
  <c r="CJ7" i="6"/>
  <c r="CK7" i="6"/>
  <c r="A8" i="6"/>
  <c r="B8" i="6"/>
  <c r="C8" i="6"/>
  <c r="M8" i="6" s="1"/>
  <c r="D8" i="6"/>
  <c r="E8" i="6"/>
  <c r="F8" i="6"/>
  <c r="G8" i="6"/>
  <c r="H8" i="6"/>
  <c r="I8" i="6"/>
  <c r="K8" i="6"/>
  <c r="L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N8" i="6" s="1"/>
  <c r="AL8" i="6"/>
  <c r="AM8" i="6"/>
  <c r="AO8" i="6"/>
  <c r="AP8" i="6"/>
  <c r="AQ8" i="6"/>
  <c r="AR8" i="6"/>
  <c r="AS8" i="6"/>
  <c r="AT8" i="6" a="1"/>
  <c r="AT8" i="6" s="1"/>
  <c r="AV8" i="6"/>
  <c r="AW8" i="6" a="1"/>
  <c r="AW8" i="6" s="1"/>
  <c r="AX8" i="6" a="1"/>
  <c r="AX8" i="6" s="1"/>
  <c r="AY8" i="6"/>
  <c r="BF8" i="6"/>
  <c r="BG8" i="6"/>
  <c r="BH8" i="6"/>
  <c r="BI8" i="6"/>
  <c r="BJ8" i="6"/>
  <c r="BK8" i="6"/>
  <c r="BL8" i="6"/>
  <c r="BM8" i="6"/>
  <c r="BN8" i="6" a="1"/>
  <c r="BN8" i="6" s="1"/>
  <c r="BO8" i="6"/>
  <c r="BP8" i="6" a="1"/>
  <c r="BP8" i="6" s="1"/>
  <c r="BQ8" i="6"/>
  <c r="BR8" i="6" a="1"/>
  <c r="BR8" i="6" s="1"/>
  <c r="BV8" i="6"/>
  <c r="BW8" i="6"/>
  <c r="BX8" i="6"/>
  <c r="BY8" i="6"/>
  <c r="BZ8" i="6"/>
  <c r="CA8" i="6"/>
  <c r="CB8" i="6"/>
  <c r="CC8" i="6"/>
  <c r="CE8" i="6"/>
  <c r="CF8" i="6"/>
  <c r="CG8" i="6"/>
  <c r="CH8" i="6"/>
  <c r="CI8" i="6"/>
  <c r="CJ8" i="6"/>
  <c r="CK8" i="6"/>
  <c r="A9" i="6"/>
  <c r="B9" i="6"/>
  <c r="C9" i="6"/>
  <c r="H9" i="6" s="1"/>
  <c r="D9" i="6"/>
  <c r="E9" i="6"/>
  <c r="F9" i="6"/>
  <c r="G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N9" i="6"/>
  <c r="AO9" i="6"/>
  <c r="AP9" i="6"/>
  <c r="AQ9" i="6"/>
  <c r="AR9" i="6"/>
  <c r="AS9" i="6"/>
  <c r="AT9" i="6" a="1"/>
  <c r="AT9" i="6" s="1"/>
  <c r="AV9" i="6"/>
  <c r="AW9" i="6" a="1"/>
  <c r="AW9" i="6" s="1"/>
  <c r="AX9" i="6" a="1"/>
  <c r="AX9" i="6" s="1"/>
  <c r="AY9" i="6"/>
  <c r="BF9" i="6"/>
  <c r="BG9" i="6"/>
  <c r="BH9" i="6"/>
  <c r="BI9" i="6"/>
  <c r="BJ9" i="6"/>
  <c r="BK9" i="6"/>
  <c r="BL9" i="6"/>
  <c r="BM9" i="6"/>
  <c r="BN9" i="6" a="1"/>
  <c r="BN9" i="6" s="1"/>
  <c r="BO9" i="6"/>
  <c r="BP9" i="6" a="1"/>
  <c r="BP9" i="6" s="1"/>
  <c r="BQ9" i="6"/>
  <c r="BR9" i="6" s="1" a="1"/>
  <c r="BR9" i="6" s="1"/>
  <c r="BV9" i="6"/>
  <c r="BW9" i="6"/>
  <c r="BX9" i="6"/>
  <c r="BY9" i="6"/>
  <c r="BZ9" i="6"/>
  <c r="CA9" i="6"/>
  <c r="CB9" i="6"/>
  <c r="CC9" i="6"/>
  <c r="CE9" i="6"/>
  <c r="CF9" i="6"/>
  <c r="CG9" i="6"/>
  <c r="CH9" i="6"/>
  <c r="CI9" i="6"/>
  <c r="CJ9" i="6"/>
  <c r="CK9" i="6"/>
  <c r="CI2" i="6"/>
  <c r="CH2" i="6"/>
  <c r="CE2" i="6"/>
  <c r="CC2" i="6"/>
  <c r="CB2" i="6"/>
  <c r="CA2" i="6"/>
  <c r="BZ2" i="6"/>
  <c r="BY2" i="6"/>
  <c r="BX2" i="6"/>
  <c r="BW2" i="6"/>
  <c r="BV2" i="6"/>
  <c r="BQ2" i="6"/>
  <c r="BP2" i="6" a="1"/>
  <c r="BP2" i="6" s="1"/>
  <c r="BO2" i="6"/>
  <c r="BM2" i="6"/>
  <c r="BN2" i="6" s="1" a="1"/>
  <c r="BN2" i="6" s="1"/>
  <c r="BL2" i="6"/>
  <c r="BK2" i="6"/>
  <c r="BJ2" i="6"/>
  <c r="BI2" i="6"/>
  <c r="BH2" i="6"/>
  <c r="BG2" i="6"/>
  <c r="BF2" i="6"/>
  <c r="AY2" i="6"/>
  <c r="AZ2" i="6" s="1"/>
  <c r="AK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G2" i="6"/>
  <c r="F2" i="6"/>
  <c r="E2" i="6"/>
  <c r="D2" i="6"/>
  <c r="C2" i="6"/>
  <c r="J2" i="6" s="1"/>
  <c r="B2" i="6"/>
  <c r="A2" i="6"/>
  <c r="AT2" i="6" s="1" a="1"/>
  <c r="AT2" i="6" s="1"/>
  <c r="BR2" i="6" a="1"/>
  <c r="BR2" i="6" s="1"/>
  <c r="CK2" i="6"/>
  <c r="I6" i="6" l="1"/>
  <c r="J5" i="6"/>
  <c r="K4" i="6"/>
  <c r="J8" i="6"/>
  <c r="H6" i="6"/>
  <c r="I5" i="6"/>
  <c r="H5" i="6"/>
  <c r="AZ5" i="6" s="1"/>
  <c r="BA5" i="6" s="1"/>
  <c r="AN4" i="6"/>
  <c r="AM6" i="6"/>
  <c r="AM9" i="6"/>
  <c r="M9" i="6"/>
  <c r="L9" i="6"/>
  <c r="K9" i="6"/>
  <c r="M6" i="6"/>
  <c r="M5" i="6"/>
  <c r="K6" i="6"/>
  <c r="BT6" i="6" s="1"/>
  <c r="H3" i="6"/>
  <c r="J3" i="6"/>
  <c r="AM3" i="6"/>
  <c r="AN3" i="6"/>
  <c r="AU3" i="6" s="1"/>
  <c r="AU6" i="6"/>
  <c r="AU8" i="6"/>
  <c r="BS6" i="6"/>
  <c r="BS8" i="6"/>
  <c r="BT9" i="6"/>
  <c r="BT5" i="6"/>
  <c r="AU9" i="6"/>
  <c r="BT8" i="6"/>
  <c r="AU5" i="6"/>
  <c r="AZ3" i="6"/>
  <c r="AZ8" i="6"/>
  <c r="BA8" i="6" s="1"/>
  <c r="H7" i="6"/>
  <c r="AT4" i="6" a="1"/>
  <c r="AT4" i="6" s="1"/>
  <c r="J4" i="6"/>
  <c r="I4" i="6"/>
  <c r="H4" i="6"/>
  <c r="AN7" i="6"/>
  <c r="AU7" i="6" s="1"/>
  <c r="AM7" i="6"/>
  <c r="J9" i="6"/>
  <c r="I9" i="6"/>
  <c r="BS9" i="6" s="1"/>
  <c r="M3" i="6"/>
  <c r="L3" i="6"/>
  <c r="K3" i="6"/>
  <c r="I3" i="6"/>
  <c r="M7" i="6"/>
  <c r="L7" i="6"/>
  <c r="K7" i="6"/>
  <c r="J7" i="6"/>
  <c r="M4" i="6"/>
  <c r="BT4" i="6" s="1"/>
  <c r="AM2" i="6"/>
  <c r="AN2" i="6"/>
  <c r="L2" i="6"/>
  <c r="K2" i="6"/>
  <c r="H2" i="6"/>
  <c r="I2" i="6"/>
  <c r="M2" i="6"/>
  <c r="AU4" i="6" l="1"/>
  <c r="AZ7" i="6"/>
  <c r="BA7" i="6" s="1"/>
  <c r="BB7" i="6" s="1" a="1"/>
  <c r="BB7" i="6" s="1"/>
  <c r="BC7" i="6" s="1"/>
  <c r="BS5" i="6"/>
  <c r="BU5" i="6" s="1"/>
  <c r="AZ6" i="6"/>
  <c r="BA6" i="6" s="1"/>
  <c r="BB6" i="6" s="1" a="1"/>
  <c r="BB6" i="6" s="1"/>
  <c r="BT7" i="6"/>
  <c r="AZ9" i="6"/>
  <c r="BA9" i="6" s="1"/>
  <c r="BB9" i="6" s="1" a="1"/>
  <c r="BB9" i="6" s="1"/>
  <c r="BC9" i="6" s="1"/>
  <c r="AZ4" i="6"/>
  <c r="BA4" i="6" s="1"/>
  <c r="BB5" i="6" a="1"/>
  <c r="BB5" i="6" s="1"/>
  <c r="BC5" i="6" s="1"/>
  <c r="BU9" i="6"/>
  <c r="AJ3" i="6"/>
  <c r="AL3" i="6" s="1"/>
  <c r="AV3" i="6" s="1"/>
  <c r="AW3" i="6" s="1" a="1"/>
  <c r="AW3" i="6" s="1"/>
  <c r="BS3" i="6"/>
  <c r="BU6" i="6"/>
  <c r="BB8" i="6" a="1"/>
  <c r="BB8" i="6" s="1"/>
  <c r="BD8" i="6" s="1" a="1"/>
  <c r="BD8" i="6" s="1"/>
  <c r="BE8" i="6" s="1"/>
  <c r="CD8" i="6" s="1"/>
  <c r="BU8" i="6"/>
  <c r="BS7" i="6"/>
  <c r="BS4" i="6"/>
  <c r="BU4" i="6" s="1"/>
  <c r="AJ2" i="6"/>
  <c r="AL2" i="6" s="1"/>
  <c r="BS2" i="6"/>
  <c r="N10" i="33"/>
  <c r="M10" i="33"/>
  <c r="BB4" i="6" l="1" a="1"/>
  <c r="BB4" i="6" s="1"/>
  <c r="BD4" i="6" s="1" a="1"/>
  <c r="BD4" i="6" s="1"/>
  <c r="BE4" i="6" s="1"/>
  <c r="CD4" i="6" s="1"/>
  <c r="BU7" i="6"/>
  <c r="BD5" i="6" a="1"/>
  <c r="BD5" i="6" s="1"/>
  <c r="BE5" i="6" s="1"/>
  <c r="CD5" i="6" s="1"/>
  <c r="BC6" i="6"/>
  <c r="BD6" i="6" a="1"/>
  <c r="BD6" i="6" s="1"/>
  <c r="BE6" i="6" s="1"/>
  <c r="CD6" i="6" s="1"/>
  <c r="AX3" i="6" a="1"/>
  <c r="AX3" i="6" s="1"/>
  <c r="BA3" i="6"/>
  <c r="BB3" i="6" s="1" a="1"/>
  <c r="BB3" i="6" s="1"/>
  <c r="BC3" i="6" s="1"/>
  <c r="BD9" i="6" a="1"/>
  <c r="BD9" i="6" s="1"/>
  <c r="BE9" i="6" s="1"/>
  <c r="CD9" i="6" s="1"/>
  <c r="BC8" i="6"/>
  <c r="BD7" i="6" a="1"/>
  <c r="BD7" i="6" s="1"/>
  <c r="BE7" i="6" s="1"/>
  <c r="CD7" i="6" s="1"/>
  <c r="AG10" i="33"/>
  <c r="AG12" i="33" s="1"/>
  <c r="AF10" i="33"/>
  <c r="AF12" i="33" s="1"/>
  <c r="P10" i="33"/>
  <c r="P12" i="33" s="1"/>
  <c r="D4" i="33"/>
  <c r="AF8" i="3"/>
  <c r="CJ2" i="6" s="1"/>
  <c r="AE12" i="33"/>
  <c r="AC12" i="33"/>
  <c r="N12" i="33"/>
  <c r="M12" i="33"/>
  <c r="I12" i="33"/>
  <c r="G12" i="33"/>
  <c r="BC4" i="6" l="1"/>
  <c r="BT3" i="6"/>
  <c r="BU3" i="6" s="1"/>
  <c r="AH10" i="33"/>
  <c r="AH12" i="33" s="1"/>
  <c r="AH13" i="33" s="1"/>
  <c r="BD3" i="6" a="1"/>
  <c r="BD3" i="6" s="1"/>
  <c r="BE3" i="6" s="1"/>
  <c r="CD3" i="6" s="1"/>
  <c r="AF13" i="33"/>
  <c r="AG13" i="33"/>
  <c r="CF3" i="6" l="1"/>
  <c r="M7" i="2"/>
  <c r="M10" i="2" s="1"/>
  <c r="L7" i="2"/>
  <c r="L10" i="2" s="1"/>
  <c r="G7" i="2"/>
  <c r="J10" i="33" s="1"/>
  <c r="G2" i="32"/>
  <c r="A2" i="32"/>
  <c r="R2" i="32" s="1"/>
  <c r="A3" i="31"/>
  <c r="R3" i="31" s="1"/>
  <c r="G3" i="31"/>
  <c r="Q3" i="31"/>
  <c r="A4" i="31"/>
  <c r="E4" i="31" s="1"/>
  <c r="D4" i="31"/>
  <c r="F4" i="31"/>
  <c r="G4" i="31"/>
  <c r="Q4" i="31"/>
  <c r="R4" i="31"/>
  <c r="A5" i="31"/>
  <c r="E5" i="31" s="1"/>
  <c r="B5" i="31"/>
  <c r="C5" i="31"/>
  <c r="D5" i="31"/>
  <c r="F5" i="31"/>
  <c r="G5" i="31"/>
  <c r="Q5" i="31"/>
  <c r="R5" i="31"/>
  <c r="A6" i="31"/>
  <c r="C6" i="31" s="1"/>
  <c r="B6" i="31"/>
  <c r="D6" i="31"/>
  <c r="F6" i="31"/>
  <c r="G6" i="31"/>
  <c r="Q6" i="31"/>
  <c r="R6" i="31"/>
  <c r="A7" i="31"/>
  <c r="R7" i="31" s="1"/>
  <c r="G7" i="31"/>
  <c r="A8" i="31"/>
  <c r="E8" i="31" s="1"/>
  <c r="B8" i="31"/>
  <c r="C8" i="31"/>
  <c r="D8" i="31"/>
  <c r="F8" i="31"/>
  <c r="G8" i="31"/>
  <c r="Q8" i="31"/>
  <c r="R8" i="31"/>
  <c r="A9" i="31"/>
  <c r="E9" i="31" s="1"/>
  <c r="B9" i="31"/>
  <c r="C9" i="31"/>
  <c r="D9" i="31"/>
  <c r="F9" i="31"/>
  <c r="G9" i="31"/>
  <c r="Q9" i="31"/>
  <c r="R9" i="31"/>
  <c r="A10" i="31"/>
  <c r="C10" i="31" s="1"/>
  <c r="F10" i="31"/>
  <c r="G10" i="31"/>
  <c r="R10" i="31"/>
  <c r="A11" i="31"/>
  <c r="R11" i="31" s="1"/>
  <c r="C11" i="31"/>
  <c r="D11" i="31"/>
  <c r="F11" i="31"/>
  <c r="G11" i="31"/>
  <c r="A12" i="31"/>
  <c r="E12" i="31" s="1"/>
  <c r="B12" i="31"/>
  <c r="C12" i="31"/>
  <c r="D12" i="31"/>
  <c r="F12" i="31"/>
  <c r="G12" i="31"/>
  <c r="Q12" i="31"/>
  <c r="R12" i="31"/>
  <c r="A13" i="31"/>
  <c r="E13" i="31" s="1"/>
  <c r="B13" i="31"/>
  <c r="C13" i="31"/>
  <c r="D13" i="31"/>
  <c r="F13" i="31"/>
  <c r="G13" i="31"/>
  <c r="Q13" i="31"/>
  <c r="R13" i="31"/>
  <c r="A14" i="31"/>
  <c r="C14" i="31" s="1"/>
  <c r="F14" i="31"/>
  <c r="G14" i="31"/>
  <c r="Q14" i="31"/>
  <c r="R14" i="31"/>
  <c r="A15" i="31"/>
  <c r="R15" i="31" s="1"/>
  <c r="B15" i="31"/>
  <c r="E15" i="31"/>
  <c r="F15" i="31"/>
  <c r="G15" i="31"/>
  <c r="Q15" i="31"/>
  <c r="A16" i="31"/>
  <c r="E16" i="31" s="1"/>
  <c r="G16" i="31"/>
  <c r="A17" i="31"/>
  <c r="E17" i="31" s="1"/>
  <c r="B17" i="31"/>
  <c r="F17" i="31"/>
  <c r="G17" i="31"/>
  <c r="Q17" i="31"/>
  <c r="R17" i="31"/>
  <c r="A18" i="31"/>
  <c r="C18" i="31" s="1"/>
  <c r="B18" i="31"/>
  <c r="F18" i="31"/>
  <c r="G18" i="31"/>
  <c r="Q18" i="31"/>
  <c r="R18" i="31"/>
  <c r="A19" i="31"/>
  <c r="R19" i="31" s="1"/>
  <c r="B19" i="31"/>
  <c r="C19" i="31"/>
  <c r="D19" i="31"/>
  <c r="E19" i="31"/>
  <c r="F19" i="31"/>
  <c r="G19" i="31"/>
  <c r="Q19" i="31"/>
  <c r="A20" i="31"/>
  <c r="E20" i="31" s="1"/>
  <c r="B20" i="31"/>
  <c r="C20" i="31"/>
  <c r="D20" i="31"/>
  <c r="F20" i="31"/>
  <c r="G20" i="31"/>
  <c r="Q20" i="31"/>
  <c r="R20" i="31"/>
  <c r="A21" i="31"/>
  <c r="E21" i="31" s="1"/>
  <c r="B21" i="31"/>
  <c r="C21" i="31"/>
  <c r="D21" i="31"/>
  <c r="F21" i="31"/>
  <c r="G21" i="31"/>
  <c r="Q21" i="31"/>
  <c r="R21" i="31"/>
  <c r="A22" i="31"/>
  <c r="C22" i="31" s="1"/>
  <c r="B22" i="31"/>
  <c r="F22" i="31"/>
  <c r="G22" i="31"/>
  <c r="Q22" i="31"/>
  <c r="R22" i="31"/>
  <c r="A23" i="31"/>
  <c r="R23" i="31" s="1"/>
  <c r="B23" i="31"/>
  <c r="C23" i="31"/>
  <c r="D23" i="31"/>
  <c r="E23" i="31"/>
  <c r="F23" i="31"/>
  <c r="G23" i="31"/>
  <c r="Q23" i="31"/>
  <c r="A24" i="31"/>
  <c r="E24" i="31" s="1"/>
  <c r="B24" i="31"/>
  <c r="C24" i="31"/>
  <c r="G24" i="31"/>
  <c r="Q24" i="31"/>
  <c r="R24" i="31"/>
  <c r="A25" i="31"/>
  <c r="E25" i="31" s="1"/>
  <c r="B25" i="31"/>
  <c r="C25" i="31"/>
  <c r="F25" i="31"/>
  <c r="G25" i="31"/>
  <c r="A26" i="31"/>
  <c r="C26" i="31" s="1"/>
  <c r="B26" i="31"/>
  <c r="D26" i="31"/>
  <c r="F26" i="31"/>
  <c r="G26" i="31"/>
  <c r="Q26" i="31"/>
  <c r="R26" i="31"/>
  <c r="A27" i="31"/>
  <c r="R27" i="31" s="1"/>
  <c r="B27" i="31"/>
  <c r="C27" i="31"/>
  <c r="D27" i="31"/>
  <c r="E27" i="31"/>
  <c r="F27" i="31"/>
  <c r="G27" i="31"/>
  <c r="Q27" i="31"/>
  <c r="A28" i="31"/>
  <c r="E28" i="31" s="1"/>
  <c r="D28" i="31"/>
  <c r="F28" i="31"/>
  <c r="G28" i="31"/>
  <c r="Q28" i="31"/>
  <c r="R28" i="31"/>
  <c r="A29" i="31"/>
  <c r="E29" i="31" s="1"/>
  <c r="D29" i="31"/>
  <c r="F29" i="31"/>
  <c r="G29" i="31"/>
  <c r="Q29" i="31"/>
  <c r="R29" i="31"/>
  <c r="G2" i="31"/>
  <c r="A2" i="31"/>
  <c r="R2" i="31" s="1"/>
  <c r="A3" i="25"/>
  <c r="B3" i="25" s="1"/>
  <c r="G3" i="25"/>
  <c r="A4" i="25"/>
  <c r="B4" i="25" s="1"/>
  <c r="E4" i="25"/>
  <c r="F4" i="25"/>
  <c r="G4" i="25"/>
  <c r="Q4" i="25"/>
  <c r="R4" i="25"/>
  <c r="A5" i="25"/>
  <c r="B5" i="25" s="1"/>
  <c r="F5" i="25"/>
  <c r="G5" i="25"/>
  <c r="Q5" i="25"/>
  <c r="R5" i="25"/>
  <c r="A6" i="25"/>
  <c r="B6" i="25" s="1"/>
  <c r="D6" i="25"/>
  <c r="F6" i="25"/>
  <c r="G6" i="25"/>
  <c r="R6" i="25"/>
  <c r="A7" i="25"/>
  <c r="B7" i="25" s="1"/>
  <c r="F7" i="25"/>
  <c r="G7" i="25"/>
  <c r="Q7" i="25"/>
  <c r="R7" i="25"/>
  <c r="A8" i="25"/>
  <c r="B8" i="25" s="1"/>
  <c r="G8" i="25"/>
  <c r="Q8" i="25"/>
  <c r="R8" i="25"/>
  <c r="A9" i="25"/>
  <c r="B9" i="25" s="1"/>
  <c r="F9" i="25"/>
  <c r="G9" i="25"/>
  <c r="R9" i="25"/>
  <c r="A10" i="25"/>
  <c r="B10" i="25" s="1"/>
  <c r="D10" i="25"/>
  <c r="F10" i="25"/>
  <c r="G10" i="25"/>
  <c r="R10" i="25"/>
  <c r="A11" i="25"/>
  <c r="B11" i="25" s="1"/>
  <c r="G11" i="25"/>
  <c r="Q11" i="25"/>
  <c r="R11" i="25"/>
  <c r="A12" i="25"/>
  <c r="B12" i="25" s="1"/>
  <c r="E12" i="25"/>
  <c r="F12" i="25"/>
  <c r="G12" i="25"/>
  <c r="Q12" i="25"/>
  <c r="R12" i="25"/>
  <c r="A13" i="25"/>
  <c r="B13" i="25" s="1"/>
  <c r="F13" i="25"/>
  <c r="G13" i="25"/>
  <c r="Q13" i="25"/>
  <c r="R13" i="25"/>
  <c r="A14" i="25"/>
  <c r="B14" i="25" s="1"/>
  <c r="D14" i="25"/>
  <c r="E14" i="25"/>
  <c r="F14" i="25"/>
  <c r="G14" i="25"/>
  <c r="A15" i="25"/>
  <c r="B15" i="25" s="1"/>
  <c r="F15" i="25"/>
  <c r="G15" i="25"/>
  <c r="Q15" i="25"/>
  <c r="R15" i="25"/>
  <c r="A16" i="25"/>
  <c r="B16" i="25" s="1"/>
  <c r="G16" i="25"/>
  <c r="A17" i="25"/>
  <c r="B17" i="25" s="1"/>
  <c r="F17" i="25"/>
  <c r="G17" i="25"/>
  <c r="Q17" i="25"/>
  <c r="R17" i="25"/>
  <c r="A18" i="25"/>
  <c r="B18" i="25" s="1"/>
  <c r="D18" i="25"/>
  <c r="E18" i="25"/>
  <c r="F18" i="25"/>
  <c r="G18" i="25"/>
  <c r="R18" i="25"/>
  <c r="A19" i="25"/>
  <c r="B19" i="25" s="1"/>
  <c r="F19" i="25"/>
  <c r="G19" i="25"/>
  <c r="Q19" i="25"/>
  <c r="R19" i="25"/>
  <c r="A20" i="25"/>
  <c r="B20" i="25" s="1"/>
  <c r="E20" i="25"/>
  <c r="F20" i="25"/>
  <c r="G20" i="25"/>
  <c r="Q20" i="25"/>
  <c r="R20" i="25"/>
  <c r="A21" i="25"/>
  <c r="B21" i="25" s="1"/>
  <c r="G21" i="25"/>
  <c r="R21" i="25"/>
  <c r="A22" i="25"/>
  <c r="B22" i="25" s="1"/>
  <c r="E22" i="25"/>
  <c r="F22" i="25"/>
  <c r="G22" i="25"/>
  <c r="A23" i="25"/>
  <c r="B23" i="25" s="1"/>
  <c r="F23" i="25"/>
  <c r="G23" i="25"/>
  <c r="Q23" i="25"/>
  <c r="R23" i="25"/>
  <c r="A24" i="25"/>
  <c r="B24" i="25" s="1"/>
  <c r="E24" i="25"/>
  <c r="F24" i="25"/>
  <c r="G24" i="25"/>
  <c r="Q24" i="25"/>
  <c r="R24" i="25"/>
  <c r="A25" i="25"/>
  <c r="B25" i="25" s="1"/>
  <c r="F25" i="25"/>
  <c r="G25" i="25"/>
  <c r="Q25" i="25"/>
  <c r="R25" i="25"/>
  <c r="A26" i="25"/>
  <c r="B26" i="25" s="1"/>
  <c r="D26" i="25"/>
  <c r="E26" i="25"/>
  <c r="F26" i="25"/>
  <c r="G26" i="25"/>
  <c r="R26" i="25"/>
  <c r="A27" i="25"/>
  <c r="B27" i="25" s="1"/>
  <c r="F27" i="25"/>
  <c r="G27" i="25"/>
  <c r="Q27" i="25"/>
  <c r="R27" i="25"/>
  <c r="A28" i="25"/>
  <c r="B28" i="25" s="1"/>
  <c r="F28" i="25"/>
  <c r="G28" i="25"/>
  <c r="Q28" i="25"/>
  <c r="R28" i="25"/>
  <c r="A29" i="25"/>
  <c r="B29" i="25" s="1"/>
  <c r="G29" i="25"/>
  <c r="G2" i="25"/>
  <c r="A2" i="25"/>
  <c r="R2" i="25" s="1"/>
  <c r="A3" i="24"/>
  <c r="J3" i="24" s="1"/>
  <c r="I3" i="24"/>
  <c r="N3" i="24"/>
  <c r="O3" i="24"/>
  <c r="P3" i="24"/>
  <c r="Q3" i="24"/>
  <c r="S3" i="24"/>
  <c r="U3" i="24"/>
  <c r="W3" i="24"/>
  <c r="Z3" i="24"/>
  <c r="AA3" i="24"/>
  <c r="AB3" i="24"/>
  <c r="AC3" i="24"/>
  <c r="A4" i="24"/>
  <c r="C4" i="24"/>
  <c r="E4" i="24"/>
  <c r="I4" i="24"/>
  <c r="L4" i="24"/>
  <c r="M4" i="24"/>
  <c r="A5" i="24"/>
  <c r="R5" i="24" s="1"/>
  <c r="B5" i="24"/>
  <c r="C5" i="24"/>
  <c r="D5" i="24"/>
  <c r="I5" i="24"/>
  <c r="J5" i="24"/>
  <c r="K5" i="24"/>
  <c r="L5" i="24"/>
  <c r="M5" i="24"/>
  <c r="O5" i="24"/>
  <c r="A6" i="24"/>
  <c r="B6" i="24"/>
  <c r="C6" i="24"/>
  <c r="D6" i="24"/>
  <c r="E6" i="24"/>
  <c r="F6" i="24"/>
  <c r="I6" i="24"/>
  <c r="K6" i="24"/>
  <c r="L6" i="24"/>
  <c r="M6" i="24"/>
  <c r="N6" i="24"/>
  <c r="O6" i="24"/>
  <c r="A7" i="24"/>
  <c r="M7" i="24" s="1"/>
  <c r="C7" i="24"/>
  <c r="E7" i="24"/>
  <c r="G7" i="24"/>
  <c r="I7" i="24"/>
  <c r="L7" i="24"/>
  <c r="A8" i="24"/>
  <c r="J8" i="24" s="1"/>
  <c r="C8" i="24"/>
  <c r="E8" i="24"/>
  <c r="F8" i="24"/>
  <c r="G8" i="24"/>
  <c r="I8" i="24"/>
  <c r="K8" i="24"/>
  <c r="A9" i="24"/>
  <c r="G9" i="24"/>
  <c r="J9" i="24"/>
  <c r="K9" i="24"/>
  <c r="L9" i="24"/>
  <c r="M9" i="24"/>
  <c r="N9" i="24"/>
  <c r="O9" i="24"/>
  <c r="P9" i="24"/>
  <c r="Q9" i="24"/>
  <c r="S9" i="24"/>
  <c r="U9" i="24"/>
  <c r="W9" i="24"/>
  <c r="Z9" i="24"/>
  <c r="AA9" i="24"/>
  <c r="AB9" i="24"/>
  <c r="AC9" i="24"/>
  <c r="A10" i="24"/>
  <c r="M10" i="24" s="1"/>
  <c r="G10" i="24"/>
  <c r="L10" i="24"/>
  <c r="A11" i="24"/>
  <c r="R11" i="24" s="1"/>
  <c r="B11" i="24"/>
  <c r="C11" i="24"/>
  <c r="D11" i="24"/>
  <c r="E11" i="24"/>
  <c r="F11" i="24"/>
  <c r="G11" i="24"/>
  <c r="I11" i="24"/>
  <c r="A12" i="24"/>
  <c r="B12" i="24"/>
  <c r="C12" i="24"/>
  <c r="E12" i="24"/>
  <c r="F12" i="24"/>
  <c r="G12" i="24"/>
  <c r="K12" i="24"/>
  <c r="L12" i="24"/>
  <c r="M12" i="24"/>
  <c r="A13" i="24"/>
  <c r="I13" i="24" s="1"/>
  <c r="C13" i="24"/>
  <c r="E13" i="24"/>
  <c r="G13" i="24"/>
  <c r="L13" i="24"/>
  <c r="M13" i="24"/>
  <c r="A14" i="24"/>
  <c r="R14" i="24" s="1"/>
  <c r="C14" i="24"/>
  <c r="D14" i="24"/>
  <c r="G14" i="24"/>
  <c r="A15" i="24"/>
  <c r="R15" i="24" s="1"/>
  <c r="B15" i="24"/>
  <c r="C15" i="24"/>
  <c r="D15" i="24"/>
  <c r="E15" i="24"/>
  <c r="F15" i="24"/>
  <c r="G15" i="24"/>
  <c r="I15" i="24"/>
  <c r="J15" i="24"/>
  <c r="K15" i="24"/>
  <c r="L15" i="24"/>
  <c r="M15" i="24"/>
  <c r="N15" i="24"/>
  <c r="O15" i="24"/>
  <c r="P15" i="24"/>
  <c r="Q15" i="24"/>
  <c r="S15" i="24"/>
  <c r="U15" i="24"/>
  <c r="W15" i="24"/>
  <c r="Z15" i="24"/>
  <c r="AA15" i="24"/>
  <c r="AB15" i="24"/>
  <c r="AC15" i="24"/>
  <c r="A16" i="24"/>
  <c r="I16" i="24" s="1"/>
  <c r="C16" i="24"/>
  <c r="E16" i="24"/>
  <c r="G16" i="24"/>
  <c r="A17" i="24"/>
  <c r="C17" i="24" s="1"/>
  <c r="B17" i="24"/>
  <c r="D17" i="24"/>
  <c r="F17" i="24"/>
  <c r="G17" i="24"/>
  <c r="I17" i="24"/>
  <c r="J17" i="24"/>
  <c r="K17" i="24"/>
  <c r="L17" i="24"/>
  <c r="M17" i="24"/>
  <c r="N17" i="24"/>
  <c r="O17" i="24"/>
  <c r="P17" i="24"/>
  <c r="Q17" i="24"/>
  <c r="S17" i="24"/>
  <c r="U17" i="24"/>
  <c r="W17" i="24"/>
  <c r="Z17" i="24"/>
  <c r="AA17" i="24"/>
  <c r="AB17" i="24"/>
  <c r="AC17" i="24"/>
  <c r="A18" i="24"/>
  <c r="K18" i="24" s="1"/>
  <c r="C18" i="24"/>
  <c r="D18" i="24"/>
  <c r="G18" i="24"/>
  <c r="J18" i="24"/>
  <c r="A19" i="24"/>
  <c r="M19" i="24" s="1"/>
  <c r="C19" i="24"/>
  <c r="E19" i="24"/>
  <c r="G19" i="24"/>
  <c r="I19" i="24"/>
  <c r="L19" i="24"/>
  <c r="A20" i="24"/>
  <c r="G20" i="24"/>
  <c r="A21" i="24"/>
  <c r="R21" i="24" s="1"/>
  <c r="B21" i="24"/>
  <c r="C21" i="24"/>
  <c r="D21" i="24"/>
  <c r="E21" i="24"/>
  <c r="F21" i="24"/>
  <c r="G21" i="24"/>
  <c r="I21" i="24"/>
  <c r="J21" i="24"/>
  <c r="K21" i="24"/>
  <c r="L21" i="24"/>
  <c r="M21" i="24"/>
  <c r="N21" i="24"/>
  <c r="O21" i="24"/>
  <c r="P21" i="24"/>
  <c r="Q21" i="24"/>
  <c r="S21" i="24"/>
  <c r="U21" i="24"/>
  <c r="W21" i="24"/>
  <c r="Z21" i="24"/>
  <c r="AA21" i="24"/>
  <c r="AB21" i="24"/>
  <c r="AC21" i="24"/>
  <c r="A22" i="24"/>
  <c r="C22" i="24"/>
  <c r="G22" i="24"/>
  <c r="A23" i="24"/>
  <c r="B23" i="24"/>
  <c r="F23" i="24"/>
  <c r="G23" i="24"/>
  <c r="I23" i="24"/>
  <c r="J23" i="24"/>
  <c r="K23" i="24"/>
  <c r="L23" i="24"/>
  <c r="M23" i="24"/>
  <c r="N23" i="24"/>
  <c r="O23" i="24"/>
  <c r="P23" i="24"/>
  <c r="Q23" i="24"/>
  <c r="S23" i="24"/>
  <c r="U23" i="24"/>
  <c r="W23" i="24"/>
  <c r="Z23" i="24"/>
  <c r="AA23" i="24"/>
  <c r="AB23" i="24"/>
  <c r="AC23" i="24"/>
  <c r="A24" i="24"/>
  <c r="B24" i="24"/>
  <c r="G24" i="24"/>
  <c r="I24" i="24"/>
  <c r="A25" i="24"/>
  <c r="C25" i="24" s="1"/>
  <c r="G25" i="24"/>
  <c r="I25" i="24"/>
  <c r="L25" i="24"/>
  <c r="M25" i="24"/>
  <c r="A26" i="24"/>
  <c r="B26" i="24" s="1"/>
  <c r="G26" i="24"/>
  <c r="A27" i="24"/>
  <c r="C27" i="24"/>
  <c r="D27" i="24"/>
  <c r="E27" i="24"/>
  <c r="F27" i="24"/>
  <c r="G27" i="24"/>
  <c r="I27" i="24"/>
  <c r="J27" i="24"/>
  <c r="K27" i="24"/>
  <c r="L27" i="24"/>
  <c r="M27" i="24"/>
  <c r="N27" i="24"/>
  <c r="O27" i="24"/>
  <c r="P27" i="24"/>
  <c r="Q27" i="24"/>
  <c r="S27" i="24"/>
  <c r="U27" i="24"/>
  <c r="W27" i="24"/>
  <c r="Z27" i="24"/>
  <c r="AA27" i="24"/>
  <c r="AB27" i="24"/>
  <c r="AC27" i="24"/>
  <c r="A28" i="24"/>
  <c r="G28" i="24"/>
  <c r="A29" i="24"/>
  <c r="R29" i="24" s="1"/>
  <c r="B29" i="24"/>
  <c r="G29" i="24"/>
  <c r="A2" i="24"/>
  <c r="U8" i="3"/>
  <c r="T8" i="3"/>
  <c r="V10" i="33" s="1"/>
  <c r="V12" i="33" s="1"/>
  <c r="S8" i="3"/>
  <c r="U10" i="33" s="1"/>
  <c r="U12" i="33" s="1"/>
  <c r="R8" i="3"/>
  <c r="T10" i="33" s="1"/>
  <c r="T12" i="33" s="1"/>
  <c r="Q8" i="3"/>
  <c r="S10" i="33" s="1"/>
  <c r="S12" i="33" s="1"/>
  <c r="P8" i="3"/>
  <c r="R10" i="33" s="1"/>
  <c r="R12" i="33" s="1"/>
  <c r="Z7" i="2"/>
  <c r="AD7" i="2"/>
  <c r="AB8" i="3"/>
  <c r="AD10" i="33" s="1"/>
  <c r="AC7" i="2"/>
  <c r="AB7" i="2"/>
  <c r="J7" i="2"/>
  <c r="Y7" i="2"/>
  <c r="X7" i="2"/>
  <c r="S7" i="2"/>
  <c r="R7" i="2"/>
  <c r="Q7" i="2"/>
  <c r="P7" i="2"/>
  <c r="F7" i="2"/>
  <c r="X10" i="33" l="1"/>
  <c r="X12" i="33" s="1"/>
  <c r="D29" i="24"/>
  <c r="C26" i="24"/>
  <c r="Q20" i="24"/>
  <c r="R20" i="24"/>
  <c r="R22" i="25"/>
  <c r="F16" i="25"/>
  <c r="C16" i="31"/>
  <c r="C29" i="24"/>
  <c r="N22" i="24"/>
  <c r="R22" i="24"/>
  <c r="F14" i="24"/>
  <c r="N5" i="24"/>
  <c r="F29" i="25"/>
  <c r="E16" i="25"/>
  <c r="Q9" i="25"/>
  <c r="D25" i="31"/>
  <c r="B16" i="31"/>
  <c r="E11" i="31"/>
  <c r="D22" i="25"/>
  <c r="B11" i="31"/>
  <c r="E25" i="24"/>
  <c r="N19" i="24"/>
  <c r="R19" i="24"/>
  <c r="W8" i="24"/>
  <c r="R8" i="24"/>
  <c r="F5" i="24"/>
  <c r="E28" i="25"/>
  <c r="Q21" i="25"/>
  <c r="C29" i="31"/>
  <c r="D15" i="31"/>
  <c r="Q10" i="31"/>
  <c r="E5" i="24"/>
  <c r="R14" i="25"/>
  <c r="F8" i="25"/>
  <c r="B29" i="31"/>
  <c r="F24" i="31"/>
  <c r="C15" i="31"/>
  <c r="F21" i="25"/>
  <c r="E8" i="25"/>
  <c r="D24" i="31"/>
  <c r="D10" i="31"/>
  <c r="B10" i="31"/>
  <c r="C28" i="31"/>
  <c r="D14" i="31"/>
  <c r="B28" i="31"/>
  <c r="B14" i="31"/>
  <c r="L18" i="24"/>
  <c r="R18" i="24"/>
  <c r="E6" i="25"/>
  <c r="D18" i="31"/>
  <c r="C4" i="31"/>
  <c r="B4" i="31"/>
  <c r="N28" i="24"/>
  <c r="R28" i="24"/>
  <c r="N10" i="24"/>
  <c r="R10" i="24"/>
  <c r="J24" i="24"/>
  <c r="R24" i="24"/>
  <c r="N7" i="24"/>
  <c r="R7" i="24"/>
  <c r="U29" i="24"/>
  <c r="D22" i="31"/>
  <c r="F3" i="31"/>
  <c r="N12" i="24"/>
  <c r="R12" i="24"/>
  <c r="D17" i="31"/>
  <c r="D3" i="31"/>
  <c r="B27" i="24"/>
  <c r="R27" i="24"/>
  <c r="B9" i="24"/>
  <c r="R9" i="24"/>
  <c r="F11" i="25"/>
  <c r="C17" i="31"/>
  <c r="C3" i="31"/>
  <c r="O26" i="24"/>
  <c r="R26" i="24"/>
  <c r="Z29" i="24"/>
  <c r="U8" i="24"/>
  <c r="Q7" i="31"/>
  <c r="AB5" i="24"/>
  <c r="AB29" i="24"/>
  <c r="R16" i="31"/>
  <c r="F7" i="31"/>
  <c r="N16" i="24"/>
  <c r="R16" i="24"/>
  <c r="AA29" i="24"/>
  <c r="Q16" i="31"/>
  <c r="E7" i="31"/>
  <c r="N25" i="24"/>
  <c r="R25" i="24"/>
  <c r="N13" i="24"/>
  <c r="R13" i="24"/>
  <c r="AC29" i="24"/>
  <c r="W29" i="24"/>
  <c r="AC11" i="24"/>
  <c r="Q29" i="24"/>
  <c r="Z11" i="24"/>
  <c r="P29" i="24"/>
  <c r="P20" i="24"/>
  <c r="O20" i="24"/>
  <c r="U11" i="24"/>
  <c r="P6" i="24"/>
  <c r="R6" i="24"/>
  <c r="N29" i="24"/>
  <c r="N20" i="24"/>
  <c r="S11" i="24"/>
  <c r="N26" i="24"/>
  <c r="Q11" i="24"/>
  <c r="L29" i="24"/>
  <c r="J20" i="24"/>
  <c r="P11" i="24"/>
  <c r="K29" i="24"/>
  <c r="L26" i="24"/>
  <c r="I20" i="24"/>
  <c r="P14" i="24"/>
  <c r="O11" i="24"/>
  <c r="S8" i="24"/>
  <c r="Z5" i="24"/>
  <c r="J29" i="24"/>
  <c r="O14" i="24"/>
  <c r="N11" i="24"/>
  <c r="W5" i="24"/>
  <c r="F26" i="24"/>
  <c r="C23" i="24"/>
  <c r="R23" i="24"/>
  <c r="E20" i="24"/>
  <c r="K14" i="24"/>
  <c r="L11" i="24"/>
  <c r="N8" i="24"/>
  <c r="S5" i="24"/>
  <c r="R16" i="25"/>
  <c r="E10" i="25"/>
  <c r="R3" i="25"/>
  <c r="R25" i="31"/>
  <c r="D7" i="31"/>
  <c r="S29" i="24"/>
  <c r="AA11" i="24"/>
  <c r="W11" i="24"/>
  <c r="M29" i="24"/>
  <c r="Q14" i="24"/>
  <c r="K26" i="24"/>
  <c r="Q8" i="24"/>
  <c r="P8" i="24"/>
  <c r="E26" i="24"/>
  <c r="K11" i="24"/>
  <c r="M8" i="24"/>
  <c r="Q5" i="24"/>
  <c r="R29" i="25"/>
  <c r="Q16" i="25"/>
  <c r="Q25" i="31"/>
  <c r="F16" i="31"/>
  <c r="Q11" i="31"/>
  <c r="C7" i="31"/>
  <c r="N4" i="24"/>
  <c r="R4" i="24"/>
  <c r="AB11" i="24"/>
  <c r="O29" i="24"/>
  <c r="AC5" i="24"/>
  <c r="M20" i="24"/>
  <c r="S14" i="24"/>
  <c r="M26" i="24"/>
  <c r="AA5" i="24"/>
  <c r="I29" i="24"/>
  <c r="F20" i="24"/>
  <c r="L14" i="24"/>
  <c r="M11" i="24"/>
  <c r="U5" i="24"/>
  <c r="F29" i="24"/>
  <c r="D20" i="24"/>
  <c r="J14" i="24"/>
  <c r="E29" i="24"/>
  <c r="D26" i="24"/>
  <c r="E22" i="24"/>
  <c r="B20" i="24"/>
  <c r="E17" i="24"/>
  <c r="R17" i="24"/>
  <c r="I14" i="24"/>
  <c r="J11" i="24"/>
  <c r="L8" i="24"/>
  <c r="P5" i="24"/>
  <c r="Q29" i="25"/>
  <c r="D16" i="31"/>
  <c r="B7" i="31"/>
  <c r="M3" i="24"/>
  <c r="L3" i="24"/>
  <c r="K3" i="24"/>
  <c r="AC2" i="24"/>
  <c r="R2" i="24"/>
  <c r="E3" i="31"/>
  <c r="B3" i="31"/>
  <c r="B3" i="24"/>
  <c r="R3" i="24"/>
  <c r="Q3" i="25"/>
  <c r="F3" i="25"/>
  <c r="F24" i="24"/>
  <c r="I18" i="24"/>
  <c r="I10" i="24"/>
  <c r="E24" i="24"/>
  <c r="J12" i="24"/>
  <c r="J26" i="24"/>
  <c r="D24" i="24"/>
  <c r="L20" i="24"/>
  <c r="F18" i="24"/>
  <c r="N14" i="24"/>
  <c r="I12" i="24"/>
  <c r="E10" i="24"/>
  <c r="I26" i="24"/>
  <c r="C24" i="24"/>
  <c r="K20" i="24"/>
  <c r="E18" i="24"/>
  <c r="M14" i="24"/>
  <c r="C10" i="24"/>
  <c r="O8" i="24"/>
  <c r="J6" i="24"/>
  <c r="B18" i="24"/>
  <c r="D12" i="24"/>
  <c r="C20" i="24"/>
  <c r="E14" i="24"/>
  <c r="B14" i="24"/>
  <c r="D8" i="24"/>
  <c r="B8" i="24"/>
  <c r="I9" i="24"/>
  <c r="F3" i="24"/>
  <c r="E3" i="24"/>
  <c r="AA24" i="24"/>
  <c r="AB18" i="24"/>
  <c r="U24" i="24"/>
  <c r="AB12" i="24"/>
  <c r="F9" i="24"/>
  <c r="D3" i="24"/>
  <c r="AB24" i="24"/>
  <c r="AC12" i="24"/>
  <c r="AC6" i="24"/>
  <c r="C3" i="24"/>
  <c r="AA18" i="24"/>
  <c r="Z18" i="24"/>
  <c r="AB26" i="24"/>
  <c r="U18" i="24"/>
  <c r="Z12" i="24"/>
  <c r="D9" i="24"/>
  <c r="AC26" i="24"/>
  <c r="W18" i="24"/>
  <c r="AA12" i="24"/>
  <c r="E9" i="24"/>
  <c r="AA26" i="24"/>
  <c r="S24" i="24"/>
  <c r="E23" i="24"/>
  <c r="AC20" i="24"/>
  <c r="AB6" i="24"/>
  <c r="Z26" i="24"/>
  <c r="Q24" i="24"/>
  <c r="D23" i="24"/>
  <c r="AB20" i="24"/>
  <c r="W12" i="24"/>
  <c r="C9" i="24"/>
  <c r="AA6" i="24"/>
  <c r="W26" i="24"/>
  <c r="P24" i="24"/>
  <c r="AA20" i="24"/>
  <c r="S18" i="24"/>
  <c r="AC14" i="24"/>
  <c r="U12" i="24"/>
  <c r="Z6" i="24"/>
  <c r="AC18" i="24"/>
  <c r="M28" i="24"/>
  <c r="O18" i="24"/>
  <c r="AB8" i="24"/>
  <c r="AC24" i="24"/>
  <c r="Z24" i="24"/>
  <c r="P12" i="24"/>
  <c r="AA8" i="24"/>
  <c r="S6" i="24"/>
  <c r="W24" i="24"/>
  <c r="M22" i="24"/>
  <c r="M18" i="24"/>
  <c r="U26" i="24"/>
  <c r="O24" i="24"/>
  <c r="Z20" i="24"/>
  <c r="Q18" i="24"/>
  <c r="AB14" i="24"/>
  <c r="W6" i="24"/>
  <c r="L28" i="24"/>
  <c r="N24" i="24"/>
  <c r="W20" i="24"/>
  <c r="P18" i="24"/>
  <c r="AA14" i="24"/>
  <c r="S12" i="24"/>
  <c r="AC8" i="24"/>
  <c r="U6" i="24"/>
  <c r="I28" i="24"/>
  <c r="S26" i="24"/>
  <c r="M24" i="24"/>
  <c r="U20" i="24"/>
  <c r="Z14" i="24"/>
  <c r="Q12" i="24"/>
  <c r="Q26" i="24"/>
  <c r="L24" i="24"/>
  <c r="L22" i="24"/>
  <c r="N18" i="24"/>
  <c r="W14" i="24"/>
  <c r="E28" i="24"/>
  <c r="P26" i="24"/>
  <c r="K24" i="24"/>
  <c r="I22" i="24"/>
  <c r="S20" i="24"/>
  <c r="M16" i="24"/>
  <c r="U14" i="24"/>
  <c r="O12" i="24"/>
  <c r="Z8" i="24"/>
  <c r="Q6" i="24"/>
  <c r="C28" i="24"/>
  <c r="L16" i="24"/>
  <c r="J12" i="33"/>
  <c r="AB10" i="33"/>
  <c r="AB12" i="33" s="1"/>
  <c r="AB13" i="33" s="1"/>
  <c r="AD12" i="33"/>
  <c r="L10" i="33"/>
  <c r="L12" i="33" s="1"/>
  <c r="L13" i="33" s="1"/>
  <c r="O12" i="33"/>
  <c r="K7" i="2"/>
  <c r="K10" i="2" s="1"/>
  <c r="V8" i="3"/>
  <c r="W10" i="33" s="1"/>
  <c r="W12" i="33" s="1"/>
  <c r="D2" i="31"/>
  <c r="B2" i="32"/>
  <c r="C2" i="32"/>
  <c r="D2" i="32"/>
  <c r="E2" i="32"/>
  <c r="F2" i="32"/>
  <c r="Q2" i="32"/>
  <c r="E26" i="31"/>
  <c r="E22" i="31"/>
  <c r="E18" i="31"/>
  <c r="E14" i="31"/>
  <c r="E10" i="31"/>
  <c r="E6" i="31"/>
  <c r="B2" i="31"/>
  <c r="C2" i="31"/>
  <c r="E2" i="31"/>
  <c r="F2" i="31"/>
  <c r="Q2" i="31"/>
  <c r="Q26" i="25"/>
  <c r="Q22" i="25"/>
  <c r="Q18" i="25"/>
  <c r="Q14" i="25"/>
  <c r="Q10" i="25"/>
  <c r="Q6" i="25"/>
  <c r="C26" i="25"/>
  <c r="C22" i="25"/>
  <c r="C18" i="25"/>
  <c r="C14" i="25"/>
  <c r="C10" i="25"/>
  <c r="C6" i="25"/>
  <c r="E29" i="25"/>
  <c r="E25" i="25"/>
  <c r="E21" i="25"/>
  <c r="E17" i="25"/>
  <c r="E13" i="25"/>
  <c r="E9" i="25"/>
  <c r="E5" i="25"/>
  <c r="D29" i="25"/>
  <c r="D25" i="25"/>
  <c r="D21" i="25"/>
  <c r="D17" i="25"/>
  <c r="D13" i="25"/>
  <c r="D9" i="25"/>
  <c r="D5" i="25"/>
  <c r="C29" i="25"/>
  <c r="C25" i="25"/>
  <c r="C21" i="25"/>
  <c r="C17" i="25"/>
  <c r="C13" i="25"/>
  <c r="C9" i="25"/>
  <c r="C5" i="25"/>
  <c r="D28" i="25"/>
  <c r="D24" i="25"/>
  <c r="D20" i="25"/>
  <c r="D16" i="25"/>
  <c r="D12" i="25"/>
  <c r="D8" i="25"/>
  <c r="D4" i="25"/>
  <c r="C28" i="25"/>
  <c r="C24" i="25"/>
  <c r="C20" i="25"/>
  <c r="C16" i="25"/>
  <c r="C12" i="25"/>
  <c r="C8" i="25"/>
  <c r="C4" i="25"/>
  <c r="E27" i="25"/>
  <c r="E23" i="25"/>
  <c r="E19" i="25"/>
  <c r="E15" i="25"/>
  <c r="E11" i="25"/>
  <c r="E7" i="25"/>
  <c r="E3" i="25"/>
  <c r="D27" i="25"/>
  <c r="D23" i="25"/>
  <c r="D19" i="25"/>
  <c r="D15" i="25"/>
  <c r="D11" i="25"/>
  <c r="D7" i="25"/>
  <c r="D3" i="25"/>
  <c r="C27" i="25"/>
  <c r="C23" i="25"/>
  <c r="C19" i="25"/>
  <c r="C15" i="25"/>
  <c r="C11" i="25"/>
  <c r="C7" i="25"/>
  <c r="C3" i="25"/>
  <c r="B2" i="25"/>
  <c r="C2" i="25"/>
  <c r="D2" i="25"/>
  <c r="E2" i="25"/>
  <c r="F2" i="25"/>
  <c r="Q2" i="25"/>
  <c r="K28" i="24"/>
  <c r="K25" i="24"/>
  <c r="K22" i="24"/>
  <c r="K19" i="24"/>
  <c r="K16" i="24"/>
  <c r="K13" i="24"/>
  <c r="K10" i="24"/>
  <c r="K7" i="24"/>
  <c r="K4" i="24"/>
  <c r="J28" i="24"/>
  <c r="J25" i="24"/>
  <c r="J22" i="24"/>
  <c r="J19" i="24"/>
  <c r="J16" i="24"/>
  <c r="J13" i="24"/>
  <c r="J10" i="24"/>
  <c r="J7" i="24"/>
  <c r="J4" i="24"/>
  <c r="F28" i="24"/>
  <c r="F25" i="24"/>
  <c r="F22" i="24"/>
  <c r="F19" i="24"/>
  <c r="F16" i="24"/>
  <c r="F13" i="24"/>
  <c r="F10" i="24"/>
  <c r="F7" i="24"/>
  <c r="F4" i="24"/>
  <c r="D28" i="24"/>
  <c r="D25" i="24"/>
  <c r="D22" i="24"/>
  <c r="D19" i="24"/>
  <c r="D16" i="24"/>
  <c r="D13" i="24"/>
  <c r="D10" i="24"/>
  <c r="D7" i="24"/>
  <c r="D4" i="24"/>
  <c r="B25" i="24"/>
  <c r="B22" i="24"/>
  <c r="B19" i="24"/>
  <c r="B16" i="24"/>
  <c r="B13" i="24"/>
  <c r="B10" i="24"/>
  <c r="B7" i="24"/>
  <c r="B4" i="24"/>
  <c r="AC28" i="24"/>
  <c r="AC22" i="24"/>
  <c r="AC16" i="24"/>
  <c r="AC7" i="24"/>
  <c r="AC4" i="24"/>
  <c r="AC25" i="24"/>
  <c r="AC19" i="24"/>
  <c r="AC13" i="24"/>
  <c r="AC10" i="24"/>
  <c r="AB28" i="24"/>
  <c r="AB25" i="24"/>
  <c r="AB22" i="24"/>
  <c r="AB19" i="24"/>
  <c r="AB16" i="24"/>
  <c r="AB13" i="24"/>
  <c r="AB10" i="24"/>
  <c r="AB7" i="24"/>
  <c r="AB4" i="24"/>
  <c r="AA22" i="24"/>
  <c r="AA19" i="24"/>
  <c r="AA16" i="24"/>
  <c r="AA13" i="24"/>
  <c r="AA10" i="24"/>
  <c r="AA7" i="24"/>
  <c r="AA4" i="24"/>
  <c r="Z28" i="24"/>
  <c r="Z25" i="24"/>
  <c r="Z22" i="24"/>
  <c r="Z19" i="24"/>
  <c r="Z16" i="24"/>
  <c r="Z13" i="24"/>
  <c r="Z10" i="24"/>
  <c r="Z7" i="24"/>
  <c r="Z4" i="24"/>
  <c r="AA28" i="24"/>
  <c r="AA25" i="24"/>
  <c r="W28" i="24"/>
  <c r="W25" i="24"/>
  <c r="W22" i="24"/>
  <c r="W19" i="24"/>
  <c r="W16" i="24"/>
  <c r="W13" i="24"/>
  <c r="W10" i="24"/>
  <c r="W7" i="24"/>
  <c r="W4" i="24"/>
  <c r="U28" i="24"/>
  <c r="U25" i="24"/>
  <c r="U22" i="24"/>
  <c r="U19" i="24"/>
  <c r="U16" i="24"/>
  <c r="U13" i="24"/>
  <c r="U10" i="24"/>
  <c r="U7" i="24"/>
  <c r="U4" i="24"/>
  <c r="Q28" i="24"/>
  <c r="Q25" i="24"/>
  <c r="Q22" i="24"/>
  <c r="Q19" i="24"/>
  <c r="Q16" i="24"/>
  <c r="Q13" i="24"/>
  <c r="Q10" i="24"/>
  <c r="Q7" i="24"/>
  <c r="Q4" i="24"/>
  <c r="S4" i="24"/>
  <c r="P28" i="24"/>
  <c r="P25" i="24"/>
  <c r="P22" i="24"/>
  <c r="P19" i="24"/>
  <c r="P16" i="24"/>
  <c r="P13" i="24"/>
  <c r="P10" i="24"/>
  <c r="P7" i="24"/>
  <c r="P4" i="24"/>
  <c r="B28" i="24"/>
  <c r="S22" i="24"/>
  <c r="S13" i="24"/>
  <c r="S10" i="24"/>
  <c r="O16" i="24"/>
  <c r="O10" i="24"/>
  <c r="O7" i="24"/>
  <c r="O4" i="24"/>
  <c r="S28" i="24"/>
  <c r="S25" i="24"/>
  <c r="S19" i="24"/>
  <c r="S16" i="24"/>
  <c r="S7" i="24"/>
  <c r="O28" i="24"/>
  <c r="O25" i="24"/>
  <c r="O22" i="24"/>
  <c r="O19" i="24"/>
  <c r="O13" i="24"/>
  <c r="I2" i="24"/>
  <c r="K2" i="24"/>
  <c r="L2" i="24"/>
  <c r="B2" i="24"/>
  <c r="S2" i="24"/>
  <c r="W2" i="24"/>
  <c r="C2" i="24"/>
  <c r="D2" i="24"/>
  <c r="E2" i="24"/>
  <c r="F2" i="24"/>
  <c r="J2" i="24"/>
  <c r="U2" i="24"/>
  <c r="AB2" i="24"/>
  <c r="CG3" i="6" l="1"/>
  <c r="G4" i="24"/>
  <c r="G3" i="24"/>
  <c r="G6" i="24"/>
  <c r="G5" i="24"/>
  <c r="D35" i="1" l="1"/>
  <c r="E14" i="27"/>
  <c r="D34" i="1" s="1"/>
  <c r="A14" i="9" l="1"/>
  <c r="H14" i="9" s="1"/>
  <c r="A13" i="9"/>
  <c r="H13" i="9" s="1"/>
  <c r="A12" i="9"/>
  <c r="H12" i="9" s="1"/>
  <c r="A11" i="9"/>
  <c r="B11" i="9" s="1"/>
  <c r="A10" i="9"/>
  <c r="G10" i="9" s="1"/>
  <c r="A9" i="9"/>
  <c r="G9" i="9" s="1"/>
  <c r="A8" i="9"/>
  <c r="H8" i="9" s="1"/>
  <c r="A7" i="9"/>
  <c r="G7" i="9" s="1"/>
  <c r="H9" i="9" l="1"/>
  <c r="D10" i="9"/>
  <c r="H11" i="9"/>
  <c r="H7" i="9"/>
  <c r="B7" i="9"/>
  <c r="B13" i="9"/>
  <c r="C12" i="9"/>
  <c r="G12" i="9"/>
  <c r="D8" i="9"/>
  <c r="F10" i="9"/>
  <c r="C11" i="9"/>
  <c r="F11" i="9"/>
  <c r="D12" i="9"/>
  <c r="B8" i="9"/>
  <c r="H10" i="9"/>
  <c r="D11" i="9"/>
  <c r="G11" i="9"/>
  <c r="B12" i="9"/>
  <c r="C7" i="9"/>
  <c r="D7" i="9"/>
  <c r="F12" i="9"/>
  <c r="F7" i="9"/>
  <c r="C13" i="9"/>
  <c r="F13" i="9"/>
  <c r="F8" i="9"/>
  <c r="G8" i="9"/>
  <c r="B14" i="9"/>
  <c r="D14" i="9"/>
  <c r="C10" i="9"/>
  <c r="F14" i="9"/>
  <c r="C8" i="9"/>
  <c r="D13" i="9"/>
  <c r="G13" i="9"/>
  <c r="B9" i="9"/>
  <c r="C14" i="9"/>
  <c r="C9" i="9"/>
  <c r="D9" i="9"/>
  <c r="F9" i="9"/>
  <c r="G14" i="9"/>
  <c r="B10" i="9"/>
  <c r="W8" i="3"/>
  <c r="D39" i="27"/>
  <c r="E33" i="1"/>
  <c r="D2" i="33" l="1"/>
  <c r="AI8" i="3" l="1"/>
  <c r="A7" i="10"/>
  <c r="C7" i="10" s="1"/>
  <c r="A8" i="10"/>
  <c r="B8" i="10" s="1"/>
  <c r="A9" i="10"/>
  <c r="B9" i="10" s="1"/>
  <c r="A10" i="10"/>
  <c r="D10" i="10" s="1"/>
  <c r="G4" i="2"/>
  <c r="Y8" i="3"/>
  <c r="Z8" i="3"/>
  <c r="C7" i="2"/>
  <c r="D7" i="2"/>
  <c r="N7" i="2"/>
  <c r="O7" i="2"/>
  <c r="W7" i="2"/>
  <c r="L8" i="3"/>
  <c r="M8" i="3"/>
  <c r="G8" i="3"/>
  <c r="AS2" i="6"/>
  <c r="AR2" i="6"/>
  <c r="AQ2" i="6"/>
  <c r="AP2" i="6"/>
  <c r="AO2" i="6"/>
  <c r="AA10" i="33" l="1"/>
  <c r="AA12" i="33" s="1"/>
  <c r="AK8" i="3"/>
  <c r="C8" i="3"/>
  <c r="B10" i="33"/>
  <c r="D8" i="3"/>
  <c r="C10" i="33"/>
  <c r="AU2" i="6"/>
  <c r="AV2" i="6" s="1"/>
  <c r="AW2" i="6" s="1" a="1"/>
  <c r="AW2" i="6" s="1"/>
  <c r="N2" i="24"/>
  <c r="P2" i="24"/>
  <c r="O2" i="24"/>
  <c r="Q2" i="24"/>
  <c r="M2" i="24"/>
  <c r="F8" i="3"/>
  <c r="H7" i="10"/>
  <c r="G7" i="10"/>
  <c r="F7" i="10"/>
  <c r="E7" i="2"/>
  <c r="F10" i="33" s="1"/>
  <c r="D7" i="10"/>
  <c r="U7" i="2"/>
  <c r="B7" i="10"/>
  <c r="G10" i="10"/>
  <c r="H9" i="10"/>
  <c r="F10" i="10"/>
  <c r="C10" i="10"/>
  <c r="B10" i="10"/>
  <c r="G9" i="10"/>
  <c r="F9" i="10"/>
  <c r="D9" i="10"/>
  <c r="H10" i="10"/>
  <c r="G8" i="10"/>
  <c r="F8" i="10"/>
  <c r="D8" i="10"/>
  <c r="C8" i="10"/>
  <c r="C9" i="10"/>
  <c r="H8" i="10"/>
  <c r="O8" i="3"/>
  <c r="K8" i="3"/>
  <c r="J8" i="3"/>
  <c r="I8" i="3"/>
  <c r="H8" i="3"/>
  <c r="H7" i="2"/>
  <c r="V7" i="2"/>
  <c r="T7" i="2"/>
  <c r="AX2" i="6" l="1" a="1"/>
  <c r="AX2" i="6" s="1"/>
  <c r="BT2" i="6" s="1"/>
  <c r="BU2" i="6" s="1"/>
  <c r="BA2" i="6"/>
  <c r="BB2" i="6" s="1" a="1"/>
  <c r="BB2" i="6" s="1"/>
  <c r="BC2" i="6" s="1"/>
  <c r="F12" i="33"/>
  <c r="E10" i="33"/>
  <c r="E12" i="33" s="1"/>
  <c r="E13" i="33" s="1"/>
  <c r="I7" i="2"/>
  <c r="AJ8" i="3"/>
  <c r="BD2" i="6" l="1" a="1"/>
  <c r="BD2" i="6" s="1"/>
  <c r="BE2" i="6" s="1"/>
  <c r="CD2" i="6" s="1"/>
  <c r="AE7" i="2"/>
  <c r="A5" i="10"/>
  <c r="A3" i="9"/>
  <c r="C3" i="9" s="1"/>
  <c r="A6" i="10"/>
  <c r="G6" i="10" s="1"/>
  <c r="A4" i="10"/>
  <c r="G4" i="10" s="1"/>
  <c r="A4" i="9"/>
  <c r="AA7" i="2" l="1"/>
  <c r="A3" i="10"/>
  <c r="D3" i="10" s="1"/>
  <c r="A5" i="9"/>
  <c r="G5" i="9" s="1"/>
  <c r="A6" i="9"/>
  <c r="F6" i="9" s="1"/>
  <c r="D3" i="9"/>
  <c r="G3" i="9"/>
  <c r="H3" i="9"/>
  <c r="B3" i="9"/>
  <c r="F3" i="9"/>
  <c r="B6" i="10"/>
  <c r="F6" i="10"/>
  <c r="H6" i="10"/>
  <c r="C6" i="10" s="1"/>
  <c r="D6" i="10"/>
  <c r="D5" i="10"/>
  <c r="D4" i="10"/>
  <c r="B4" i="10"/>
  <c r="F4" i="10"/>
  <c r="H4" i="10"/>
  <c r="C4" i="10" s="1"/>
  <c r="F5" i="10"/>
  <c r="B5" i="10"/>
  <c r="F4" i="9"/>
  <c r="D4" i="9"/>
  <c r="C4" i="9"/>
  <c r="B4" i="9"/>
  <c r="H4" i="9"/>
  <c r="G4" i="9"/>
  <c r="G5" i="10"/>
  <c r="C5" i="10" s="1"/>
  <c r="H5" i="10"/>
  <c r="A2" i="9"/>
  <c r="B5" i="9" l="1"/>
  <c r="C5" i="9"/>
  <c r="D5" i="9"/>
  <c r="F5" i="9"/>
  <c r="H5" i="9"/>
  <c r="G3" i="10"/>
  <c r="F3" i="10"/>
  <c r="B3" i="10"/>
  <c r="H3" i="10"/>
  <c r="H6" i="9"/>
  <c r="G6" i="9"/>
  <c r="C6" i="9"/>
  <c r="B6" i="9"/>
  <c r="D6" i="9"/>
  <c r="G2" i="9"/>
  <c r="H2" i="9"/>
  <c r="D2" i="9"/>
  <c r="F2" i="9"/>
  <c r="B2" i="9"/>
  <c r="C2" i="9"/>
  <c r="E8" i="3"/>
  <c r="C3" i="10" l="1"/>
  <c r="G2" i="24"/>
  <c r="Z2" i="24"/>
  <c r="AA2" i="24"/>
  <c r="N8" i="3"/>
  <c r="K10" i="33" s="1"/>
  <c r="CG2" i="6" l="1"/>
  <c r="X8" i="3"/>
  <c r="CF2" i="6" s="1"/>
  <c r="K12" i="33"/>
  <c r="H10" i="33"/>
  <c r="H12" i="33" s="1"/>
  <c r="H13" i="33" s="1"/>
  <c r="Y10" i="33" l="1"/>
  <c r="Z10" i="33"/>
  <c r="AG8" i="3"/>
  <c r="G10" i="2" l="1"/>
  <c r="J10" i="2"/>
  <c r="W11" i="3"/>
  <c r="AA11" i="3"/>
  <c r="CI5" i="6" s="1"/>
  <c r="AE11" i="3"/>
  <c r="Y11" i="3"/>
  <c r="Z11" i="3"/>
  <c r="M11" i="3"/>
  <c r="AB11" i="3"/>
  <c r="G11" i="3"/>
  <c r="J11" i="3" l="1"/>
  <c r="T10" i="2"/>
  <c r="I10" i="2"/>
  <c r="Q11" i="3"/>
  <c r="S11" i="3"/>
  <c r="R11" i="3"/>
  <c r="U11" i="3"/>
  <c r="T11" i="3"/>
  <c r="P11" i="3"/>
  <c r="W10" i="2"/>
  <c r="L11" i="3"/>
  <c r="X10" i="2"/>
  <c r="Y10" i="2"/>
  <c r="R10" i="2"/>
  <c r="AD10" i="2"/>
  <c r="I11" i="3"/>
  <c r="Q10" i="2"/>
  <c r="V11" i="3"/>
  <c r="F10" i="2"/>
  <c r="Z10" i="2"/>
  <c r="V10" i="2"/>
  <c r="A2" i="10" l="1"/>
  <c r="E10" i="2"/>
  <c r="U10" i="2"/>
  <c r="H11" i="3"/>
  <c r="P10" i="2"/>
  <c r="K11" i="3"/>
  <c r="S10" i="2"/>
  <c r="F11" i="3"/>
  <c r="AC10" i="2"/>
  <c r="O11" i="3"/>
  <c r="AB10" i="2"/>
  <c r="H10" i="2"/>
  <c r="H4" i="3"/>
  <c r="D2" i="10" l="1"/>
  <c r="F2" i="10"/>
  <c r="B2" i="10"/>
  <c r="H2" i="10"/>
  <c r="G2" i="10"/>
  <c r="C2" i="10" l="1"/>
  <c r="AA10" i="2"/>
  <c r="E11" i="3" l="1"/>
  <c r="AE10" i="2"/>
  <c r="N11" i="3" l="1"/>
  <c r="X11" i="3" l="1"/>
  <c r="CF5" i="6" s="1"/>
  <c r="AD11" i="3"/>
  <c r="CG5" i="6" s="1"/>
  <c r="A11" i="10"/>
  <c r="B11" i="10" s="1"/>
  <c r="A12" i="10"/>
  <c r="H12" i="10" s="1"/>
  <c r="AG11" i="3" l="1"/>
  <c r="AC11" i="3"/>
  <c r="CH5" i="6" s="1"/>
  <c r="AF11" i="3"/>
  <c r="CJ5" i="6" s="1"/>
  <c r="F12" i="10"/>
  <c r="D12" i="10"/>
  <c r="G12" i="10"/>
  <c r="C12" i="10"/>
  <c r="H11" i="10"/>
  <c r="B12" i="10"/>
  <c r="F11" i="10"/>
  <c r="G11" i="10"/>
  <c r="D11" i="10"/>
  <c r="C11" i="10"/>
  <c r="A15" i="9" l="1"/>
  <c r="H15" i="9" s="1"/>
  <c r="A16" i="9"/>
  <c r="C16" i="9" s="1"/>
  <c r="A17" i="9"/>
  <c r="H17" i="9" s="1"/>
  <c r="A18" i="9"/>
  <c r="B18" i="9" s="1"/>
  <c r="A19" i="9"/>
  <c r="A20" i="9"/>
  <c r="C20" i="9" s="1"/>
  <c r="A21" i="9"/>
  <c r="B21" i="9" s="1"/>
  <c r="A22" i="9"/>
  <c r="A23" i="9"/>
  <c r="B23" i="9" s="1"/>
  <c r="A24" i="9"/>
  <c r="H24" i="9" s="1"/>
  <c r="A25" i="9"/>
  <c r="B25" i="9" s="1"/>
  <c r="A26" i="9"/>
  <c r="A27" i="9"/>
  <c r="D27" i="9" s="1"/>
  <c r="A28" i="9"/>
  <c r="H28" i="9" s="1"/>
  <c r="A29" i="9"/>
  <c r="G29" i="9" s="1"/>
  <c r="A30" i="9"/>
  <c r="B30" i="9" s="1"/>
  <c r="A31" i="9"/>
  <c r="B31" i="9" s="1"/>
  <c r="A32" i="9"/>
  <c r="F32" i="9" s="1"/>
  <c r="A33" i="9"/>
  <c r="G33" i="9" s="1"/>
  <c r="A34" i="9"/>
  <c r="C34" i="9" s="1"/>
  <c r="A35" i="9"/>
  <c r="F35" i="9" s="1"/>
  <c r="A36" i="9"/>
  <c r="H36" i="9" s="1"/>
  <c r="A37" i="9"/>
  <c r="G37" i="9" s="1"/>
  <c r="A38" i="9"/>
  <c r="G38" i="9" s="1"/>
  <c r="A39" i="9"/>
  <c r="C39" i="9" s="1"/>
  <c r="A40" i="9"/>
  <c r="F40" i="9" s="1"/>
  <c r="A41" i="9"/>
  <c r="B41" i="9" s="1"/>
  <c r="A42" i="9"/>
  <c r="C42" i="9" s="1"/>
  <c r="A43" i="9"/>
  <c r="B43" i="9" s="1"/>
  <c r="A44" i="9"/>
  <c r="F44" i="9" s="1"/>
  <c r="A45" i="9"/>
  <c r="C45" i="9" s="1"/>
  <c r="A46" i="9"/>
  <c r="B46" i="9" s="1"/>
  <c r="A47" i="9"/>
  <c r="G47" i="9" s="1"/>
  <c r="A48" i="9"/>
  <c r="B48" i="9" s="1"/>
  <c r="A49" i="9"/>
  <c r="D49" i="9" s="1"/>
  <c r="A50" i="9"/>
  <c r="B50" i="9" s="1"/>
  <c r="A51" i="9"/>
  <c r="C51" i="9" s="1"/>
  <c r="A52" i="9"/>
  <c r="G52" i="9" s="1"/>
  <c r="A53" i="9"/>
  <c r="B53" i="9" s="1"/>
  <c r="A54" i="9"/>
  <c r="D54" i="9" s="1"/>
  <c r="A55" i="9"/>
  <c r="A56" i="9"/>
  <c r="A57" i="9"/>
  <c r="B57" i="9" s="1"/>
  <c r="A58" i="9"/>
  <c r="H58" i="9" s="1"/>
  <c r="A59" i="9"/>
  <c r="C59" i="9" s="1"/>
  <c r="A60" i="9"/>
  <c r="C60" i="9" s="1"/>
  <c r="A61" i="9"/>
  <c r="B61" i="9" s="1"/>
  <c r="A62" i="9"/>
  <c r="A63" i="9"/>
  <c r="B63" i="9" s="1"/>
  <c r="A64" i="9"/>
  <c r="C64" i="9" s="1"/>
  <c r="A65" i="9"/>
  <c r="D65" i="9" s="1"/>
  <c r="A66" i="9"/>
  <c r="F66" i="9" s="1"/>
  <c r="A67" i="9"/>
  <c r="C67" i="9" s="1"/>
  <c r="A68" i="9"/>
  <c r="B68" i="9" s="1"/>
  <c r="A69" i="9"/>
  <c r="H69" i="9" s="1"/>
  <c r="A70" i="9"/>
  <c r="D70" i="9" s="1"/>
  <c r="A71" i="9"/>
  <c r="B71" i="9" s="1"/>
  <c r="A72" i="9"/>
  <c r="B72" i="9" s="1"/>
  <c r="A73" i="9"/>
  <c r="B73" i="9" s="1"/>
  <c r="A74" i="9"/>
  <c r="C74" i="9" s="1"/>
  <c r="A75" i="9"/>
  <c r="D75" i="9" s="1"/>
  <c r="A76" i="9"/>
  <c r="C76" i="9" s="1"/>
  <c r="A77" i="9"/>
  <c r="B77" i="9" s="1"/>
  <c r="A78" i="9"/>
  <c r="B78" i="9" s="1"/>
  <c r="A79" i="9"/>
  <c r="H79" i="9" s="1"/>
  <c r="A80" i="9"/>
  <c r="B80" i="9" s="1"/>
  <c r="A81" i="9"/>
  <c r="H81" i="9" s="1"/>
  <c r="A82" i="9"/>
  <c r="F82" i="9" s="1"/>
  <c r="A83" i="9"/>
  <c r="C83" i="9" s="1"/>
  <c r="A84" i="9"/>
  <c r="B84" i="9" s="1"/>
  <c r="A85" i="9"/>
  <c r="B85" i="9" s="1"/>
  <c r="A86" i="9"/>
  <c r="D86" i="9" s="1"/>
  <c r="A87" i="9"/>
  <c r="B87" i="9" s="1"/>
  <c r="A88" i="9"/>
  <c r="H88" i="9" s="1"/>
  <c r="A89" i="9"/>
  <c r="A90" i="9"/>
  <c r="H90" i="9" s="1"/>
  <c r="A91" i="9"/>
  <c r="D91" i="9" s="1"/>
  <c r="A92" i="9"/>
  <c r="A93" i="9"/>
  <c r="A94" i="9"/>
  <c r="C94" i="9" s="1"/>
  <c r="A95" i="9"/>
  <c r="F95" i="9" s="1"/>
  <c r="A96" i="9"/>
  <c r="H96" i="9" s="1"/>
  <c r="A97" i="9"/>
  <c r="A98" i="9"/>
  <c r="D98" i="9" s="1"/>
  <c r="A99" i="9"/>
  <c r="H99" i="9" s="1"/>
  <c r="A100" i="9"/>
  <c r="C100" i="9" s="1"/>
  <c r="A101" i="9"/>
  <c r="B101" i="9" s="1"/>
  <c r="A102" i="9"/>
  <c r="A103" i="9"/>
  <c r="G103" i="9" s="1"/>
  <c r="A104" i="9"/>
  <c r="D104" i="9" s="1"/>
  <c r="A105" i="9"/>
  <c r="B105" i="9" s="1"/>
  <c r="A106" i="9"/>
  <c r="G106" i="9" s="1"/>
  <c r="A107" i="9"/>
  <c r="H107" i="9" s="1"/>
  <c r="A108" i="9"/>
  <c r="G108" i="9" s="1"/>
  <c r="A109" i="9"/>
  <c r="D109" i="9" s="1"/>
  <c r="A110" i="9"/>
  <c r="C110" i="9" s="1"/>
  <c r="A111" i="9"/>
  <c r="B111" i="9" s="1"/>
  <c r="A112" i="9"/>
  <c r="H112" i="9" s="1"/>
  <c r="A113" i="9"/>
  <c r="G113" i="9" s="1"/>
  <c r="A114" i="9"/>
  <c r="B114" i="9" s="1"/>
  <c r="A115" i="9"/>
  <c r="B115" i="9" s="1"/>
  <c r="A116" i="9"/>
  <c r="H116" i="9" s="1"/>
  <c r="A117" i="9"/>
  <c r="C117" i="9" s="1"/>
  <c r="A118" i="9"/>
  <c r="C118" i="9" s="1"/>
  <c r="A119" i="9"/>
  <c r="F119" i="9" s="1"/>
  <c r="A120" i="9"/>
  <c r="H120" i="9" s="1"/>
  <c r="A121" i="9"/>
  <c r="G121" i="9" s="1"/>
  <c r="A122" i="9"/>
  <c r="G122" i="9" s="1"/>
  <c r="A123" i="9"/>
  <c r="D123" i="9" s="1"/>
  <c r="A124" i="9"/>
  <c r="H124" i="9" s="1"/>
  <c r="A125" i="9"/>
  <c r="B125" i="9" s="1"/>
  <c r="A126" i="9"/>
  <c r="C126" i="9" s="1"/>
  <c r="A127" i="9"/>
  <c r="G127" i="9" s="1"/>
  <c r="A128" i="9"/>
  <c r="A129" i="9"/>
  <c r="C129" i="9" s="1"/>
  <c r="A130" i="9"/>
  <c r="G130" i="9" s="1"/>
  <c r="A131" i="9"/>
  <c r="A132" i="9"/>
  <c r="B132" i="9" s="1"/>
  <c r="A133" i="9"/>
  <c r="A134" i="9"/>
  <c r="B134" i="9" s="1"/>
  <c r="A135" i="9"/>
  <c r="B135" i="9" s="1"/>
  <c r="A136" i="9"/>
  <c r="B136" i="9" s="1"/>
  <c r="A137" i="9"/>
  <c r="A138" i="9"/>
  <c r="G138" i="9" s="1"/>
  <c r="A139" i="9"/>
  <c r="A140" i="9"/>
  <c r="F140" i="9" s="1"/>
  <c r="A141" i="9"/>
  <c r="D141" i="9" s="1"/>
  <c r="A142" i="9"/>
  <c r="C142" i="9" s="1"/>
  <c r="A143" i="9"/>
  <c r="B143" i="9" s="1"/>
  <c r="A144" i="9"/>
  <c r="D144" i="9" s="1"/>
  <c r="A145" i="9"/>
  <c r="C145" i="9" s="1"/>
  <c r="A146" i="9"/>
  <c r="C146" i="9" s="1"/>
  <c r="A147" i="9"/>
  <c r="D147" i="9" s="1"/>
  <c r="A148" i="9"/>
  <c r="C148" i="9" s="1"/>
  <c r="A149" i="9"/>
  <c r="B149" i="9" s="1"/>
  <c r="A150" i="9"/>
  <c r="H150" i="9" s="1"/>
  <c r="A151" i="9"/>
  <c r="C151" i="9" s="1"/>
  <c r="A152" i="9"/>
  <c r="C152" i="9" s="1"/>
  <c r="A153" i="9"/>
  <c r="B153" i="9" s="1"/>
  <c r="A154" i="9"/>
  <c r="B154" i="9" s="1"/>
  <c r="A155" i="9"/>
  <c r="G155" i="9" s="1"/>
  <c r="A156" i="9"/>
  <c r="H156" i="9" s="1"/>
  <c r="A157" i="9"/>
  <c r="D157" i="9" s="1"/>
  <c r="A158" i="9"/>
  <c r="C158" i="9" s="1"/>
  <c r="A159" i="9"/>
  <c r="D159" i="9" s="1"/>
  <c r="A160" i="9"/>
  <c r="B160" i="9" s="1"/>
  <c r="A161" i="9"/>
  <c r="B161" i="9" s="1"/>
  <c r="A162" i="9"/>
  <c r="A163" i="9"/>
  <c r="C163" i="9" s="1"/>
  <c r="A164" i="9"/>
  <c r="D164" i="9" s="1"/>
  <c r="A165" i="9"/>
  <c r="A166" i="9"/>
  <c r="F166" i="9" s="1"/>
  <c r="A167" i="9"/>
  <c r="B167" i="9" s="1"/>
  <c r="A168" i="9"/>
  <c r="B168" i="9" s="1"/>
  <c r="A169" i="9"/>
  <c r="B169" i="9" s="1"/>
  <c r="A170" i="9"/>
  <c r="G170" i="9" s="1"/>
  <c r="A171" i="9"/>
  <c r="B171" i="9" s="1"/>
  <c r="A172" i="9"/>
  <c r="C172" i="9" s="1"/>
  <c r="A173" i="9"/>
  <c r="A174" i="9"/>
  <c r="C174" i="9" s="1"/>
  <c r="A175" i="9"/>
  <c r="D175" i="9" s="1"/>
  <c r="A176" i="9"/>
  <c r="F176" i="9" s="1"/>
  <c r="A177" i="9"/>
  <c r="A178" i="9"/>
  <c r="B178" i="9" s="1"/>
  <c r="A179" i="9"/>
  <c r="A180" i="9"/>
  <c r="D180" i="9" s="1"/>
  <c r="A181" i="9"/>
  <c r="C181" i="9" s="1"/>
  <c r="A182" i="9"/>
  <c r="B182" i="9" s="1"/>
  <c r="A183" i="9"/>
  <c r="B183" i="9" s="1"/>
  <c r="A184" i="9"/>
  <c r="G184" i="9" s="1"/>
  <c r="A185" i="9"/>
  <c r="D185" i="9" s="1"/>
  <c r="A186" i="9"/>
  <c r="G186" i="9" s="1"/>
  <c r="A187" i="9"/>
  <c r="A188" i="9"/>
  <c r="C188" i="9" s="1"/>
  <c r="A189" i="9"/>
  <c r="H189" i="9" s="1"/>
  <c r="A190" i="9"/>
  <c r="F190" i="9" s="1"/>
  <c r="A191" i="9"/>
  <c r="F191" i="9" s="1"/>
  <c r="A192" i="9"/>
  <c r="B192" i="9" s="1"/>
  <c r="A193" i="9"/>
  <c r="C193" i="9" s="1"/>
  <c r="A194" i="9"/>
  <c r="B194" i="9" s="1"/>
  <c r="A195" i="9"/>
  <c r="A196" i="9"/>
  <c r="F196" i="9" s="1"/>
  <c r="A197" i="9"/>
  <c r="B197" i="9" s="1"/>
  <c r="A198" i="9"/>
  <c r="F198" i="9" s="1"/>
  <c r="A199" i="9"/>
  <c r="D199" i="9" s="1"/>
  <c r="A200" i="9"/>
  <c r="G200" i="9" s="1"/>
  <c r="A201" i="9"/>
  <c r="B201" i="9" s="1"/>
  <c r="A202" i="9"/>
  <c r="D202" i="9" s="1"/>
  <c r="A203" i="9"/>
  <c r="D203" i="9" s="1"/>
  <c r="A204" i="9"/>
  <c r="F204" i="9" s="1"/>
  <c r="A205" i="9"/>
  <c r="A206" i="9"/>
  <c r="A207" i="9"/>
  <c r="C207" i="9" s="1"/>
  <c r="A208" i="9"/>
  <c r="B208" i="9" s="1"/>
  <c r="A209" i="9"/>
  <c r="A210" i="9"/>
  <c r="B210" i="9" s="1"/>
  <c r="A211" i="9"/>
  <c r="A212" i="9"/>
  <c r="F212" i="9" s="1"/>
  <c r="A213" i="9"/>
  <c r="D213" i="9" s="1"/>
  <c r="A214" i="9"/>
  <c r="D214" i="9" s="1"/>
  <c r="A215" i="9"/>
  <c r="B215" i="9" s="1"/>
  <c r="A216" i="9"/>
  <c r="C216" i="9" s="1"/>
  <c r="A217" i="9"/>
  <c r="D217" i="9" s="1"/>
  <c r="A218" i="9"/>
  <c r="A219" i="9"/>
  <c r="H219" i="9" s="1"/>
  <c r="A220" i="9"/>
  <c r="B220" i="9" s="1"/>
  <c r="A221" i="9"/>
  <c r="B221" i="9" s="1"/>
  <c r="A222" i="9"/>
  <c r="C222" i="9" s="1"/>
  <c r="A223" i="9"/>
  <c r="H223" i="9" s="1"/>
  <c r="A224" i="9"/>
  <c r="A225" i="9"/>
  <c r="B225" i="9" s="1"/>
  <c r="A226" i="9"/>
  <c r="A227" i="9"/>
  <c r="D227" i="9" s="1"/>
  <c r="A228" i="9"/>
  <c r="B228" i="9" s="1"/>
  <c r="A229" i="9"/>
  <c r="D229" i="9" s="1"/>
  <c r="A230" i="9"/>
  <c r="H230" i="9" s="1"/>
  <c r="A231" i="9"/>
  <c r="F231" i="9" s="1"/>
  <c r="A232" i="9"/>
  <c r="H232" i="9" s="1"/>
  <c r="A233" i="9"/>
  <c r="A234" i="9"/>
  <c r="C234" i="9" s="1"/>
  <c r="A235" i="9"/>
  <c r="H235" i="9" s="1"/>
  <c r="A236" i="9"/>
  <c r="A237" i="9"/>
  <c r="H237" i="9" s="1"/>
  <c r="A238" i="9"/>
  <c r="G238" i="9" s="1"/>
  <c r="A239" i="9"/>
  <c r="B239" i="9" s="1"/>
  <c r="A240" i="9"/>
  <c r="B240" i="9" s="1"/>
  <c r="A241" i="9"/>
  <c r="A242" i="9"/>
  <c r="C242" i="9" s="1"/>
  <c r="A243" i="9"/>
  <c r="A244" i="9"/>
  <c r="B244" i="9" s="1"/>
  <c r="A245" i="9"/>
  <c r="D245" i="9" s="1"/>
  <c r="A246" i="9"/>
  <c r="F246" i="9" s="1"/>
  <c r="A247" i="9"/>
  <c r="B247" i="9" s="1"/>
  <c r="A248" i="9"/>
  <c r="B248" i="9" s="1"/>
  <c r="A249" i="9"/>
  <c r="B249" i="9" s="1"/>
  <c r="A250" i="9"/>
  <c r="B250" i="9" s="1"/>
  <c r="A251" i="9"/>
  <c r="F251" i="9" s="1"/>
  <c r="A252" i="9"/>
  <c r="G252" i="9" s="1"/>
  <c r="A253" i="9"/>
  <c r="B253" i="9" s="1"/>
  <c r="A254" i="9"/>
  <c r="B254" i="9" s="1"/>
  <c r="A255" i="9"/>
  <c r="G255" i="9" s="1"/>
  <c r="A256" i="9"/>
  <c r="B256" i="9" s="1"/>
  <c r="A257" i="9"/>
  <c r="D257" i="9" s="1"/>
  <c r="A258" i="9"/>
  <c r="A259" i="9"/>
  <c r="F259" i="9" s="1"/>
  <c r="A260" i="9"/>
  <c r="G260" i="9" s="1"/>
  <c r="A261" i="9"/>
  <c r="B261" i="9" s="1"/>
  <c r="A262" i="9"/>
  <c r="C262" i="9" s="1"/>
  <c r="A263" i="9"/>
  <c r="D263" i="9" s="1"/>
  <c r="A264" i="9"/>
  <c r="A265" i="9"/>
  <c r="B265" i="9" s="1"/>
  <c r="A266" i="9"/>
  <c r="H266" i="9" s="1"/>
  <c r="A267" i="9"/>
  <c r="C267" i="9" s="1"/>
  <c r="A268" i="9"/>
  <c r="A269" i="9"/>
  <c r="B269" i="9" s="1"/>
  <c r="A270" i="9"/>
  <c r="D270" i="9" s="1"/>
  <c r="A271" i="9"/>
  <c r="H271" i="9" s="1"/>
  <c r="A272" i="9"/>
  <c r="B272" i="9" s="1"/>
  <c r="A273" i="9"/>
  <c r="B273" i="9" s="1"/>
  <c r="A274" i="9"/>
  <c r="B274" i="9" s="1"/>
  <c r="A275" i="9"/>
  <c r="A276" i="9"/>
  <c r="A277" i="9"/>
  <c r="B277" i="9" s="1"/>
  <c r="A278" i="9"/>
  <c r="D278" i="9" s="1"/>
  <c r="A279" i="9"/>
  <c r="H279" i="9" s="1"/>
  <c r="A280" i="9"/>
  <c r="B280" i="9" s="1"/>
  <c r="A281" i="9"/>
  <c r="A282" i="9"/>
  <c r="H282" i="9" s="1"/>
  <c r="A283" i="9"/>
  <c r="C283" i="9" s="1"/>
  <c r="A284" i="9"/>
  <c r="B284" i="9" s="1"/>
  <c r="A285" i="9"/>
  <c r="B285" i="9" s="1"/>
  <c r="A286" i="9"/>
  <c r="B286" i="9" s="1"/>
  <c r="A287" i="9"/>
  <c r="A288" i="9"/>
  <c r="A289" i="9"/>
  <c r="A290" i="9"/>
  <c r="C290" i="9" s="1"/>
  <c r="A291" i="9"/>
  <c r="D291" i="9" s="1"/>
  <c r="A292" i="9"/>
  <c r="H292" i="9" s="1"/>
  <c r="A293" i="9"/>
  <c r="B293" i="9" s="1"/>
  <c r="A294" i="9"/>
  <c r="F294" i="9" s="1"/>
  <c r="A295" i="9"/>
  <c r="G295" i="9" s="1"/>
  <c r="A296" i="9"/>
  <c r="B296" i="9" s="1"/>
  <c r="A297" i="9"/>
  <c r="D297" i="9" s="1"/>
  <c r="A298" i="9"/>
  <c r="H298" i="9" s="1"/>
  <c r="A299" i="9"/>
  <c r="B299" i="9" s="1"/>
  <c r="A300" i="9"/>
  <c r="H300" i="9" s="1"/>
  <c r="A301" i="9"/>
  <c r="B301" i="9" s="1"/>
  <c r="A302" i="9"/>
  <c r="B302" i="9" s="1"/>
  <c r="A303" i="9"/>
  <c r="A304" i="9"/>
  <c r="B304" i="9" s="1"/>
  <c r="A305" i="9"/>
  <c r="A306" i="9"/>
  <c r="B306" i="9" s="1"/>
  <c r="A307" i="9"/>
  <c r="B307" i="9" s="1"/>
  <c r="A308" i="9"/>
  <c r="H308" i="9" s="1"/>
  <c r="A309" i="9"/>
  <c r="F309" i="9" s="1"/>
  <c r="A310" i="9"/>
  <c r="H310" i="9" s="1"/>
  <c r="A311" i="9"/>
  <c r="H311" i="9" s="1"/>
  <c r="A312" i="9"/>
  <c r="A313" i="9"/>
  <c r="B313" i="9" s="1"/>
  <c r="A314" i="9"/>
  <c r="H314" i="9" s="1"/>
  <c r="A315" i="9"/>
  <c r="H315" i="9" s="1"/>
  <c r="A316" i="9"/>
  <c r="B316" i="9" s="1"/>
  <c r="A317" i="9"/>
  <c r="B317" i="9" s="1"/>
  <c r="A318" i="9"/>
  <c r="B318" i="9" s="1"/>
  <c r="A319" i="9"/>
  <c r="H319" i="9" s="1"/>
  <c r="A320" i="9"/>
  <c r="B320" i="9" s="1"/>
  <c r="A321" i="9"/>
  <c r="F321" i="9" s="1"/>
  <c r="A322" i="9"/>
  <c r="F322" i="9" s="1"/>
  <c r="A323" i="9"/>
  <c r="B323" i="9" s="1"/>
  <c r="A324" i="9"/>
  <c r="C324" i="9" s="1"/>
  <c r="A325" i="9"/>
  <c r="B325" i="9" s="1"/>
  <c r="A326" i="9"/>
  <c r="B326" i="9" s="1"/>
  <c r="A327" i="9"/>
  <c r="B327" i="9" s="1"/>
  <c r="A328" i="9"/>
  <c r="B328" i="9" s="1"/>
  <c r="A329" i="9"/>
  <c r="B329" i="9" s="1"/>
  <c r="A330" i="9"/>
  <c r="F330" i="9" s="1"/>
  <c r="A331" i="9"/>
  <c r="B331" i="9" s="1"/>
  <c r="A332" i="9"/>
  <c r="G332" i="9" s="1"/>
  <c r="A333" i="9"/>
  <c r="G333" i="9" s="1"/>
  <c r="A334" i="9"/>
  <c r="B334" i="9" s="1"/>
  <c r="A335" i="9"/>
  <c r="H335" i="9" s="1"/>
  <c r="A336" i="9"/>
  <c r="F336" i="9" s="1"/>
  <c r="A337" i="9"/>
  <c r="A338" i="9"/>
  <c r="F338" i="9" s="1"/>
  <c r="A339" i="9"/>
  <c r="B339" i="9" s="1"/>
  <c r="A340" i="9"/>
  <c r="D340" i="9" s="1"/>
  <c r="A341" i="9"/>
  <c r="C341" i="9" s="1"/>
  <c r="A342" i="9"/>
  <c r="G342" i="9" s="1"/>
  <c r="A343" i="9"/>
  <c r="D343" i="9" s="1"/>
  <c r="A344" i="9"/>
  <c r="A345" i="9"/>
  <c r="A346" i="9"/>
  <c r="A347" i="9"/>
  <c r="B347" i="9" s="1"/>
  <c r="A348" i="9"/>
  <c r="B348" i="9" s="1"/>
  <c r="A349" i="9"/>
  <c r="B349" i="9" s="1"/>
  <c r="A350" i="9"/>
  <c r="G350" i="9" s="1"/>
  <c r="A351" i="9"/>
  <c r="A352" i="9"/>
  <c r="A353" i="9"/>
  <c r="G353" i="9" s="1"/>
  <c r="A354" i="9"/>
  <c r="A355" i="9"/>
  <c r="B355" i="9" s="1"/>
  <c r="A356" i="9"/>
  <c r="C356" i="9" s="1"/>
  <c r="A357" i="9"/>
  <c r="H357" i="9" s="1"/>
  <c r="A358" i="9"/>
  <c r="C358" i="9" s="1"/>
  <c r="A359" i="9"/>
  <c r="F359" i="9" s="1"/>
  <c r="A360" i="9"/>
  <c r="A361" i="9"/>
  <c r="F361" i="9" s="1"/>
  <c r="A362" i="9"/>
  <c r="B362" i="9" s="1"/>
  <c r="A363" i="9"/>
  <c r="B363" i="9" s="1"/>
  <c r="A364" i="9"/>
  <c r="B364" i="9" s="1"/>
  <c r="A365" i="9"/>
  <c r="H365" i="9" s="1"/>
  <c r="A366" i="9"/>
  <c r="F366" i="9" s="1"/>
  <c r="A367" i="9"/>
  <c r="H367" i="9" s="1"/>
  <c r="A368" i="9"/>
  <c r="D368" i="9" s="1"/>
  <c r="A369" i="9"/>
  <c r="B369" i="9" s="1"/>
  <c r="A370" i="9"/>
  <c r="H370" i="9" s="1"/>
  <c r="A371" i="9"/>
  <c r="B371" i="9" s="1"/>
  <c r="A372" i="9"/>
  <c r="D372" i="9" s="1"/>
  <c r="A373" i="9"/>
  <c r="C373" i="9" s="1"/>
  <c r="A374" i="9"/>
  <c r="D374" i="9" s="1"/>
  <c r="A375" i="9"/>
  <c r="A376" i="9"/>
  <c r="F376" i="9" s="1"/>
  <c r="A377" i="9"/>
  <c r="C377" i="9" s="1"/>
  <c r="A378" i="9"/>
  <c r="H378" i="9" s="1"/>
  <c r="A379" i="9"/>
  <c r="A380" i="9"/>
  <c r="C380" i="9" s="1"/>
  <c r="A381" i="9"/>
  <c r="F381" i="9" s="1"/>
  <c r="A382" i="9"/>
  <c r="D382" i="9" s="1"/>
  <c r="A383" i="9"/>
  <c r="H383" i="9" s="1"/>
  <c r="A384" i="9"/>
  <c r="G384" i="9" s="1"/>
  <c r="A385" i="9"/>
  <c r="B385" i="9" s="1"/>
  <c r="A386" i="9"/>
  <c r="F386" i="9" s="1"/>
  <c r="A387" i="9"/>
  <c r="B387" i="9" s="1"/>
  <c r="A388" i="9"/>
  <c r="B388" i="9" s="1"/>
  <c r="A389" i="9"/>
  <c r="H389" i="9" s="1"/>
  <c r="A390" i="9"/>
  <c r="C390" i="9" s="1"/>
  <c r="A391" i="9"/>
  <c r="A392" i="9"/>
  <c r="F392" i="9" s="1"/>
  <c r="A393" i="9"/>
  <c r="H393" i="9" s="1"/>
  <c r="A394" i="9"/>
  <c r="C394" i="9" s="1"/>
  <c r="A395" i="9"/>
  <c r="D395" i="9" s="1"/>
  <c r="A396" i="9"/>
  <c r="H396" i="9" s="1"/>
  <c r="A397" i="9"/>
  <c r="G397" i="9" s="1"/>
  <c r="A398" i="9"/>
  <c r="C398" i="9" s="1"/>
  <c r="A399" i="9"/>
  <c r="H399" i="9" s="1"/>
  <c r="A400" i="9"/>
  <c r="C400" i="9" s="1"/>
  <c r="A401" i="9"/>
  <c r="F401" i="9" s="1"/>
  <c r="A402" i="9"/>
  <c r="F402" i="9" s="1"/>
  <c r="A403" i="9"/>
  <c r="C403" i="9" s="1"/>
  <c r="A404" i="9"/>
  <c r="G404" i="9" s="1"/>
  <c r="A405" i="9"/>
  <c r="B405" i="9" s="1"/>
  <c r="A406" i="9"/>
  <c r="B406" i="9" s="1"/>
  <c r="A407" i="9"/>
  <c r="F407" i="9" s="1"/>
  <c r="A408" i="9"/>
  <c r="C408" i="9" s="1"/>
  <c r="A409" i="9"/>
  <c r="D409" i="9" s="1"/>
  <c r="A410" i="9"/>
  <c r="D410" i="9" s="1"/>
  <c r="A411" i="9"/>
  <c r="A412" i="9"/>
  <c r="A413" i="9"/>
  <c r="A414" i="9"/>
  <c r="B414" i="9" s="1"/>
  <c r="A415" i="9"/>
  <c r="H415" i="9" s="1"/>
  <c r="A416" i="9"/>
  <c r="G416" i="9" s="1"/>
  <c r="A417" i="9"/>
  <c r="A418" i="9"/>
  <c r="H418" i="9" s="1"/>
  <c r="A419" i="9"/>
  <c r="C419" i="9" s="1"/>
  <c r="A420" i="9"/>
  <c r="B420" i="9" s="1"/>
  <c r="A421" i="9"/>
  <c r="C421" i="9" s="1"/>
  <c r="A422" i="9"/>
  <c r="B422" i="9" s="1"/>
  <c r="A423" i="9"/>
  <c r="H423" i="9" s="1"/>
  <c r="A424" i="9"/>
  <c r="C424" i="9" s="1"/>
  <c r="A425" i="9"/>
  <c r="H425" i="9" s="1"/>
  <c r="A426" i="9"/>
  <c r="C426" i="9" s="1"/>
  <c r="A427" i="9"/>
  <c r="C427" i="9" s="1"/>
  <c r="A428" i="9"/>
  <c r="D428" i="9" s="1"/>
  <c r="A429" i="9"/>
  <c r="A430" i="9"/>
  <c r="C430" i="9" s="1"/>
  <c r="A431" i="9"/>
  <c r="D431" i="9" s="1"/>
  <c r="A432" i="9"/>
  <c r="C432" i="9" s="1"/>
  <c r="A433" i="9"/>
  <c r="H433" i="9" s="1"/>
  <c r="A434" i="9"/>
  <c r="B434" i="9" s="1"/>
  <c r="A435" i="9"/>
  <c r="C435" i="9" s="1"/>
  <c r="A436" i="9"/>
  <c r="B436" i="9" s="1"/>
  <c r="A437" i="9"/>
  <c r="A438" i="9"/>
  <c r="H438" i="9" s="1"/>
  <c r="A439" i="9"/>
  <c r="G439" i="9" s="1"/>
  <c r="A440" i="9"/>
  <c r="H440" i="9" s="1"/>
  <c r="A441" i="9"/>
  <c r="F441" i="9" s="1"/>
  <c r="A442" i="9"/>
  <c r="C442" i="9" s="1"/>
  <c r="A443" i="9"/>
  <c r="H443" i="9" s="1"/>
  <c r="A444" i="9"/>
  <c r="G444" i="9" s="1"/>
  <c r="A445" i="9"/>
  <c r="B445" i="9" s="1"/>
  <c r="A446" i="9"/>
  <c r="H446" i="9" s="1"/>
  <c r="A447" i="9"/>
  <c r="A448" i="9"/>
  <c r="D448" i="9" s="1"/>
  <c r="A449" i="9"/>
  <c r="G449" i="9" s="1"/>
  <c r="A450" i="9"/>
  <c r="H450" i="9" s="1"/>
  <c r="A451" i="9"/>
  <c r="A452" i="9"/>
  <c r="A453" i="9"/>
  <c r="B453" i="9" s="1"/>
  <c r="A454" i="9"/>
  <c r="C454" i="9" s="1"/>
  <c r="A455" i="9"/>
  <c r="B455" i="9" s="1"/>
  <c r="A456" i="9"/>
  <c r="H456" i="9" s="1"/>
  <c r="A457" i="9"/>
  <c r="G457" i="9" s="1"/>
  <c r="A458" i="9"/>
  <c r="C458" i="9" s="1"/>
  <c r="A459" i="9"/>
  <c r="C459" i="9" s="1"/>
  <c r="A460" i="9"/>
  <c r="A461" i="9"/>
  <c r="B461" i="9" s="1"/>
  <c r="A462" i="9"/>
  <c r="F462" i="9" s="1"/>
  <c r="A463" i="9"/>
  <c r="H463" i="9" s="1"/>
  <c r="A464" i="9"/>
  <c r="F464" i="9" s="1"/>
  <c r="A465" i="9"/>
  <c r="H465" i="9" s="1"/>
  <c r="A466" i="9"/>
  <c r="F466" i="9" s="1"/>
  <c r="A467" i="9"/>
  <c r="G467" i="9" s="1"/>
  <c r="A468" i="9"/>
  <c r="H468" i="9" s="1"/>
  <c r="A469" i="9"/>
  <c r="B469" i="9" s="1"/>
  <c r="A470" i="9"/>
  <c r="B470" i="9" s="1"/>
  <c r="A471" i="9"/>
  <c r="C471" i="9" s="1"/>
  <c r="A472" i="9"/>
  <c r="F472" i="9" s="1"/>
  <c r="A473" i="9"/>
  <c r="B473" i="9" s="1"/>
  <c r="A474" i="9"/>
  <c r="B474" i="9" s="1"/>
  <c r="A475" i="9"/>
  <c r="A476" i="9"/>
  <c r="C476" i="9" s="1"/>
  <c r="A477" i="9"/>
  <c r="C477" i="9" s="1"/>
  <c r="A478" i="9"/>
  <c r="C478" i="9" s="1"/>
  <c r="A479" i="9"/>
  <c r="H479" i="9" s="1"/>
  <c r="A480" i="9"/>
  <c r="D480" i="9" s="1"/>
  <c r="A481" i="9"/>
  <c r="G481" i="9" s="1"/>
  <c r="A482" i="9"/>
  <c r="G482" i="9" s="1"/>
  <c r="A483" i="9"/>
  <c r="B483" i="9" s="1"/>
  <c r="A484" i="9"/>
  <c r="A485" i="9"/>
  <c r="C485" i="9" s="1"/>
  <c r="A486" i="9"/>
  <c r="C486" i="9" s="1"/>
  <c r="A487" i="9"/>
  <c r="A488" i="9"/>
  <c r="B488" i="9" s="1"/>
  <c r="A489" i="9"/>
  <c r="G489" i="9" s="1"/>
  <c r="A490" i="9"/>
  <c r="H490" i="9" s="1"/>
  <c r="A491" i="9"/>
  <c r="B491" i="9" s="1"/>
  <c r="A492" i="9"/>
  <c r="A493" i="9"/>
  <c r="C493" i="9" s="1"/>
  <c r="A494" i="9"/>
  <c r="C494" i="9" s="1"/>
  <c r="A495" i="9"/>
  <c r="H495" i="9" s="1"/>
  <c r="A496" i="9"/>
  <c r="G496" i="9" s="1"/>
  <c r="A497" i="9"/>
  <c r="G497" i="9" s="1"/>
  <c r="A498" i="9"/>
  <c r="H498" i="9" s="1"/>
  <c r="A499" i="9"/>
  <c r="G499" i="9" s="1"/>
  <c r="A500" i="9"/>
  <c r="A501" i="9"/>
  <c r="H501" i="9" s="1"/>
  <c r="A502" i="9"/>
  <c r="B502" i="9" s="1"/>
  <c r="A503" i="9"/>
  <c r="D503" i="9" s="1"/>
  <c r="A504" i="9"/>
  <c r="F504" i="9" s="1"/>
  <c r="A505" i="9"/>
  <c r="F505" i="9" s="1"/>
  <c r="A506" i="9"/>
  <c r="A507" i="9"/>
  <c r="A508" i="9"/>
  <c r="H508" i="9" s="1"/>
  <c r="A509" i="9"/>
  <c r="D509" i="9" s="1"/>
  <c r="A510" i="9"/>
  <c r="B510" i="9" s="1"/>
  <c r="A511" i="9"/>
  <c r="F511" i="9" s="1"/>
  <c r="A512" i="9"/>
  <c r="D512" i="9" s="1"/>
  <c r="A513" i="9"/>
  <c r="G513" i="9" s="1"/>
  <c r="A514" i="9"/>
  <c r="F514" i="9" s="1"/>
  <c r="A515" i="9"/>
  <c r="B515" i="9" s="1"/>
  <c r="A516" i="9"/>
  <c r="A517" i="9"/>
  <c r="H517" i="9" s="1"/>
  <c r="A518" i="9"/>
  <c r="B518" i="9" s="1"/>
  <c r="A519" i="9"/>
  <c r="C519" i="9" s="1"/>
  <c r="A520" i="9"/>
  <c r="B520" i="9" s="1"/>
  <c r="A521" i="9"/>
  <c r="D521" i="9" s="1"/>
  <c r="A522" i="9"/>
  <c r="G522" i="9" s="1"/>
  <c r="A523" i="9"/>
  <c r="A524" i="9"/>
  <c r="A525" i="9"/>
  <c r="H525" i="9" s="1"/>
  <c r="A526" i="9"/>
  <c r="B526" i="9" s="1"/>
  <c r="A527" i="9"/>
  <c r="B527" i="9" s="1"/>
  <c r="A528" i="9"/>
  <c r="C528" i="9" s="1"/>
  <c r="A529" i="9"/>
  <c r="G529" i="9" s="1"/>
  <c r="A530" i="9"/>
  <c r="H530" i="9" s="1"/>
  <c r="A531" i="9"/>
  <c r="B531" i="9" s="1"/>
  <c r="A532" i="9"/>
  <c r="C532" i="9" s="1"/>
  <c r="A533" i="9"/>
  <c r="G533" i="9" s="1"/>
  <c r="A534" i="9"/>
  <c r="B534" i="9" s="1"/>
  <c r="A535" i="9"/>
  <c r="B535" i="9" s="1"/>
  <c r="A536" i="9"/>
  <c r="B536" i="9" s="1"/>
  <c r="A537" i="9"/>
  <c r="H537" i="9" s="1"/>
  <c r="A538" i="9"/>
  <c r="D538" i="9" s="1"/>
  <c r="A539" i="9"/>
  <c r="D539" i="9" s="1"/>
  <c r="A540" i="9"/>
  <c r="H540" i="9" s="1"/>
  <c r="A541" i="9"/>
  <c r="H541" i="9" s="1"/>
  <c r="A542" i="9"/>
  <c r="B542" i="9" s="1"/>
  <c r="A543" i="9"/>
  <c r="C543" i="9" s="1"/>
  <c r="A544" i="9"/>
  <c r="A545" i="9"/>
  <c r="H545" i="9" s="1"/>
  <c r="A546" i="9"/>
  <c r="B546" i="9" s="1"/>
  <c r="A547" i="9"/>
  <c r="A548" i="9"/>
  <c r="G548" i="9" s="1"/>
  <c r="A549" i="9"/>
  <c r="D549" i="9" s="1"/>
  <c r="A550" i="9"/>
  <c r="B550" i="9" s="1"/>
  <c r="A551" i="9"/>
  <c r="C551" i="9" s="1"/>
  <c r="A552" i="9"/>
  <c r="B552" i="9" s="1"/>
  <c r="A553" i="9"/>
  <c r="B553" i="9" s="1"/>
  <c r="A554" i="9"/>
  <c r="B554" i="9" s="1"/>
  <c r="A555" i="9"/>
  <c r="A556" i="9"/>
  <c r="G556" i="9" s="1"/>
  <c r="A557" i="9"/>
  <c r="A558" i="9"/>
  <c r="B558" i="9" s="1"/>
  <c r="A559" i="9"/>
  <c r="D559" i="9" s="1"/>
  <c r="A560" i="9"/>
  <c r="B560" i="9" s="1"/>
  <c r="A561" i="9"/>
  <c r="B561" i="9" s="1"/>
  <c r="A562" i="9"/>
  <c r="G562" i="9" s="1"/>
  <c r="A563" i="9"/>
  <c r="B563" i="9" s="1"/>
  <c r="A564" i="9"/>
  <c r="C564" i="9" s="1"/>
  <c r="A565" i="9"/>
  <c r="D565" i="9" s="1"/>
  <c r="A566" i="9"/>
  <c r="H566" i="9" s="1"/>
  <c r="A567" i="9"/>
  <c r="B567" i="9" s="1"/>
  <c r="A568" i="9"/>
  <c r="B568" i="9" s="1"/>
  <c r="A569" i="9"/>
  <c r="F569" i="9" s="1"/>
  <c r="A570" i="9"/>
  <c r="G570" i="9" s="1"/>
  <c r="A571" i="9"/>
  <c r="F571" i="9" s="1"/>
  <c r="A572" i="9"/>
  <c r="B572" i="9" s="1"/>
  <c r="A573" i="9"/>
  <c r="B573" i="9" s="1"/>
  <c r="A574" i="9"/>
  <c r="B574" i="9" s="1"/>
  <c r="A575" i="9"/>
  <c r="B575" i="9" s="1"/>
  <c r="A576" i="9"/>
  <c r="C576" i="9" s="1"/>
  <c r="A577" i="9"/>
  <c r="F577" i="9" s="1"/>
  <c r="A578" i="9"/>
  <c r="H578" i="9" s="1"/>
  <c r="A579" i="9"/>
  <c r="B579" i="9" s="1"/>
  <c r="A580" i="9"/>
  <c r="B580" i="9" s="1"/>
  <c r="A581" i="9"/>
  <c r="D581" i="9" s="1"/>
  <c r="A582" i="9"/>
  <c r="B582" i="9" s="1"/>
  <c r="A583" i="9"/>
  <c r="H583" i="9" s="1"/>
  <c r="A584" i="9"/>
  <c r="H584" i="9" s="1"/>
  <c r="A50" i="10"/>
  <c r="B50" i="10" s="1"/>
  <c r="A51" i="10"/>
  <c r="H51" i="10" s="1"/>
  <c r="A52" i="10"/>
  <c r="B52" i="10" s="1"/>
  <c r="A53" i="10"/>
  <c r="C53" i="10" s="1"/>
  <c r="A54" i="10"/>
  <c r="D54" i="10" s="1"/>
  <c r="A55" i="10"/>
  <c r="B55" i="10" s="1"/>
  <c r="A56" i="10"/>
  <c r="A57" i="10"/>
  <c r="B57" i="10" s="1"/>
  <c r="A58" i="10"/>
  <c r="H58" i="10" s="1"/>
  <c r="A59" i="10"/>
  <c r="A60" i="10"/>
  <c r="C60" i="10" s="1"/>
  <c r="A61" i="10"/>
  <c r="G61" i="10" s="1"/>
  <c r="A62" i="10"/>
  <c r="F62" i="10" s="1"/>
  <c r="A63" i="10"/>
  <c r="C63" i="10" s="1"/>
  <c r="A64" i="10"/>
  <c r="B64" i="10" s="1"/>
  <c r="A65" i="10"/>
  <c r="F65" i="10" s="1"/>
  <c r="A66" i="10"/>
  <c r="G66" i="10" s="1"/>
  <c r="A67" i="10"/>
  <c r="H67" i="10" s="1"/>
  <c r="A68" i="10"/>
  <c r="B68" i="10" s="1"/>
  <c r="A69" i="10"/>
  <c r="G69" i="10" s="1"/>
  <c r="A70" i="10"/>
  <c r="C70" i="10" s="1"/>
  <c r="A71" i="10"/>
  <c r="G71" i="10" s="1"/>
  <c r="A72" i="10"/>
  <c r="G72" i="10" s="1"/>
  <c r="A73" i="10"/>
  <c r="F73" i="10" s="1"/>
  <c r="A74" i="10"/>
  <c r="B74" i="10" s="1"/>
  <c r="A75" i="10"/>
  <c r="H75" i="10" s="1"/>
  <c r="A76" i="10"/>
  <c r="F76" i="10" s="1"/>
  <c r="A77" i="10"/>
  <c r="F77" i="10" s="1"/>
  <c r="A78" i="10"/>
  <c r="D78" i="10" s="1"/>
  <c r="A79" i="10"/>
  <c r="B79" i="10" s="1"/>
  <c r="A80" i="10"/>
  <c r="B80" i="10" s="1"/>
  <c r="A81" i="10"/>
  <c r="H81" i="10" s="1"/>
  <c r="A82" i="10"/>
  <c r="G82" i="10" s="1"/>
  <c r="A83" i="10"/>
  <c r="B83" i="10" s="1"/>
  <c r="A84" i="10"/>
  <c r="G84" i="10" s="1"/>
  <c r="A85" i="10"/>
  <c r="A86" i="10"/>
  <c r="B86" i="10" s="1"/>
  <c r="A87" i="10"/>
  <c r="D87" i="10" s="1"/>
  <c r="A88" i="10"/>
  <c r="D88" i="10" s="1"/>
  <c r="A89" i="10"/>
  <c r="B89" i="10" s="1"/>
  <c r="A90" i="10"/>
  <c r="C90" i="10" s="1"/>
  <c r="A91" i="10"/>
  <c r="G91" i="10" s="1"/>
  <c r="A92" i="10"/>
  <c r="D92" i="10" s="1"/>
  <c r="A93" i="10"/>
  <c r="B93" i="10" s="1"/>
  <c r="A94" i="10"/>
  <c r="C94" i="10" s="1"/>
  <c r="A95" i="10"/>
  <c r="H95" i="10" s="1"/>
  <c r="A96" i="10"/>
  <c r="F96" i="10" s="1"/>
  <c r="A97" i="10"/>
  <c r="G97" i="10" s="1"/>
  <c r="A98" i="10"/>
  <c r="B98" i="10" s="1"/>
  <c r="A99" i="10"/>
  <c r="B99" i="10" s="1"/>
  <c r="A100" i="10"/>
  <c r="B100" i="10" s="1"/>
  <c r="A101" i="10"/>
  <c r="C101" i="10" s="1"/>
  <c r="A102" i="10"/>
  <c r="A103" i="10"/>
  <c r="B103" i="10" s="1"/>
  <c r="A104" i="10"/>
  <c r="C104" i="10" s="1"/>
  <c r="A105" i="10"/>
  <c r="C105" i="10" s="1"/>
  <c r="A106" i="10"/>
  <c r="B106" i="10" s="1"/>
  <c r="A107" i="10"/>
  <c r="D107" i="10" s="1"/>
  <c r="A108" i="10"/>
  <c r="F108" i="10" s="1"/>
  <c r="A109" i="10"/>
  <c r="F109" i="10" s="1"/>
  <c r="A110" i="10"/>
  <c r="C110" i="10" s="1"/>
  <c r="A111" i="10"/>
  <c r="H111" i="10" s="1"/>
  <c r="A112" i="10"/>
  <c r="C112" i="10" s="1"/>
  <c r="A113" i="10"/>
  <c r="D113" i="10" s="1"/>
  <c r="A114" i="10"/>
  <c r="G114" i="10" s="1"/>
  <c r="A115" i="10"/>
  <c r="D115" i="10" s="1"/>
  <c r="A116" i="10"/>
  <c r="C116" i="10" s="1"/>
  <c r="A117" i="10"/>
  <c r="G117" i="10" s="1"/>
  <c r="A118" i="10"/>
  <c r="C118" i="10" s="1"/>
  <c r="A119" i="10"/>
  <c r="D119" i="10" s="1"/>
  <c r="A120" i="10"/>
  <c r="B120" i="10" s="1"/>
  <c r="A121" i="10"/>
  <c r="B121" i="10" s="1"/>
  <c r="A122" i="10"/>
  <c r="F122" i="10" s="1"/>
  <c r="A123" i="10"/>
  <c r="F123" i="10" s="1"/>
  <c r="A124" i="10"/>
  <c r="G124" i="10" s="1"/>
  <c r="A125" i="10"/>
  <c r="G125" i="10" s="1"/>
  <c r="A126" i="10"/>
  <c r="A127" i="10"/>
  <c r="F127" i="10" s="1"/>
  <c r="A128" i="10"/>
  <c r="C128" i="10" s="1"/>
  <c r="A129" i="10"/>
  <c r="D129" i="10" s="1"/>
  <c r="A130" i="10"/>
  <c r="B130" i="10" s="1"/>
  <c r="A131" i="10"/>
  <c r="G131" i="10" s="1"/>
  <c r="A132" i="10"/>
  <c r="B132" i="10" s="1"/>
  <c r="A133" i="10"/>
  <c r="A134" i="10"/>
  <c r="A135" i="10"/>
  <c r="B135" i="10" s="1"/>
  <c r="A136" i="10"/>
  <c r="C136" i="10" s="1"/>
  <c r="A137" i="10"/>
  <c r="G137" i="10" s="1"/>
  <c r="A138" i="10"/>
  <c r="D138" i="10" s="1"/>
  <c r="A139" i="10"/>
  <c r="G139" i="10" s="1"/>
  <c r="A140" i="10"/>
  <c r="D140" i="10" s="1"/>
  <c r="A141" i="10"/>
  <c r="A142" i="10"/>
  <c r="C142" i="10" s="1"/>
  <c r="A143" i="10"/>
  <c r="B143" i="10" s="1"/>
  <c r="A144" i="10"/>
  <c r="C144" i="10" s="1"/>
  <c r="A145" i="10"/>
  <c r="G145" i="10" s="1"/>
  <c r="A146" i="10"/>
  <c r="D146" i="10" s="1"/>
  <c r="A147" i="10"/>
  <c r="G147" i="10" s="1"/>
  <c r="A148" i="10"/>
  <c r="F148" i="10" s="1"/>
  <c r="A149" i="10"/>
  <c r="D149" i="10" s="1"/>
  <c r="A150" i="10"/>
  <c r="C150" i="10" s="1"/>
  <c r="A151" i="10"/>
  <c r="B151" i="10" s="1"/>
  <c r="A152" i="10"/>
  <c r="D152" i="10" s="1"/>
  <c r="A153" i="10"/>
  <c r="C153" i="10" s="1"/>
  <c r="A154" i="10"/>
  <c r="C154" i="10" s="1"/>
  <c r="A155" i="10"/>
  <c r="B155" i="10" s="1"/>
  <c r="A156" i="10"/>
  <c r="B156" i="10" s="1"/>
  <c r="A157" i="10"/>
  <c r="A158" i="10"/>
  <c r="H158" i="10" s="1"/>
  <c r="A159" i="10"/>
  <c r="B159" i="10" s="1"/>
  <c r="A160" i="10"/>
  <c r="B160" i="10" s="1"/>
  <c r="A161" i="10"/>
  <c r="H161" i="10" s="1"/>
  <c r="A162" i="10"/>
  <c r="B162" i="10" s="1"/>
  <c r="A163" i="10"/>
  <c r="H163" i="10" s="1"/>
  <c r="A164" i="10"/>
  <c r="D164" i="10" s="1"/>
  <c r="A165" i="10"/>
  <c r="A166" i="10"/>
  <c r="B166" i="10" s="1"/>
  <c r="A167" i="10"/>
  <c r="G167" i="10" s="1"/>
  <c r="A168" i="10"/>
  <c r="C168" i="10" s="1"/>
  <c r="A169" i="10"/>
  <c r="G169" i="10" s="1"/>
  <c r="A170" i="10"/>
  <c r="H170" i="10" s="1"/>
  <c r="A171" i="10"/>
  <c r="H171" i="10" s="1"/>
  <c r="A172" i="10"/>
  <c r="D172" i="10" s="1"/>
  <c r="A173" i="10"/>
  <c r="C173" i="10" s="1"/>
  <c r="A174" i="10"/>
  <c r="G174" i="10" s="1"/>
  <c r="A175" i="10"/>
  <c r="B175" i="10" s="1"/>
  <c r="A176" i="10"/>
  <c r="C176" i="10" s="1"/>
  <c r="A177" i="10"/>
  <c r="F177" i="10" s="1"/>
  <c r="A178" i="10"/>
  <c r="B178" i="10" s="1"/>
  <c r="A179" i="10"/>
  <c r="C179" i="10" s="1"/>
  <c r="A180" i="10"/>
  <c r="D180" i="10" s="1"/>
  <c r="A181" i="10"/>
  <c r="H181" i="10" s="1"/>
  <c r="A182" i="10"/>
  <c r="H182" i="10" s="1"/>
  <c r="A183" i="10"/>
  <c r="B183" i="10" s="1"/>
  <c r="A184" i="10"/>
  <c r="C184" i="10" s="1"/>
  <c r="A185" i="10"/>
  <c r="B185" i="10" s="1"/>
  <c r="A186" i="10"/>
  <c r="B186" i="10" s="1"/>
  <c r="A187" i="10"/>
  <c r="F187" i="10" s="1"/>
  <c r="A188" i="10"/>
  <c r="C188" i="10" s="1"/>
  <c r="A189" i="10"/>
  <c r="G189" i="10" s="1"/>
  <c r="A190" i="10"/>
  <c r="H190" i="10" s="1"/>
  <c r="A191" i="10"/>
  <c r="B191" i="10" s="1"/>
  <c r="A192" i="10"/>
  <c r="C192" i="10" s="1"/>
  <c r="A193" i="10"/>
  <c r="D193" i="10" s="1"/>
  <c r="A194" i="10"/>
  <c r="A195" i="10"/>
  <c r="B195" i="10" s="1"/>
  <c r="A196" i="10"/>
  <c r="B196" i="10" s="1"/>
  <c r="A197" i="10"/>
  <c r="F197" i="10" s="1"/>
  <c r="A198" i="10"/>
  <c r="F198" i="10" s="1"/>
  <c r="A199" i="10"/>
  <c r="C199" i="10" s="1"/>
  <c r="A200" i="10"/>
  <c r="C200" i="10" s="1"/>
  <c r="A201" i="10"/>
  <c r="D201" i="10" s="1"/>
  <c r="A202" i="10"/>
  <c r="B202" i="10" s="1"/>
  <c r="A203" i="10"/>
  <c r="C203" i="10" s="1"/>
  <c r="A204" i="10"/>
  <c r="F204" i="10" s="1"/>
  <c r="A205" i="10"/>
  <c r="D205" i="10" s="1"/>
  <c r="A206" i="10"/>
  <c r="B206" i="10" s="1"/>
  <c r="A207" i="10"/>
  <c r="C207" i="10" s="1"/>
  <c r="A208" i="10"/>
  <c r="B208" i="10" s="1"/>
  <c r="A209" i="10"/>
  <c r="D209" i="10" s="1"/>
  <c r="A210" i="10"/>
  <c r="A211" i="10"/>
  <c r="G211" i="10" s="1"/>
  <c r="A212" i="10"/>
  <c r="F212" i="10" s="1"/>
  <c r="A213" i="10"/>
  <c r="C213" i="10" s="1"/>
  <c r="A214" i="10"/>
  <c r="H214" i="10" s="1"/>
  <c r="A215" i="10"/>
  <c r="B215" i="10" s="1"/>
  <c r="A216" i="10"/>
  <c r="B216" i="10" s="1"/>
  <c r="A217" i="10"/>
  <c r="F217" i="10" s="1"/>
  <c r="A218" i="10"/>
  <c r="F218" i="10" s="1"/>
  <c r="A219" i="10"/>
  <c r="A220" i="10"/>
  <c r="G220" i="10" s="1"/>
  <c r="A221" i="10"/>
  <c r="B221" i="10" s="1"/>
  <c r="A222" i="10"/>
  <c r="G222" i="10" s="1"/>
  <c r="A223" i="10"/>
  <c r="B223" i="10" s="1"/>
  <c r="A224" i="10"/>
  <c r="H224" i="10" s="1"/>
  <c r="A225" i="10"/>
  <c r="G225" i="10" s="1"/>
  <c r="A226" i="10"/>
  <c r="C226" i="10" s="1"/>
  <c r="A227" i="10"/>
  <c r="A228" i="10"/>
  <c r="B228" i="10" s="1"/>
  <c r="A229" i="10"/>
  <c r="F229" i="10" s="1"/>
  <c r="A230" i="10"/>
  <c r="H230" i="10" s="1"/>
  <c r="A231" i="10"/>
  <c r="B231" i="10" s="1"/>
  <c r="A232" i="10"/>
  <c r="B232" i="10" s="1"/>
  <c r="A233" i="10"/>
  <c r="B233" i="10" s="1"/>
  <c r="A234" i="10"/>
  <c r="A235" i="10"/>
  <c r="C235" i="10" s="1"/>
  <c r="A236" i="10"/>
  <c r="A237" i="10"/>
  <c r="C237" i="10" s="1"/>
  <c r="A238" i="10"/>
  <c r="B238" i="10" s="1"/>
  <c r="A239" i="10"/>
  <c r="D239" i="10" s="1"/>
  <c r="A240" i="10"/>
  <c r="B240" i="10" s="1"/>
  <c r="A241" i="10"/>
  <c r="A242" i="10"/>
  <c r="B242" i="10" s="1"/>
  <c r="A243" i="10"/>
  <c r="H243" i="10" s="1"/>
  <c r="A244" i="10"/>
  <c r="B244" i="10" s="1"/>
  <c r="A245" i="10"/>
  <c r="C245" i="10" s="1"/>
  <c r="A246" i="10"/>
  <c r="B246" i="10" s="1"/>
  <c r="A247" i="10"/>
  <c r="B247" i="10" s="1"/>
  <c r="A248" i="10"/>
  <c r="B248" i="10" s="1"/>
  <c r="A249" i="10"/>
  <c r="B249" i="10" s="1"/>
  <c r="A250" i="10"/>
  <c r="D250" i="10" s="1"/>
  <c r="A251" i="10"/>
  <c r="B251" i="10" s="1"/>
  <c r="A252" i="10"/>
  <c r="C252" i="10" s="1"/>
  <c r="A253" i="10"/>
  <c r="G253" i="10" s="1"/>
  <c r="A254" i="10"/>
  <c r="H254" i="10" s="1"/>
  <c r="A255" i="10"/>
  <c r="B255" i="10" s="1"/>
  <c r="A256" i="10"/>
  <c r="H256" i="10" s="1"/>
  <c r="A257" i="10"/>
  <c r="H257" i="10" s="1"/>
  <c r="A258" i="10"/>
  <c r="A259" i="10"/>
  <c r="D259" i="10" s="1"/>
  <c r="A260" i="10"/>
  <c r="A261" i="10"/>
  <c r="C261" i="10" s="1"/>
  <c r="A262" i="10"/>
  <c r="G262" i="10" s="1"/>
  <c r="A263" i="10"/>
  <c r="B263" i="10" s="1"/>
  <c r="A264" i="10"/>
  <c r="D264" i="10" s="1"/>
  <c r="A265" i="10"/>
  <c r="D265" i="10" s="1"/>
  <c r="A266" i="10"/>
  <c r="F266" i="10" s="1"/>
  <c r="A267" i="10"/>
  <c r="B267" i="10" s="1"/>
  <c r="A268" i="10"/>
  <c r="B268" i="10" s="1"/>
  <c r="A269" i="10"/>
  <c r="C269" i="10" s="1"/>
  <c r="A270" i="10"/>
  <c r="G270" i="10" s="1"/>
  <c r="A271" i="10"/>
  <c r="H271" i="10" s="1"/>
  <c r="A272" i="10"/>
  <c r="B272" i="10" s="1"/>
  <c r="A273" i="10"/>
  <c r="H273" i="10" s="1"/>
  <c r="A274" i="10"/>
  <c r="A275" i="10"/>
  <c r="D275" i="10" s="1"/>
  <c r="A276" i="10"/>
  <c r="G276" i="10" s="1"/>
  <c r="A277" i="10"/>
  <c r="B277" i="10" s="1"/>
  <c r="A278" i="10"/>
  <c r="H278" i="10" s="1"/>
  <c r="A279" i="10"/>
  <c r="B279" i="10" s="1"/>
  <c r="A280" i="10"/>
  <c r="D280" i="10" s="1"/>
  <c r="A281" i="10"/>
  <c r="H281" i="10" s="1"/>
  <c r="A282" i="10"/>
  <c r="C282" i="10" s="1"/>
  <c r="A283" i="10"/>
  <c r="D283" i="10" s="1"/>
  <c r="A284" i="10"/>
  <c r="B284" i="10" s="1"/>
  <c r="A285" i="10"/>
  <c r="B285" i="10" s="1"/>
  <c r="A286" i="10"/>
  <c r="B286" i="10" s="1"/>
  <c r="A287" i="10"/>
  <c r="D287" i="10" s="1"/>
  <c r="A288" i="10"/>
  <c r="B288" i="10" s="1"/>
  <c r="A289" i="10"/>
  <c r="G289" i="10" s="1"/>
  <c r="A290" i="10"/>
  <c r="D290" i="10" s="1"/>
  <c r="A291" i="10"/>
  <c r="H291" i="10" s="1"/>
  <c r="A292" i="10"/>
  <c r="D292" i="10" s="1"/>
  <c r="A293" i="10"/>
  <c r="C293" i="10" s="1"/>
  <c r="A294" i="10"/>
  <c r="H294" i="10" s="1"/>
  <c r="A295" i="10"/>
  <c r="D295" i="10" s="1"/>
  <c r="A296" i="10"/>
  <c r="D296" i="10" s="1"/>
  <c r="A297" i="10"/>
  <c r="G297" i="10" s="1"/>
  <c r="A298" i="10"/>
  <c r="A299" i="10"/>
  <c r="C299" i="10" s="1"/>
  <c r="A300" i="10"/>
  <c r="H300" i="10" s="1"/>
  <c r="A301" i="10"/>
  <c r="F301" i="10" s="1"/>
  <c r="A302" i="10"/>
  <c r="B302" i="10" s="1"/>
  <c r="A303" i="10"/>
  <c r="D303" i="10" s="1"/>
  <c r="A304" i="10"/>
  <c r="C304" i="10" s="1"/>
  <c r="A305" i="10"/>
  <c r="H305" i="10" s="1"/>
  <c r="A306" i="10"/>
  <c r="H306" i="10" s="1"/>
  <c r="A307" i="10"/>
  <c r="B307" i="10" s="1"/>
  <c r="A308" i="10"/>
  <c r="B308" i="10" s="1"/>
  <c r="A309" i="10"/>
  <c r="G309" i="10" s="1"/>
  <c r="A310" i="10"/>
  <c r="D310" i="10" s="1"/>
  <c r="A311" i="10"/>
  <c r="D311" i="10" s="1"/>
  <c r="A312" i="10"/>
  <c r="A313" i="10"/>
  <c r="H313" i="10" s="1"/>
  <c r="A314" i="10"/>
  <c r="A315" i="10"/>
  <c r="H315" i="10" s="1"/>
  <c r="A316" i="10"/>
  <c r="F316" i="10" s="1"/>
  <c r="A317" i="10"/>
  <c r="F317" i="10" s="1"/>
  <c r="A318" i="10"/>
  <c r="D318" i="10" s="1"/>
  <c r="A319" i="10"/>
  <c r="H319" i="10" s="1"/>
  <c r="A320" i="10"/>
  <c r="B320" i="10" s="1"/>
  <c r="A321" i="10"/>
  <c r="G321" i="10" s="1"/>
  <c r="A322" i="10"/>
  <c r="B322" i="10" s="1"/>
  <c r="A323" i="10"/>
  <c r="A324" i="10"/>
  <c r="D324" i="10" s="1"/>
  <c r="A325" i="10"/>
  <c r="B325" i="10" s="1"/>
  <c r="A326" i="10"/>
  <c r="D326" i="10" s="1"/>
  <c r="A327" i="10"/>
  <c r="C327" i="10" s="1"/>
  <c r="A328" i="10"/>
  <c r="G328" i="10" s="1"/>
  <c r="A329" i="10"/>
  <c r="B329" i="10" s="1"/>
  <c r="A330" i="10"/>
  <c r="F330" i="10" s="1"/>
  <c r="A331" i="10"/>
  <c r="B331" i="10" s="1"/>
  <c r="A332" i="10"/>
  <c r="D332" i="10" s="1"/>
  <c r="A333" i="10"/>
  <c r="H333" i="10" s="1"/>
  <c r="A334" i="10"/>
  <c r="C334" i="10" s="1"/>
  <c r="A335" i="10"/>
  <c r="C335" i="10" s="1"/>
  <c r="A336" i="10"/>
  <c r="F336" i="10" s="1"/>
  <c r="A337" i="10"/>
  <c r="B337" i="10" s="1"/>
  <c r="A338" i="10"/>
  <c r="D338" i="10" s="1"/>
  <c r="A339" i="10"/>
  <c r="C339" i="10" s="1"/>
  <c r="A340" i="10"/>
  <c r="C340" i="10" s="1"/>
  <c r="A341" i="10"/>
  <c r="C341" i="10" s="1"/>
  <c r="A342" i="10"/>
  <c r="G342" i="10" s="1"/>
  <c r="A343" i="10"/>
  <c r="C343" i="10" s="1"/>
  <c r="A344" i="10"/>
  <c r="B344" i="10" s="1"/>
  <c r="A345" i="10"/>
  <c r="F345" i="10" s="1"/>
  <c r="A346" i="10"/>
  <c r="B346" i="10" s="1"/>
  <c r="A347" i="10"/>
  <c r="G347" i="10" s="1"/>
  <c r="A348" i="10"/>
  <c r="C348" i="10" s="1"/>
  <c r="A349" i="10"/>
  <c r="A350" i="10"/>
  <c r="B350" i="10" s="1"/>
  <c r="A351" i="10"/>
  <c r="H351" i="10" s="1"/>
  <c r="A352" i="10"/>
  <c r="C352" i="10" s="1"/>
  <c r="A353" i="10"/>
  <c r="D353" i="10" s="1"/>
  <c r="A354" i="10"/>
  <c r="B354" i="10" s="1"/>
  <c r="A355" i="10"/>
  <c r="D355" i="10" s="1"/>
  <c r="A356" i="10"/>
  <c r="A357" i="10"/>
  <c r="C357" i="10" s="1"/>
  <c r="A358" i="10"/>
  <c r="C358" i="10" s="1"/>
  <c r="A359" i="10"/>
  <c r="B359" i="10" s="1"/>
  <c r="A360" i="10"/>
  <c r="A361" i="10"/>
  <c r="G361" i="10" s="1"/>
  <c r="A362" i="10"/>
  <c r="G362" i="10" s="1"/>
  <c r="A363" i="10"/>
  <c r="F363" i="10" s="1"/>
  <c r="A364" i="10"/>
  <c r="B364" i="10" s="1"/>
  <c r="A365" i="10"/>
  <c r="A366" i="10"/>
  <c r="B366" i="10" s="1"/>
  <c r="A367" i="10"/>
  <c r="C367" i="10" s="1"/>
  <c r="A368" i="10"/>
  <c r="A369" i="10"/>
  <c r="D369" i="10" s="1"/>
  <c r="A370" i="10"/>
  <c r="F370" i="10" s="1"/>
  <c r="A371" i="10"/>
  <c r="H371" i="10" s="1"/>
  <c r="A372" i="10"/>
  <c r="F372" i="10" s="1"/>
  <c r="A373" i="10"/>
  <c r="A374" i="10"/>
  <c r="H374" i="10" s="1"/>
  <c r="A375" i="10"/>
  <c r="B375" i="10" s="1"/>
  <c r="A376" i="10"/>
  <c r="D376" i="10" s="1"/>
  <c r="A377" i="10"/>
  <c r="B377" i="10" s="1"/>
  <c r="A378" i="10"/>
  <c r="D378" i="10" s="1"/>
  <c r="A379" i="10"/>
  <c r="B379" i="10" s="1"/>
  <c r="A380" i="10"/>
  <c r="B380" i="10" s="1"/>
  <c r="A381" i="10"/>
  <c r="C381" i="10" s="1"/>
  <c r="A382" i="10"/>
  <c r="D382" i="10" s="1"/>
  <c r="A383" i="10"/>
  <c r="D383" i="10" s="1"/>
  <c r="A384" i="10"/>
  <c r="C384" i="10" s="1"/>
  <c r="A385" i="10"/>
  <c r="C385" i="10" s="1"/>
  <c r="A386" i="10"/>
  <c r="F386" i="10" s="1"/>
  <c r="A387" i="10"/>
  <c r="H387" i="10" s="1"/>
  <c r="A388" i="10"/>
  <c r="B388" i="10" s="1"/>
  <c r="A389" i="10"/>
  <c r="H389" i="10" s="1"/>
  <c r="A13" i="10"/>
  <c r="C13" i="10" s="1"/>
  <c r="A14" i="10"/>
  <c r="H14" i="10" s="1"/>
  <c r="A15" i="10"/>
  <c r="D15" i="10" s="1"/>
  <c r="A16" i="10"/>
  <c r="G16" i="10" s="1"/>
  <c r="A17" i="10"/>
  <c r="D17" i="10" s="1"/>
  <c r="A18" i="10"/>
  <c r="G18" i="10" s="1"/>
  <c r="A19" i="10"/>
  <c r="C19" i="10" s="1"/>
  <c r="A20" i="10"/>
  <c r="B20" i="10" s="1"/>
  <c r="A21" i="10"/>
  <c r="B21" i="10" s="1"/>
  <c r="A22" i="10"/>
  <c r="C22" i="10" s="1"/>
  <c r="A23" i="10"/>
  <c r="B23" i="10" s="1"/>
  <c r="A24" i="10"/>
  <c r="D24" i="10" s="1"/>
  <c r="A25" i="10"/>
  <c r="C25" i="10" s="1"/>
  <c r="A26" i="10"/>
  <c r="F26" i="10" s="1"/>
  <c r="A27" i="10"/>
  <c r="A28" i="10"/>
  <c r="B28" i="10" s="1"/>
  <c r="A29" i="10"/>
  <c r="G29" i="10" s="1"/>
  <c r="A30" i="10"/>
  <c r="D30" i="10" s="1"/>
  <c r="A31" i="10"/>
  <c r="A32" i="10"/>
  <c r="D32" i="10" s="1"/>
  <c r="A33" i="10"/>
  <c r="B33" i="10" s="1"/>
  <c r="A34" i="10"/>
  <c r="B34" i="10" s="1"/>
  <c r="A35" i="10"/>
  <c r="A36" i="10"/>
  <c r="C36" i="10" s="1"/>
  <c r="A37" i="10"/>
  <c r="D37" i="10" s="1"/>
  <c r="A38" i="10"/>
  <c r="D38" i="10" s="1"/>
  <c r="A39" i="10"/>
  <c r="F39" i="10" s="1"/>
  <c r="A40" i="10"/>
  <c r="G40" i="10" s="1"/>
  <c r="A41" i="10"/>
  <c r="F41" i="10" s="1"/>
  <c r="A42" i="10"/>
  <c r="H42" i="10" s="1"/>
  <c r="A43" i="10"/>
  <c r="F43" i="10" s="1"/>
  <c r="A44" i="10"/>
  <c r="H44" i="10" s="1"/>
  <c r="A45" i="10"/>
  <c r="B45" i="10" s="1"/>
  <c r="A46" i="10"/>
  <c r="D46" i="10" s="1"/>
  <c r="A47" i="10"/>
  <c r="C47" i="10" s="1"/>
  <c r="A48" i="10"/>
  <c r="G48" i="10" s="1"/>
  <c r="A49" i="10"/>
  <c r="C49" i="10" s="1"/>
  <c r="A594" i="9"/>
  <c r="D594" i="9" s="1"/>
  <c r="A593" i="9"/>
  <c r="C593" i="9" s="1"/>
  <c r="A592" i="9"/>
  <c r="F592" i="9" s="1"/>
  <c r="A591" i="9"/>
  <c r="D591" i="9" s="1"/>
  <c r="A590" i="9"/>
  <c r="B590" i="9" s="1"/>
  <c r="A589" i="9"/>
  <c r="G589" i="9" s="1"/>
  <c r="A588" i="9"/>
  <c r="F588" i="9" s="1"/>
  <c r="A587" i="9"/>
  <c r="B587" i="9" s="1"/>
  <c r="A586" i="9"/>
  <c r="C586" i="9" s="1"/>
  <c r="A585" i="9"/>
  <c r="G585" i="9" s="1"/>
  <c r="C4" i="3"/>
  <c r="B1" i="9"/>
  <c r="B1" i="10"/>
  <c r="F1" i="10"/>
  <c r="D1" i="10"/>
  <c r="A1" i="10"/>
  <c r="F1" i="9"/>
  <c r="D1" i="9"/>
  <c r="C1" i="9"/>
  <c r="A1" i="9"/>
  <c r="E10" i="1"/>
  <c r="B13" i="1"/>
  <c r="H310" i="10"/>
  <c r="B273" i="10"/>
  <c r="C273" i="10"/>
  <c r="D273" i="10"/>
  <c r="G380" i="10"/>
  <c r="B167" i="10"/>
  <c r="C167" i="10"/>
  <c r="F167" i="10"/>
  <c r="H167" i="10"/>
  <c r="D272" i="10"/>
  <c r="H272" i="10"/>
  <c r="C380" i="10"/>
  <c r="H344" i="10"/>
  <c r="F92" i="10"/>
  <c r="H92" i="10"/>
  <c r="G344" i="10"/>
  <c r="F344" i="10"/>
  <c r="H308" i="10"/>
  <c r="G238" i="10"/>
  <c r="G166" i="10"/>
  <c r="C236" i="10"/>
  <c r="H200" i="10"/>
  <c r="B171" i="10"/>
  <c r="F166" i="10"/>
  <c r="G130" i="10"/>
  <c r="H201" i="10"/>
  <c r="G200" i="10"/>
  <c r="G168" i="10"/>
  <c r="D166" i="10"/>
  <c r="F200" i="10"/>
  <c r="F168" i="10"/>
  <c r="C166" i="10"/>
  <c r="C130" i="10"/>
  <c r="D200" i="10"/>
  <c r="D168" i="10"/>
  <c r="D131" i="10"/>
  <c r="F99" i="10"/>
  <c r="F57" i="10"/>
  <c r="C57" i="10"/>
  <c r="C131" i="10"/>
  <c r="C560" i="9"/>
  <c r="H558" i="9"/>
  <c r="D59" i="10"/>
  <c r="G58" i="10"/>
  <c r="F561" i="9"/>
  <c r="G558" i="9"/>
  <c r="B557" i="9"/>
  <c r="C557" i="9"/>
  <c r="D561" i="9"/>
  <c r="F560" i="9"/>
  <c r="F558" i="9"/>
  <c r="D519" i="9"/>
  <c r="F519" i="9"/>
  <c r="G519" i="9"/>
  <c r="H519" i="9"/>
  <c r="B485" i="9"/>
  <c r="B59" i="10"/>
  <c r="D56" i="10"/>
  <c r="F56" i="10"/>
  <c r="F534" i="9"/>
  <c r="D419" i="9"/>
  <c r="B419" i="9"/>
  <c r="G419" i="9"/>
  <c r="H419" i="9"/>
  <c r="C558" i="9"/>
  <c r="D558" i="9"/>
  <c r="C527" i="9"/>
  <c r="B415" i="9"/>
  <c r="G561" i="9"/>
  <c r="C379" i="9"/>
  <c r="D379" i="9"/>
  <c r="F379" i="9"/>
  <c r="G379" i="9"/>
  <c r="H379" i="9"/>
  <c r="B379" i="9"/>
  <c r="D26" i="9"/>
  <c r="G26" i="9"/>
  <c r="B26" i="9"/>
  <c r="F26" i="9"/>
  <c r="C26" i="9"/>
  <c r="H26" i="9"/>
  <c r="F413" i="9"/>
  <c r="G413" i="9"/>
  <c r="B378" i="9"/>
  <c r="C378" i="9"/>
  <c r="H462" i="9"/>
  <c r="H454" i="9"/>
  <c r="F418" i="9"/>
  <c r="C414" i="9"/>
  <c r="B268" i="9"/>
  <c r="C268" i="9"/>
  <c r="D268" i="9"/>
  <c r="F268" i="9"/>
  <c r="G268" i="9"/>
  <c r="H268" i="9"/>
  <c r="H487" i="9"/>
  <c r="H455" i="9"/>
  <c r="G454" i="9"/>
  <c r="B450" i="9"/>
  <c r="H447" i="9"/>
  <c r="C411" i="9"/>
  <c r="D411" i="9"/>
  <c r="B276" i="9"/>
  <c r="C276" i="9"/>
  <c r="D276" i="9"/>
  <c r="F276" i="9"/>
  <c r="G276" i="9"/>
  <c r="H276" i="9"/>
  <c r="G487" i="9"/>
  <c r="H448" i="9"/>
  <c r="G447" i="9"/>
  <c r="B418" i="9"/>
  <c r="C418" i="9"/>
  <c r="G414" i="9"/>
  <c r="H414" i="9"/>
  <c r="H529" i="9"/>
  <c r="H521" i="9"/>
  <c r="G488" i="9"/>
  <c r="F487" i="9"/>
  <c r="D462" i="9"/>
  <c r="H457" i="9"/>
  <c r="D454" i="9"/>
  <c r="H449" i="9"/>
  <c r="G448" i="9"/>
  <c r="F447" i="9"/>
  <c r="H413" i="9"/>
  <c r="F380" i="9"/>
  <c r="G380" i="9"/>
  <c r="H380" i="9"/>
  <c r="B354" i="9"/>
  <c r="C354" i="9"/>
  <c r="D354" i="9"/>
  <c r="F354" i="9"/>
  <c r="G354" i="9"/>
  <c r="H354" i="9"/>
  <c r="C347" i="9"/>
  <c r="D347" i="9"/>
  <c r="F347" i="9"/>
  <c r="G347" i="9"/>
  <c r="H347" i="9"/>
  <c r="G423" i="9"/>
  <c r="C422" i="9"/>
  <c r="D413" i="9"/>
  <c r="D412" i="9"/>
  <c r="F412" i="9"/>
  <c r="B346" i="9"/>
  <c r="C346" i="9"/>
  <c r="D346" i="9"/>
  <c r="F346" i="9"/>
  <c r="G346" i="9"/>
  <c r="H346" i="9"/>
  <c r="C339" i="9"/>
  <c r="D339" i="9"/>
  <c r="F339" i="9"/>
  <c r="G339" i="9"/>
  <c r="H339" i="9"/>
  <c r="G318" i="9"/>
  <c r="H318" i="9"/>
  <c r="B382" i="9"/>
  <c r="B342" i="9"/>
  <c r="D206" i="9"/>
  <c r="C206" i="9"/>
  <c r="G206" i="9"/>
  <c r="H206" i="9"/>
  <c r="B206" i="9"/>
  <c r="F206" i="9"/>
  <c r="H348" i="9"/>
  <c r="B243" i="9"/>
  <c r="C243" i="9"/>
  <c r="D243" i="9"/>
  <c r="F243" i="9"/>
  <c r="G243" i="9"/>
  <c r="H243" i="9"/>
  <c r="F137" i="9"/>
  <c r="H137" i="9"/>
  <c r="B137" i="9"/>
  <c r="C137" i="9"/>
  <c r="D137" i="9"/>
  <c r="G137" i="9"/>
  <c r="H349" i="9"/>
  <c r="C175" i="9"/>
  <c r="F175" i="9"/>
  <c r="G175" i="9"/>
  <c r="H175" i="9"/>
  <c r="B175" i="9"/>
  <c r="H382" i="9"/>
  <c r="G381" i="9"/>
  <c r="G349" i="9"/>
  <c r="H342" i="9"/>
  <c r="C318" i="9"/>
  <c r="C277" i="9"/>
  <c r="D277" i="9"/>
  <c r="F277" i="9"/>
  <c r="G277" i="9"/>
  <c r="H277" i="9"/>
  <c r="C269" i="9"/>
  <c r="D269" i="9"/>
  <c r="F269" i="9"/>
  <c r="G269" i="9"/>
  <c r="H269" i="9"/>
  <c r="G239" i="9"/>
  <c r="C239" i="9"/>
  <c r="D239" i="9"/>
  <c r="F239" i="9"/>
  <c r="H239" i="9"/>
  <c r="C236" i="9"/>
  <c r="F236" i="9"/>
  <c r="B236" i="9"/>
  <c r="D236" i="9"/>
  <c r="G236" i="9"/>
  <c r="H236" i="9"/>
  <c r="H201" i="9"/>
  <c r="C201" i="9"/>
  <c r="F201" i="9"/>
  <c r="G201" i="9"/>
  <c r="D198" i="9"/>
  <c r="G198" i="9"/>
  <c r="B198" i="9"/>
  <c r="F151" i="9"/>
  <c r="G151" i="9"/>
  <c r="H151" i="9"/>
  <c r="D314" i="9"/>
  <c r="F307" i="9"/>
  <c r="D306" i="9"/>
  <c r="D282" i="9"/>
  <c r="F275" i="9"/>
  <c r="F267" i="9"/>
  <c r="D246" i="9"/>
  <c r="D241" i="9"/>
  <c r="D238" i="9"/>
  <c r="D237" i="9"/>
  <c r="G237" i="9"/>
  <c r="F235" i="9"/>
  <c r="D231" i="9"/>
  <c r="D210" i="9"/>
  <c r="F19" i="9"/>
  <c r="H19" i="9"/>
  <c r="B19" i="9"/>
  <c r="D19" i="9"/>
  <c r="C19" i="9"/>
  <c r="G19" i="9"/>
  <c r="C314" i="9"/>
  <c r="D307" i="9"/>
  <c r="C306" i="9"/>
  <c r="C282" i="9"/>
  <c r="H278" i="9"/>
  <c r="D275" i="9"/>
  <c r="H270" i="9"/>
  <c r="D267" i="9"/>
  <c r="C246" i="9"/>
  <c r="C241" i="9"/>
  <c r="C238" i="9"/>
  <c r="C231" i="9"/>
  <c r="F161" i="9"/>
  <c r="H161" i="9"/>
  <c r="C161" i="9"/>
  <c r="D161" i="9"/>
  <c r="G161" i="9"/>
  <c r="F33" i="9"/>
  <c r="B33" i="9"/>
  <c r="D33" i="9"/>
  <c r="H33" i="9"/>
  <c r="C307" i="9"/>
  <c r="G278" i="9"/>
  <c r="C275" i="9"/>
  <c r="G270" i="9"/>
  <c r="B246" i="9"/>
  <c r="H244" i="9"/>
  <c r="B235" i="9"/>
  <c r="D235" i="9"/>
  <c r="H233" i="9"/>
  <c r="B231" i="9"/>
  <c r="C210" i="9"/>
  <c r="F210" i="9"/>
  <c r="G210" i="9"/>
  <c r="C197" i="9"/>
  <c r="D197" i="9"/>
  <c r="G197" i="9"/>
  <c r="H197" i="9"/>
  <c r="F154" i="9"/>
  <c r="B22" i="9"/>
  <c r="C22" i="9"/>
  <c r="F22" i="9"/>
  <c r="H22" i="9"/>
  <c r="D22" i="9"/>
  <c r="G22" i="9"/>
  <c r="F278" i="9"/>
  <c r="F270" i="9"/>
  <c r="G244" i="9"/>
  <c r="F238" i="9"/>
  <c r="H238" i="9"/>
  <c r="G233" i="9"/>
  <c r="D168" i="9"/>
  <c r="G168" i="9"/>
  <c r="C168" i="9"/>
  <c r="F168" i="9"/>
  <c r="H168" i="9"/>
  <c r="C105" i="9"/>
  <c r="F105" i="9"/>
  <c r="D105" i="9"/>
  <c r="G60" i="9"/>
  <c r="D60" i="9"/>
  <c r="H60" i="9"/>
  <c r="B60" i="9"/>
  <c r="F60" i="9"/>
  <c r="F233" i="9"/>
  <c r="H198" i="9"/>
  <c r="C65" i="9"/>
  <c r="F65" i="9"/>
  <c r="B65" i="9"/>
  <c r="G65" i="9"/>
  <c r="H65" i="9"/>
  <c r="B189" i="9"/>
  <c r="H167" i="9"/>
  <c r="H160" i="9"/>
  <c r="G153" i="9"/>
  <c r="B138" i="9"/>
  <c r="C132" i="9"/>
  <c r="D128" i="9"/>
  <c r="G128" i="9"/>
  <c r="G167" i="9"/>
  <c r="B166" i="9"/>
  <c r="D166" i="9"/>
  <c r="F160" i="9"/>
  <c r="C159" i="9"/>
  <c r="F159" i="9"/>
  <c r="H67" i="9"/>
  <c r="D67" i="9"/>
  <c r="B67" i="9"/>
  <c r="H44" i="9"/>
  <c r="G176" i="9"/>
  <c r="D167" i="9"/>
  <c r="C160" i="9"/>
  <c r="B126" i="9"/>
  <c r="D126" i="9"/>
  <c r="B70" i="9"/>
  <c r="C70" i="9"/>
  <c r="F70" i="9"/>
  <c r="H70" i="9"/>
  <c r="F51" i="9"/>
  <c r="H51" i="9"/>
  <c r="B51" i="9"/>
  <c r="D51" i="9"/>
  <c r="D136" i="9"/>
  <c r="G136" i="9"/>
  <c r="F129" i="9"/>
  <c r="H129" i="9"/>
  <c r="B118" i="9"/>
  <c r="D118" i="9"/>
  <c r="D106" i="9"/>
  <c r="B88" i="9"/>
  <c r="D88" i="9"/>
  <c r="G88" i="9"/>
  <c r="C88" i="9"/>
  <c r="B56" i="9"/>
  <c r="D56" i="9"/>
  <c r="C56" i="9"/>
  <c r="G56" i="9"/>
  <c r="C167" i="9"/>
  <c r="F167" i="9"/>
  <c r="D160" i="9"/>
  <c r="G160" i="9"/>
  <c r="H166" i="9"/>
  <c r="H162" i="9"/>
  <c r="H159" i="9"/>
  <c r="G142" i="9"/>
  <c r="F138" i="9"/>
  <c r="G132" i="9"/>
  <c r="F128" i="9"/>
  <c r="C127" i="9"/>
  <c r="F127" i="9"/>
  <c r="G124" i="9"/>
  <c r="B124" i="9"/>
  <c r="B24" i="9"/>
  <c r="D24" i="9"/>
  <c r="G24" i="9"/>
  <c r="C24" i="9"/>
  <c r="B64" i="9"/>
  <c r="D64" i="9"/>
  <c r="H43" i="9"/>
  <c r="D103" i="9"/>
  <c r="H100" i="9"/>
  <c r="F99" i="9"/>
  <c r="C98" i="9"/>
  <c r="G95" i="9"/>
  <c r="D94" i="9"/>
  <c r="F90" i="9"/>
  <c r="C89" i="9"/>
  <c r="H66" i="9"/>
  <c r="D62" i="9"/>
  <c r="G59" i="9"/>
  <c r="F52" i="9"/>
  <c r="H27" i="9"/>
  <c r="F100" i="9"/>
  <c r="C99" i="9"/>
  <c r="G96" i="9"/>
  <c r="D95" i="9"/>
  <c r="F91" i="9"/>
  <c r="C90" i="9"/>
  <c r="H64" i="9"/>
  <c r="C52" i="9"/>
  <c r="G43" i="9"/>
  <c r="G30" i="9"/>
  <c r="C25" i="9"/>
  <c r="F25" i="9"/>
  <c r="G18" i="9"/>
  <c r="C96" i="9"/>
  <c r="C91" i="9"/>
  <c r="D66" i="9"/>
  <c r="G66" i="9"/>
  <c r="F64" i="9"/>
  <c r="F59" i="9"/>
  <c r="H59" i="9"/>
  <c r="C36" i="9"/>
  <c r="D30" i="9"/>
  <c r="D18" i="9" l="1"/>
  <c r="D34" i="9"/>
  <c r="D251" i="9"/>
  <c r="H381" i="9"/>
  <c r="F454" i="9"/>
  <c r="G386" i="9"/>
  <c r="H565" i="9"/>
  <c r="F380" i="10"/>
  <c r="G348" i="9"/>
  <c r="G34" i="9"/>
  <c r="H420" i="9"/>
  <c r="H488" i="9"/>
  <c r="H84" i="10"/>
  <c r="F84" i="10"/>
  <c r="F403" i="9"/>
  <c r="F43" i="9"/>
  <c r="D309" i="10"/>
  <c r="G273" i="10"/>
  <c r="C238" i="10"/>
  <c r="F273" i="10"/>
  <c r="C382" i="10"/>
  <c r="H105" i="9"/>
  <c r="C310" i="10"/>
  <c r="G440" i="9"/>
  <c r="D238" i="10"/>
  <c r="H152" i="9"/>
  <c r="G44" i="9"/>
  <c r="C33" i="9"/>
  <c r="D298" i="9"/>
  <c r="F334" i="9"/>
  <c r="F238" i="10"/>
  <c r="B151" i="9"/>
  <c r="G520" i="9"/>
  <c r="F463" i="9"/>
  <c r="F225" i="9"/>
  <c r="H561" i="9"/>
  <c r="H62" i="10"/>
  <c r="C561" i="9"/>
  <c r="F525" i="9"/>
  <c r="D525" i="9"/>
  <c r="C525" i="9"/>
  <c r="B525" i="9"/>
  <c r="D151" i="9"/>
  <c r="D259" i="9"/>
  <c r="D301" i="10"/>
  <c r="H154" i="9"/>
  <c r="F584" i="9"/>
  <c r="H188" i="9"/>
  <c r="D188" i="9"/>
  <c r="B17" i="9"/>
  <c r="G46" i="9"/>
  <c r="C154" i="9"/>
  <c r="H262" i="9"/>
  <c r="G154" i="9"/>
  <c r="G227" i="9"/>
  <c r="D46" i="9"/>
  <c r="G83" i="9"/>
  <c r="D99" i="10"/>
  <c r="D154" i="9"/>
  <c r="G82" i="9"/>
  <c r="D82" i="9"/>
  <c r="D386" i="9"/>
  <c r="B207" i="10"/>
  <c r="H496" i="9"/>
  <c r="C309" i="10"/>
  <c r="B188" i="9"/>
  <c r="C116" i="9"/>
  <c r="B44" i="9"/>
  <c r="G116" i="9"/>
  <c r="G262" i="9"/>
  <c r="H404" i="9"/>
  <c r="G152" i="9"/>
  <c r="D152" i="9"/>
  <c r="H406" i="9"/>
  <c r="H80" i="9"/>
  <c r="G406" i="9"/>
  <c r="G121" i="10"/>
  <c r="C43" i="9"/>
  <c r="H144" i="9"/>
  <c r="F144" i="9"/>
  <c r="F332" i="9"/>
  <c r="D332" i="9"/>
  <c r="F439" i="9"/>
  <c r="G525" i="9"/>
  <c r="C156" i="10"/>
  <c r="D426" i="9"/>
  <c r="F299" i="9"/>
  <c r="C301" i="10"/>
  <c r="F333" i="9"/>
  <c r="D550" i="9"/>
  <c r="D551" i="9"/>
  <c r="H168" i="10"/>
  <c r="G357" i="9"/>
  <c r="C153" i="9"/>
  <c r="G189" i="9"/>
  <c r="F83" i="9"/>
  <c r="H153" i="9"/>
  <c r="C298" i="9"/>
  <c r="H439" i="9"/>
  <c r="F153" i="9"/>
  <c r="D44" i="9"/>
  <c r="G105" i="9"/>
  <c r="F405" i="9"/>
  <c r="B442" i="9"/>
  <c r="B559" i="9"/>
  <c r="G310" i="10"/>
  <c r="H160" i="10"/>
  <c r="C517" i="9"/>
  <c r="B227" i="9"/>
  <c r="G188" i="9"/>
  <c r="F188" i="9"/>
  <c r="H304" i="10"/>
  <c r="D80" i="9"/>
  <c r="F116" i="9"/>
  <c r="D116" i="9"/>
  <c r="F419" i="9"/>
  <c r="F98" i="10"/>
  <c r="G405" i="9"/>
  <c r="H441" i="9"/>
  <c r="G478" i="9"/>
  <c r="C406" i="9"/>
  <c r="G407" i="9"/>
  <c r="D478" i="9"/>
  <c r="B116" i="9"/>
  <c r="D406" i="9"/>
  <c r="D334" i="9"/>
  <c r="B403" i="9"/>
  <c r="F50" i="10"/>
  <c r="H382" i="10"/>
  <c r="C228" i="10"/>
  <c r="F406" i="9"/>
  <c r="D404" i="9"/>
  <c r="B477" i="9"/>
  <c r="D225" i="9"/>
  <c r="G550" i="9"/>
  <c r="C335" i="9"/>
  <c r="H261" i="9"/>
  <c r="C50" i="10"/>
  <c r="G81" i="9"/>
  <c r="G261" i="9"/>
  <c r="C225" i="9"/>
  <c r="C286" i="9"/>
  <c r="D261" i="9"/>
  <c r="F81" i="9"/>
  <c r="C332" i="9"/>
  <c r="C261" i="9"/>
  <c r="H86" i="10"/>
  <c r="H260" i="9"/>
  <c r="G479" i="9"/>
  <c r="B81" i="9"/>
  <c r="D153" i="9"/>
  <c r="G225" i="9"/>
  <c r="F260" i="9"/>
  <c r="C81" i="9"/>
  <c r="D260" i="9"/>
  <c r="F262" i="9"/>
  <c r="C260" i="9"/>
  <c r="H550" i="9"/>
  <c r="B260" i="9"/>
  <c r="H512" i="9"/>
  <c r="G584" i="9"/>
  <c r="F261" i="9"/>
  <c r="D403" i="9"/>
  <c r="D120" i="10"/>
  <c r="D167" i="10"/>
  <c r="F230" i="10"/>
  <c r="C55" i="10"/>
  <c r="H199" i="10"/>
  <c r="B517" i="9"/>
  <c r="G512" i="9"/>
  <c r="F550" i="9"/>
  <c r="D122" i="10"/>
  <c r="H231" i="10"/>
  <c r="C550" i="9"/>
  <c r="D160" i="10"/>
  <c r="H50" i="10"/>
  <c r="G50" i="10"/>
  <c r="C121" i="10"/>
  <c r="F404" i="9"/>
  <c r="G122" i="10"/>
  <c r="H334" i="9"/>
  <c r="G334" i="9"/>
  <c r="G301" i="10"/>
  <c r="H478" i="9"/>
  <c r="H403" i="9"/>
  <c r="C549" i="9"/>
  <c r="H375" i="10"/>
  <c r="F478" i="9"/>
  <c r="G403" i="9"/>
  <c r="G551" i="9"/>
  <c r="H383" i="10"/>
  <c r="H343" i="10"/>
  <c r="H86" i="9"/>
  <c r="F86" i="9"/>
  <c r="G518" i="9"/>
  <c r="F446" i="9"/>
  <c r="F518" i="9"/>
  <c r="D127" i="10"/>
  <c r="D199" i="10"/>
  <c r="B86" i="9"/>
  <c r="G86" i="9"/>
  <c r="F230" i="9"/>
  <c r="G373" i="9"/>
  <c r="D518" i="9"/>
  <c r="D230" i="10"/>
  <c r="B199" i="10"/>
  <c r="B32" i="10"/>
  <c r="F342" i="10"/>
  <c r="C379" i="10"/>
  <c r="D342" i="10"/>
  <c r="H374" i="9"/>
  <c r="G301" i="9"/>
  <c r="G552" i="9"/>
  <c r="C342" i="10"/>
  <c r="F301" i="9"/>
  <c r="G410" i="9"/>
  <c r="F552" i="9"/>
  <c r="H89" i="10"/>
  <c r="G271" i="10"/>
  <c r="B342" i="10"/>
  <c r="C552" i="9"/>
  <c r="F90" i="10"/>
  <c r="F125" i="10"/>
  <c r="F271" i="10"/>
  <c r="H480" i="9"/>
  <c r="D271" i="10"/>
  <c r="C271" i="10"/>
  <c r="G304" i="10"/>
  <c r="G374" i="10"/>
  <c r="C518" i="9"/>
  <c r="D158" i="9"/>
  <c r="D446" i="9"/>
  <c r="H55" i="10"/>
  <c r="F551" i="9"/>
  <c r="F304" i="10"/>
  <c r="F374" i="10"/>
  <c r="C372" i="9"/>
  <c r="D374" i="10"/>
  <c r="B372" i="9"/>
  <c r="H553" i="9"/>
  <c r="C374" i="10"/>
  <c r="H372" i="9"/>
  <c r="G553" i="9"/>
  <c r="C196" i="10"/>
  <c r="H232" i="10"/>
  <c r="F270" i="10"/>
  <c r="B374" i="10"/>
  <c r="H121" i="9"/>
  <c r="G372" i="9"/>
  <c r="H90" i="10"/>
  <c r="D197" i="10"/>
  <c r="G232" i="10"/>
  <c r="D270" i="10"/>
  <c r="F410" i="9"/>
  <c r="F372" i="9"/>
  <c r="F232" i="10"/>
  <c r="C270" i="10"/>
  <c r="H338" i="9"/>
  <c r="G199" i="10"/>
  <c r="D232" i="10"/>
  <c r="B270" i="10"/>
  <c r="G338" i="9"/>
  <c r="D338" i="9"/>
  <c r="F199" i="10"/>
  <c r="G158" i="9"/>
  <c r="C121" i="9"/>
  <c r="D122" i="9"/>
  <c r="B338" i="9"/>
  <c r="F158" i="9"/>
  <c r="H122" i="9"/>
  <c r="G161" i="10"/>
  <c r="C268" i="10"/>
  <c r="G336" i="10"/>
  <c r="B376" i="10"/>
  <c r="G480" i="9"/>
  <c r="F379" i="10"/>
  <c r="H302" i="9"/>
  <c r="G89" i="10"/>
  <c r="H518" i="9"/>
  <c r="H158" i="9"/>
  <c r="B120" i="9"/>
  <c r="C266" i="9"/>
  <c r="B336" i="10"/>
  <c r="H481" i="9"/>
  <c r="G446" i="9"/>
  <c r="D48" i="9"/>
  <c r="G302" i="9"/>
  <c r="G427" i="9"/>
  <c r="H445" i="9"/>
  <c r="D534" i="9"/>
  <c r="F91" i="10"/>
  <c r="D90" i="10"/>
  <c r="H552" i="9"/>
  <c r="B158" i="9"/>
  <c r="G120" i="9"/>
  <c r="C232" i="10"/>
  <c r="H373" i="9"/>
  <c r="F479" i="9"/>
  <c r="F302" i="9"/>
  <c r="G445" i="9"/>
  <c r="C230" i="10"/>
  <c r="D302" i="10"/>
  <c r="D50" i="9"/>
  <c r="D266" i="9"/>
  <c r="D299" i="9"/>
  <c r="D302" i="9"/>
  <c r="F445" i="9"/>
  <c r="D552" i="9"/>
  <c r="G233" i="10"/>
  <c r="G230" i="10"/>
  <c r="B305" i="10"/>
  <c r="D301" i="9"/>
  <c r="F121" i="9"/>
  <c r="D445" i="9"/>
  <c r="G343" i="10"/>
  <c r="H301" i="9"/>
  <c r="C445" i="9"/>
  <c r="C553" i="9"/>
  <c r="C89" i="10"/>
  <c r="B90" i="10"/>
  <c r="C410" i="9"/>
  <c r="D91" i="10"/>
  <c r="G90" i="10"/>
  <c r="H376" i="10"/>
  <c r="C338" i="9"/>
  <c r="G300" i="9"/>
  <c r="B482" i="9"/>
  <c r="B410" i="9"/>
  <c r="H477" i="9"/>
  <c r="D50" i="10"/>
  <c r="B91" i="10"/>
  <c r="G382" i="10"/>
  <c r="C86" i="9"/>
  <c r="D120" i="9"/>
  <c r="F160" i="10"/>
  <c r="F300" i="9"/>
  <c r="H410" i="9"/>
  <c r="G477" i="9"/>
  <c r="H91" i="10"/>
  <c r="H270" i="10"/>
  <c r="F382" i="10"/>
  <c r="C299" i="9"/>
  <c r="F583" i="9"/>
  <c r="G127" i="10"/>
  <c r="G54" i="10"/>
  <c r="B374" i="9"/>
  <c r="C50" i="9"/>
  <c r="G49" i="9"/>
  <c r="F477" i="9"/>
  <c r="H122" i="10"/>
  <c r="B83" i="9"/>
  <c r="F49" i="9"/>
  <c r="C300" i="9"/>
  <c r="G517" i="9"/>
  <c r="D477" i="9"/>
  <c r="D583" i="9"/>
  <c r="H127" i="10"/>
  <c r="G303" i="10"/>
  <c r="G311" i="10"/>
  <c r="B382" i="10"/>
  <c r="G50" i="9"/>
  <c r="C301" i="9"/>
  <c r="H50" i="9"/>
  <c r="H227" i="9"/>
  <c r="D83" i="9"/>
  <c r="B49" i="9"/>
  <c r="D300" i="9"/>
  <c r="H83" i="9"/>
  <c r="C49" i="9"/>
  <c r="B300" i="9"/>
  <c r="F517" i="9"/>
  <c r="D55" i="10"/>
  <c r="G160" i="10"/>
  <c r="F303" i="10"/>
  <c r="B338" i="10"/>
  <c r="D16" i="9"/>
  <c r="B16" i="9"/>
  <c r="H16" i="9"/>
  <c r="C212" i="10"/>
  <c r="G422" i="9"/>
  <c r="G534" i="9"/>
  <c r="C386" i="9"/>
  <c r="F131" i="10"/>
  <c r="B386" i="9"/>
  <c r="F281" i="10"/>
  <c r="H526" i="9"/>
  <c r="G526" i="9"/>
  <c r="F526" i="9"/>
  <c r="G463" i="9"/>
  <c r="D526" i="9"/>
  <c r="F420" i="9"/>
  <c r="H527" i="9"/>
  <c r="C526" i="9"/>
  <c r="D420" i="9"/>
  <c r="G527" i="9"/>
  <c r="G42" i="10"/>
  <c r="C73" i="9"/>
  <c r="F527" i="9"/>
  <c r="D527" i="9"/>
  <c r="D322" i="9"/>
  <c r="C246" i="10"/>
  <c r="C567" i="9"/>
  <c r="G569" i="9"/>
  <c r="G566" i="9"/>
  <c r="F566" i="9"/>
  <c r="D142" i="9"/>
  <c r="B142" i="9"/>
  <c r="G528" i="9"/>
  <c r="D139" i="10"/>
  <c r="G13" i="10"/>
  <c r="H358" i="9"/>
  <c r="H355" i="9"/>
  <c r="G568" i="9"/>
  <c r="F568" i="9"/>
  <c r="H286" i="9"/>
  <c r="G286" i="9"/>
  <c r="H178" i="9"/>
  <c r="G389" i="9"/>
  <c r="F286" i="9"/>
  <c r="H422" i="9"/>
  <c r="D286" i="9"/>
  <c r="F567" i="9"/>
  <c r="H386" i="9"/>
  <c r="D567" i="9"/>
  <c r="H246" i="10"/>
  <c r="G178" i="9"/>
  <c r="C178" i="9"/>
  <c r="F67" i="9"/>
  <c r="D568" i="9"/>
  <c r="B386" i="10"/>
  <c r="G246" i="10"/>
  <c r="C239" i="10"/>
  <c r="F311" i="10"/>
  <c r="B239" i="10"/>
  <c r="F246" i="10"/>
  <c r="D246" i="10"/>
  <c r="F66" i="10"/>
  <c r="F375" i="10"/>
  <c r="H131" i="10"/>
  <c r="G376" i="10"/>
  <c r="D304" i="10"/>
  <c r="H311" i="10"/>
  <c r="B347" i="10"/>
  <c r="F565" i="9"/>
  <c r="G375" i="10"/>
  <c r="G34" i="10"/>
  <c r="D533" i="9"/>
  <c r="F207" i="9"/>
  <c r="H350" i="9"/>
  <c r="G456" i="9"/>
  <c r="F174" i="10"/>
  <c r="C140" i="10"/>
  <c r="F315" i="9"/>
  <c r="F355" i="9"/>
  <c r="C533" i="9"/>
  <c r="D566" i="9"/>
  <c r="C534" i="9"/>
  <c r="G140" i="10"/>
  <c r="D315" i="9"/>
  <c r="D355" i="9"/>
  <c r="B533" i="9"/>
  <c r="C566" i="9"/>
  <c r="H534" i="9"/>
  <c r="H285" i="9"/>
  <c r="C315" i="9"/>
  <c r="C355" i="9"/>
  <c r="D174" i="10"/>
  <c r="G285" i="9"/>
  <c r="H317" i="9"/>
  <c r="G388" i="9"/>
  <c r="D501" i="9"/>
  <c r="G565" i="9"/>
  <c r="F388" i="9"/>
  <c r="H568" i="9"/>
  <c r="H426" i="9"/>
  <c r="F285" i="9"/>
  <c r="D285" i="9"/>
  <c r="D388" i="9"/>
  <c r="D105" i="10"/>
  <c r="F533" i="9"/>
  <c r="G317" i="9"/>
  <c r="C144" i="9"/>
  <c r="C285" i="9"/>
  <c r="F318" i="9"/>
  <c r="D422" i="9"/>
  <c r="B458" i="9"/>
  <c r="B105" i="10"/>
  <c r="F317" i="9"/>
  <c r="G216" i="9"/>
  <c r="G144" i="9"/>
  <c r="D207" i="9"/>
  <c r="F426" i="9"/>
  <c r="G462" i="9"/>
  <c r="H248" i="10"/>
  <c r="H427" i="9"/>
  <c r="H461" i="9"/>
  <c r="B566" i="9"/>
  <c r="F422" i="9"/>
  <c r="G461" i="9"/>
  <c r="F244" i="9"/>
  <c r="H388" i="9"/>
  <c r="G426" i="9"/>
  <c r="H533" i="9"/>
  <c r="F461" i="9"/>
  <c r="G329" i="10"/>
  <c r="D461" i="9"/>
  <c r="C138" i="10"/>
  <c r="D318" i="9"/>
  <c r="C461" i="9"/>
  <c r="F145" i="9"/>
  <c r="B355" i="10"/>
  <c r="B207" i="9"/>
  <c r="F178" i="9"/>
  <c r="F348" i="9"/>
  <c r="B350" i="9"/>
  <c r="C565" i="9"/>
  <c r="G355" i="9"/>
  <c r="D248" i="9"/>
  <c r="G207" i="9"/>
  <c r="D178" i="9"/>
  <c r="B358" i="9"/>
  <c r="C251" i="9"/>
  <c r="G575" i="9"/>
  <c r="C323" i="9"/>
  <c r="F215" i="9"/>
  <c r="D206" i="10"/>
  <c r="F431" i="9"/>
  <c r="C215" i="9"/>
  <c r="C575" i="9"/>
  <c r="C35" i="9"/>
  <c r="B216" i="9"/>
  <c r="F216" i="9"/>
  <c r="B144" i="9"/>
  <c r="G185" i="10"/>
  <c r="G180" i="9"/>
  <c r="G576" i="9"/>
  <c r="F576" i="9"/>
  <c r="C305" i="10"/>
  <c r="D216" i="9"/>
  <c r="F36" i="9"/>
  <c r="H216" i="9"/>
  <c r="D269" i="10"/>
  <c r="H36" i="10"/>
  <c r="F36" i="10"/>
  <c r="C108" i="9"/>
  <c r="D36" i="10"/>
  <c r="H108" i="9"/>
  <c r="B36" i="10"/>
  <c r="F108" i="9"/>
  <c r="D108" i="9"/>
  <c r="G432" i="9"/>
  <c r="B108" i="9"/>
  <c r="C180" i="9"/>
  <c r="H252" i="9"/>
  <c r="F252" i="9"/>
  <c r="G72" i="9"/>
  <c r="D252" i="9"/>
  <c r="H233" i="10"/>
  <c r="C72" i="9"/>
  <c r="C252" i="9"/>
  <c r="D72" i="9"/>
  <c r="B252" i="9"/>
  <c r="H576" i="9"/>
  <c r="B187" i="10"/>
  <c r="D380" i="9"/>
  <c r="G207" i="10"/>
  <c r="D317" i="10"/>
  <c r="G257" i="10"/>
  <c r="C317" i="10"/>
  <c r="H384" i="10"/>
  <c r="G45" i="10"/>
  <c r="B501" i="9"/>
  <c r="F103" i="10"/>
  <c r="D175" i="10"/>
  <c r="H350" i="10"/>
  <c r="C568" i="9"/>
  <c r="G350" i="10"/>
  <c r="G44" i="10"/>
  <c r="C281" i="10"/>
  <c r="F44" i="10"/>
  <c r="D277" i="10"/>
  <c r="D44" i="10"/>
  <c r="C44" i="10"/>
  <c r="C570" i="9"/>
  <c r="C143" i="10"/>
  <c r="C68" i="9"/>
  <c r="G464" i="9"/>
  <c r="H464" i="9"/>
  <c r="D32" i="9"/>
  <c r="G104" i="9"/>
  <c r="H356" i="9"/>
  <c r="G356" i="9"/>
  <c r="C428" i="9"/>
  <c r="F383" i="10"/>
  <c r="F356" i="9"/>
  <c r="B428" i="9"/>
  <c r="G248" i="9"/>
  <c r="D176" i="9"/>
  <c r="C104" i="9"/>
  <c r="F248" i="9"/>
  <c r="G176" i="10"/>
  <c r="H177" i="10"/>
  <c r="G317" i="10"/>
  <c r="G272" i="10"/>
  <c r="F347" i="10"/>
  <c r="H185" i="10"/>
  <c r="F320" i="10"/>
  <c r="F272" i="10"/>
  <c r="F355" i="10"/>
  <c r="D329" i="10"/>
  <c r="H249" i="10"/>
  <c r="F140" i="10"/>
  <c r="G281" i="10"/>
  <c r="C263" i="10"/>
  <c r="C582" i="9"/>
  <c r="C330" i="9"/>
  <c r="C83" i="10"/>
  <c r="F510" i="9"/>
  <c r="D294" i="9"/>
  <c r="G501" i="9"/>
  <c r="G582" i="9"/>
  <c r="D34" i="10"/>
  <c r="B44" i="10"/>
  <c r="G145" i="9"/>
  <c r="D510" i="9"/>
  <c r="H37" i="10"/>
  <c r="H342" i="10"/>
  <c r="H73" i="9"/>
  <c r="D438" i="9"/>
  <c r="C510" i="9"/>
  <c r="D221" i="10"/>
  <c r="H45" i="10"/>
  <c r="H145" i="9"/>
  <c r="H30" i="10"/>
  <c r="G263" i="10"/>
  <c r="H577" i="9"/>
  <c r="F263" i="10"/>
  <c r="F582" i="9"/>
  <c r="B49" i="10"/>
  <c r="D263" i="10"/>
  <c r="B330" i="9"/>
  <c r="H497" i="9"/>
  <c r="H520" i="9"/>
  <c r="D582" i="9"/>
  <c r="B565" i="9"/>
  <c r="H66" i="10"/>
  <c r="H582" i="9"/>
  <c r="C122" i="10"/>
  <c r="G83" i="10"/>
  <c r="G99" i="10"/>
  <c r="F305" i="10"/>
  <c r="D83" i="10"/>
  <c r="H83" i="10"/>
  <c r="H366" i="9"/>
  <c r="B366" i="9"/>
  <c r="D517" i="9"/>
  <c r="F89" i="10"/>
  <c r="D98" i="10"/>
  <c r="H176" i="10"/>
  <c r="G308" i="10"/>
  <c r="D380" i="10"/>
  <c r="G36" i="10"/>
  <c r="H510" i="9"/>
  <c r="C98" i="10"/>
  <c r="G384" i="10"/>
  <c r="H13" i="10"/>
  <c r="F73" i="9"/>
  <c r="G438" i="9"/>
  <c r="G510" i="9"/>
  <c r="G30" i="10"/>
  <c r="B30" i="10"/>
  <c r="H263" i="10"/>
  <c r="D245" i="10"/>
  <c r="F318" i="10"/>
  <c r="B16" i="10"/>
  <c r="C581" i="9"/>
  <c r="B581" i="9"/>
  <c r="H473" i="9"/>
  <c r="B82" i="10"/>
  <c r="H509" i="9"/>
  <c r="G509" i="9"/>
  <c r="C139" i="10"/>
  <c r="H297" i="9"/>
  <c r="H294" i="9"/>
  <c r="F509" i="9"/>
  <c r="B370" i="10"/>
  <c r="G294" i="9"/>
  <c r="G365" i="9"/>
  <c r="H139" i="10"/>
  <c r="G364" i="9"/>
  <c r="G472" i="9"/>
  <c r="B81" i="10"/>
  <c r="F364" i="9"/>
  <c r="H472" i="9"/>
  <c r="F117" i="10"/>
  <c r="G152" i="10"/>
  <c r="F574" i="9"/>
  <c r="H76" i="9"/>
  <c r="H502" i="9"/>
  <c r="D76" i="9"/>
  <c r="C143" i="9"/>
  <c r="G502" i="9"/>
  <c r="F501" i="9"/>
  <c r="F502" i="9"/>
  <c r="F81" i="10"/>
  <c r="F143" i="9"/>
  <c r="H543" i="9"/>
  <c r="H322" i="9"/>
  <c r="D502" i="9"/>
  <c r="G35" i="9"/>
  <c r="G322" i="9"/>
  <c r="C501" i="9"/>
  <c r="C502" i="9"/>
  <c r="G543" i="9"/>
  <c r="F152" i="10"/>
  <c r="D35" i="9"/>
  <c r="C322" i="9"/>
  <c r="B322" i="9"/>
  <c r="H35" i="9"/>
  <c r="G394" i="9"/>
  <c r="C262" i="10"/>
  <c r="B35" i="9"/>
  <c r="D394" i="9"/>
  <c r="G79" i="10"/>
  <c r="H296" i="10"/>
  <c r="G296" i="10"/>
  <c r="F296" i="10"/>
  <c r="B394" i="9"/>
  <c r="G542" i="9"/>
  <c r="F542" i="9"/>
  <c r="H215" i="9"/>
  <c r="D430" i="9"/>
  <c r="G201" i="10"/>
  <c r="G215" i="9"/>
  <c r="G57" i="10"/>
  <c r="D26" i="10"/>
  <c r="G430" i="9"/>
  <c r="G577" i="9"/>
  <c r="D578" i="9"/>
  <c r="D79" i="10"/>
  <c r="H430" i="9"/>
  <c r="D574" i="9"/>
  <c r="C574" i="9"/>
  <c r="C578" i="9"/>
  <c r="H117" i="10"/>
  <c r="F146" i="9"/>
  <c r="F578" i="9"/>
  <c r="F430" i="9"/>
  <c r="H80" i="10"/>
  <c r="D541" i="9"/>
  <c r="D117" i="10"/>
  <c r="D80" i="10"/>
  <c r="F80" i="10"/>
  <c r="C541" i="9"/>
  <c r="C26" i="10"/>
  <c r="F541" i="9"/>
  <c r="G80" i="10"/>
  <c r="B541" i="9"/>
  <c r="H364" i="9"/>
  <c r="C78" i="10"/>
  <c r="H153" i="10"/>
  <c r="D189" i="10"/>
  <c r="G153" i="10"/>
  <c r="H334" i="10"/>
  <c r="B293" i="10"/>
  <c r="G334" i="10"/>
  <c r="F297" i="10"/>
  <c r="F334" i="10"/>
  <c r="D297" i="10"/>
  <c r="D334" i="10"/>
  <c r="C329" i="10"/>
  <c r="C297" i="10"/>
  <c r="C190" i="10"/>
  <c r="D190" i="10"/>
  <c r="B297" i="10"/>
  <c r="H297" i="10"/>
  <c r="D261" i="10"/>
  <c r="H295" i="10"/>
  <c r="C214" i="10"/>
  <c r="C295" i="10"/>
  <c r="C222" i="10"/>
  <c r="H225" i="10"/>
  <c r="C355" i="10"/>
  <c r="H359" i="10"/>
  <c r="B262" i="10"/>
  <c r="C331" i="10"/>
  <c r="B139" i="10"/>
  <c r="H79" i="10"/>
  <c r="D320" i="10"/>
  <c r="B295" i="10"/>
  <c r="F79" i="10"/>
  <c r="H327" i="10"/>
  <c r="H46" i="10"/>
  <c r="B48" i="10"/>
  <c r="G26" i="10"/>
  <c r="G295" i="10"/>
  <c r="F295" i="10"/>
  <c r="F593" i="9"/>
  <c r="C79" i="10"/>
  <c r="C284" i="10"/>
  <c r="H331" i="10"/>
  <c r="H175" i="10"/>
  <c r="G593" i="9"/>
  <c r="D176" i="10"/>
  <c r="D285" i="10"/>
  <c r="G175" i="10"/>
  <c r="H594" i="9"/>
  <c r="C115" i="10"/>
  <c r="F175" i="10"/>
  <c r="B46" i="10"/>
  <c r="F594" i="9"/>
  <c r="G594" i="9"/>
  <c r="D542" i="9"/>
  <c r="F543" i="9"/>
  <c r="H575" i="9"/>
  <c r="F13" i="10"/>
  <c r="C175" i="10"/>
  <c r="C594" i="9"/>
  <c r="C542" i="9"/>
  <c r="D543" i="9"/>
  <c r="G578" i="9"/>
  <c r="H103" i="10"/>
  <c r="B591" i="9"/>
  <c r="H542" i="9"/>
  <c r="H105" i="10"/>
  <c r="C585" i="9"/>
  <c r="G320" i="10"/>
  <c r="F105" i="10"/>
  <c r="F139" i="10"/>
  <c r="G248" i="10"/>
  <c r="F575" i="9"/>
  <c r="D68" i="10"/>
  <c r="C80" i="10"/>
  <c r="H152" i="10"/>
  <c r="F248" i="10"/>
  <c r="F18" i="10"/>
  <c r="D575" i="9"/>
  <c r="F78" i="10"/>
  <c r="D248" i="10"/>
  <c r="B578" i="9"/>
  <c r="F262" i="10"/>
  <c r="D262" i="10"/>
  <c r="B334" i="10"/>
  <c r="F581" i="9"/>
  <c r="D82" i="10"/>
  <c r="H544" i="9"/>
  <c r="F544" i="9"/>
  <c r="G544" i="9"/>
  <c r="B544" i="9"/>
  <c r="C544" i="9"/>
  <c r="D544" i="9"/>
  <c r="B509" i="9"/>
  <c r="C509" i="9"/>
  <c r="B437" i="9"/>
  <c r="C437" i="9"/>
  <c r="D437" i="9"/>
  <c r="G437" i="9"/>
  <c r="F437" i="9"/>
  <c r="H437" i="9"/>
  <c r="H258" i="9"/>
  <c r="C258" i="9"/>
  <c r="D258" i="9"/>
  <c r="C368" i="10"/>
  <c r="B368" i="10"/>
  <c r="G368" i="10"/>
  <c r="H368" i="10"/>
  <c r="D260" i="10"/>
  <c r="C260" i="10"/>
  <c r="B224" i="10"/>
  <c r="D224" i="10"/>
  <c r="G224" i="10"/>
  <c r="C224" i="10"/>
  <c r="F224" i="10"/>
  <c r="H116" i="10"/>
  <c r="F116" i="10"/>
  <c r="F570" i="9"/>
  <c r="D530" i="9"/>
  <c r="B17" i="10"/>
  <c r="D590" i="9"/>
  <c r="D593" i="9"/>
  <c r="B593" i="9"/>
  <c r="D570" i="9"/>
  <c r="H321" i="9"/>
  <c r="B522" i="9"/>
  <c r="G235" i="9"/>
  <c r="C292" i="10"/>
  <c r="F75" i="10"/>
  <c r="G327" i="10"/>
  <c r="B324" i="10"/>
  <c r="B147" i="10"/>
  <c r="F327" i="10"/>
  <c r="F364" i="10"/>
  <c r="C148" i="10"/>
  <c r="D328" i="10"/>
  <c r="G75" i="10"/>
  <c r="B363" i="10"/>
  <c r="F184" i="10"/>
  <c r="C363" i="10"/>
  <c r="D364" i="10"/>
  <c r="H184" i="10"/>
  <c r="G184" i="10"/>
  <c r="C18" i="10"/>
  <c r="H183" i="10"/>
  <c r="G183" i="10"/>
  <c r="H328" i="10"/>
  <c r="F183" i="10"/>
  <c r="B144" i="10"/>
  <c r="D183" i="10"/>
  <c r="F145" i="10"/>
  <c r="C220" i="10"/>
  <c r="C183" i="10"/>
  <c r="H216" i="10"/>
  <c r="G216" i="10"/>
  <c r="F216" i="10"/>
  <c r="D184" i="10"/>
  <c r="D216" i="10"/>
  <c r="G364" i="10"/>
  <c r="B76" i="10"/>
  <c r="C364" i="10"/>
  <c r="F111" i="9"/>
  <c r="G217" i="10"/>
  <c r="H145" i="10"/>
  <c r="G292" i="9"/>
  <c r="B73" i="10"/>
  <c r="F292" i="9"/>
  <c r="C434" i="9"/>
  <c r="D253" i="10"/>
  <c r="H70" i="10"/>
  <c r="D292" i="9"/>
  <c r="D143" i="10"/>
  <c r="G70" i="10"/>
  <c r="B146" i="9"/>
  <c r="D220" i="9"/>
  <c r="C292" i="9"/>
  <c r="H469" i="9"/>
  <c r="G144" i="10"/>
  <c r="F70" i="10"/>
  <c r="G530" i="9"/>
  <c r="D150" i="9"/>
  <c r="D222" i="9"/>
  <c r="B292" i="9"/>
  <c r="H397" i="9"/>
  <c r="H40" i="9"/>
  <c r="H362" i="9"/>
  <c r="G469" i="9"/>
  <c r="D106" i="10"/>
  <c r="D70" i="10"/>
  <c r="B150" i="9"/>
  <c r="H148" i="9"/>
  <c r="G40" i="9"/>
  <c r="G362" i="9"/>
  <c r="G470" i="9"/>
  <c r="F469" i="9"/>
  <c r="D109" i="10"/>
  <c r="B70" i="10"/>
  <c r="H215" i="10"/>
  <c r="C530" i="9"/>
  <c r="G148" i="9"/>
  <c r="H325" i="9"/>
  <c r="C40" i="9"/>
  <c r="F362" i="9"/>
  <c r="G503" i="9"/>
  <c r="H471" i="9"/>
  <c r="H470" i="9"/>
  <c r="D469" i="9"/>
  <c r="H536" i="9"/>
  <c r="H106" i="10"/>
  <c r="H573" i="9"/>
  <c r="G215" i="10"/>
  <c r="C588" i="9"/>
  <c r="F148" i="9"/>
  <c r="D40" i="9"/>
  <c r="D362" i="9"/>
  <c r="H504" i="9"/>
  <c r="C469" i="9"/>
  <c r="G536" i="9"/>
  <c r="H109" i="10"/>
  <c r="G573" i="9"/>
  <c r="F215" i="10"/>
  <c r="D146" i="9"/>
  <c r="D148" i="9"/>
  <c r="G222" i="9"/>
  <c r="B40" i="9"/>
  <c r="C362" i="9"/>
  <c r="F536" i="9"/>
  <c r="F573" i="9"/>
  <c r="D215" i="10"/>
  <c r="C17" i="10"/>
  <c r="G587" i="9"/>
  <c r="B148" i="9"/>
  <c r="D253" i="9"/>
  <c r="D573" i="9"/>
  <c r="D182" i="10"/>
  <c r="C215" i="10"/>
  <c r="D18" i="10"/>
  <c r="G591" i="9"/>
  <c r="C253" i="9"/>
  <c r="H398" i="9"/>
  <c r="C145" i="10"/>
  <c r="C573" i="9"/>
  <c r="C591" i="9"/>
  <c r="G325" i="9"/>
  <c r="G398" i="9"/>
  <c r="H74" i="10"/>
  <c r="H358" i="10"/>
  <c r="F325" i="9"/>
  <c r="H503" i="9"/>
  <c r="H535" i="9"/>
  <c r="F74" i="10"/>
  <c r="G358" i="10"/>
  <c r="H591" i="9"/>
  <c r="D470" i="9"/>
  <c r="G535" i="9"/>
  <c r="D74" i="10"/>
  <c r="F106" i="10"/>
  <c r="F358" i="10"/>
  <c r="F591" i="9"/>
  <c r="F76" i="9"/>
  <c r="G220" i="9"/>
  <c r="F471" i="9"/>
  <c r="D536" i="9"/>
  <c r="F535" i="9"/>
  <c r="C74" i="10"/>
  <c r="C106" i="10"/>
  <c r="D325" i="10"/>
  <c r="H325" i="10"/>
  <c r="D358" i="10"/>
  <c r="D587" i="9"/>
  <c r="H222" i="9"/>
  <c r="H324" i="9"/>
  <c r="C536" i="9"/>
  <c r="D214" i="10"/>
  <c r="C180" i="10"/>
  <c r="D286" i="10"/>
  <c r="H326" i="10"/>
  <c r="B358" i="10"/>
  <c r="C325" i="10"/>
  <c r="B74" i="9"/>
  <c r="F222" i="9"/>
  <c r="H293" i="9"/>
  <c r="G324" i="9"/>
  <c r="D144" i="10"/>
  <c r="H217" i="10"/>
  <c r="D181" i="10"/>
  <c r="H289" i="10"/>
  <c r="C286" i="10"/>
  <c r="G326" i="10"/>
  <c r="F286" i="10"/>
  <c r="C326" i="10"/>
  <c r="G74" i="9"/>
  <c r="C38" i="9"/>
  <c r="F293" i="9"/>
  <c r="B324" i="9"/>
  <c r="B326" i="10"/>
  <c r="B588" i="9"/>
  <c r="D535" i="9"/>
  <c r="F38" i="9"/>
  <c r="D74" i="9"/>
  <c r="D290" i="9"/>
  <c r="D293" i="9"/>
  <c r="F324" i="9"/>
  <c r="F326" i="10"/>
  <c r="F587" i="9"/>
  <c r="B222" i="9"/>
  <c r="F291" i="9"/>
  <c r="H326" i="9"/>
  <c r="C293" i="9"/>
  <c r="G431" i="9"/>
  <c r="D324" i="9"/>
  <c r="C107" i="10"/>
  <c r="G359" i="10"/>
  <c r="F325" i="10"/>
  <c r="F590" i="9"/>
  <c r="C590" i="9"/>
  <c r="H590" i="9"/>
  <c r="G106" i="10"/>
  <c r="H144" i="10"/>
  <c r="H324" i="10"/>
  <c r="B179" i="10"/>
  <c r="G590" i="9"/>
  <c r="B76" i="9"/>
  <c r="F470" i="9"/>
  <c r="G76" i="9"/>
  <c r="G471" i="9"/>
  <c r="C216" i="10"/>
  <c r="C291" i="9"/>
  <c r="F359" i="10"/>
  <c r="H432" i="9"/>
  <c r="C174" i="10"/>
  <c r="G107" i="10"/>
  <c r="C285" i="10"/>
  <c r="C308" i="10"/>
  <c r="B384" i="10"/>
  <c r="B310" i="10"/>
  <c r="G588" i="9"/>
  <c r="H593" i="9"/>
  <c r="B362" i="10"/>
  <c r="H588" i="9"/>
  <c r="F144" i="10"/>
  <c r="G74" i="10"/>
  <c r="F74" i="9"/>
  <c r="G326" i="9"/>
  <c r="D363" i="9"/>
  <c r="C395" i="9"/>
  <c r="F503" i="9"/>
  <c r="G504" i="9"/>
  <c r="G560" i="9"/>
  <c r="B67" i="10"/>
  <c r="H569" i="9"/>
  <c r="F176" i="10"/>
  <c r="D89" i="10"/>
  <c r="C204" i="10"/>
  <c r="G182" i="10"/>
  <c r="G319" i="10"/>
  <c r="F37" i="10"/>
  <c r="F310" i="10"/>
  <c r="D588" i="9"/>
  <c r="F182" i="10"/>
  <c r="H505" i="9"/>
  <c r="G177" i="10"/>
  <c r="G105" i="10"/>
  <c r="G206" i="10"/>
  <c r="F319" i="10"/>
  <c r="D343" i="10"/>
  <c r="F45" i="10"/>
  <c r="H320" i="10"/>
  <c r="H431" i="9"/>
  <c r="D73" i="10"/>
  <c r="C182" i="10"/>
  <c r="G108" i="10"/>
  <c r="F214" i="10"/>
  <c r="G214" i="10"/>
  <c r="G46" i="10"/>
  <c r="B594" i="9"/>
  <c r="G293" i="9"/>
  <c r="D323" i="9"/>
  <c r="G324" i="10"/>
  <c r="D359" i="10"/>
  <c r="G383" i="10"/>
  <c r="C347" i="10"/>
  <c r="C324" i="10"/>
  <c r="B184" i="9"/>
  <c r="B465" i="9"/>
  <c r="F465" i="9"/>
  <c r="B500" i="9"/>
  <c r="D500" i="9"/>
  <c r="B113" i="9"/>
  <c r="H589" i="9"/>
  <c r="D589" i="9"/>
  <c r="B241" i="9"/>
  <c r="F241" i="9"/>
  <c r="G241" i="9"/>
  <c r="F113" i="9"/>
  <c r="C220" i="9"/>
  <c r="H220" i="9"/>
  <c r="C589" i="9"/>
  <c r="H113" i="9"/>
  <c r="D113" i="9"/>
  <c r="C113" i="9"/>
  <c r="F220" i="9"/>
  <c r="F589" i="9"/>
  <c r="C41" i="9"/>
  <c r="F41" i="9"/>
  <c r="F184" i="9"/>
  <c r="B589" i="9"/>
  <c r="C235" i="9"/>
  <c r="H400" i="9"/>
  <c r="B570" i="9"/>
  <c r="G256" i="9"/>
  <c r="G117" i="9"/>
  <c r="C316" i="10"/>
  <c r="F34" i="10"/>
  <c r="F351" i="10"/>
  <c r="B65" i="10"/>
  <c r="C244" i="10"/>
  <c r="G352" i="10"/>
  <c r="H65" i="10"/>
  <c r="G136" i="10"/>
  <c r="G65" i="10"/>
  <c r="D65" i="10"/>
  <c r="B38" i="10"/>
  <c r="D351" i="10"/>
  <c r="C65" i="10"/>
  <c r="F352" i="10"/>
  <c r="G351" i="10"/>
  <c r="F64" i="10"/>
  <c r="H352" i="10"/>
  <c r="C279" i="10"/>
  <c r="H208" i="10"/>
  <c r="G208" i="10"/>
  <c r="H209" i="10"/>
  <c r="F208" i="10"/>
  <c r="D208" i="10"/>
  <c r="C208" i="10"/>
  <c r="G38" i="10"/>
  <c r="F136" i="10"/>
  <c r="C172" i="10"/>
  <c r="B40" i="10"/>
  <c r="H100" i="10"/>
  <c r="G316" i="10"/>
  <c r="F100" i="10"/>
  <c r="F350" i="10"/>
  <c r="D350" i="10"/>
  <c r="C350" i="10"/>
  <c r="C99" i="10"/>
  <c r="C277" i="10"/>
  <c r="H97" i="10"/>
  <c r="C206" i="10"/>
  <c r="D97" i="10"/>
  <c r="C280" i="10"/>
  <c r="G209" i="10"/>
  <c r="B97" i="10"/>
  <c r="H98" i="10"/>
  <c r="F278" i="10"/>
  <c r="B280" i="10"/>
  <c r="G98" i="10"/>
  <c r="C100" i="10"/>
  <c r="D278" i="10"/>
  <c r="D348" i="10"/>
  <c r="H280" i="10"/>
  <c r="H136" i="10"/>
  <c r="F101" i="10"/>
  <c r="C278" i="10"/>
  <c r="B352" i="10"/>
  <c r="G280" i="10"/>
  <c r="H99" i="10"/>
  <c r="B278" i="10"/>
  <c r="C34" i="10"/>
  <c r="F280" i="10"/>
  <c r="G37" i="10"/>
  <c r="B316" i="10"/>
  <c r="D136" i="10"/>
  <c r="F206" i="10"/>
  <c r="H38" i="10"/>
  <c r="F371" i="10"/>
  <c r="H522" i="9"/>
  <c r="B454" i="9"/>
  <c r="G316" i="9"/>
  <c r="H387" i="9"/>
  <c r="F316" i="9"/>
  <c r="F387" i="9"/>
  <c r="H316" i="9"/>
  <c r="D316" i="9"/>
  <c r="D387" i="9"/>
  <c r="H87" i="10"/>
  <c r="H241" i="9"/>
  <c r="H42" i="9"/>
  <c r="C387" i="9"/>
  <c r="H264" i="10"/>
  <c r="F42" i="9"/>
  <c r="G264" i="10"/>
  <c r="B371" i="10"/>
  <c r="G300" i="10"/>
  <c r="B24" i="10"/>
  <c r="B42" i="9"/>
  <c r="F264" i="10"/>
  <c r="F103" i="9"/>
  <c r="G42" i="9"/>
  <c r="D42" i="9"/>
  <c r="H183" i="9"/>
  <c r="B444" i="9"/>
  <c r="G183" i="9"/>
  <c r="D183" i="9"/>
  <c r="G112" i="9"/>
  <c r="C183" i="9"/>
  <c r="C249" i="10"/>
  <c r="H159" i="10"/>
  <c r="C300" i="10"/>
  <c r="H335" i="10"/>
  <c r="F159" i="10"/>
  <c r="B300" i="10"/>
  <c r="D159" i="10"/>
  <c r="C315" i="10"/>
  <c r="D229" i="10"/>
  <c r="C159" i="10"/>
  <c r="F421" i="9"/>
  <c r="G159" i="10"/>
  <c r="G196" i="9"/>
  <c r="G387" i="9"/>
  <c r="F399" i="9"/>
  <c r="D62" i="10"/>
  <c r="F530" i="9"/>
  <c r="G465" i="9"/>
  <c r="H256" i="9"/>
  <c r="C316" i="9"/>
  <c r="G455" i="9"/>
  <c r="G421" i="9"/>
  <c r="B112" i="9"/>
  <c r="B82" i="9"/>
  <c r="D335" i="10"/>
  <c r="C371" i="10"/>
  <c r="D112" i="9"/>
  <c r="F183" i="9"/>
  <c r="H489" i="9"/>
  <c r="G335" i="10"/>
  <c r="G196" i="10"/>
  <c r="F455" i="9"/>
  <c r="B230" i="10"/>
  <c r="B25" i="10"/>
  <c r="B369" i="10"/>
  <c r="B430" i="9"/>
  <c r="H103" i="9"/>
  <c r="D38" i="9"/>
  <c r="H559" i="9"/>
  <c r="G297" i="9"/>
  <c r="G559" i="9"/>
  <c r="C297" i="9"/>
  <c r="C559" i="9"/>
  <c r="H528" i="9"/>
  <c r="F559" i="9"/>
  <c r="C393" i="9"/>
  <c r="D295" i="9"/>
  <c r="F302" i="10"/>
  <c r="B489" i="9"/>
  <c r="G424" i="9"/>
  <c r="B393" i="9"/>
  <c r="G231" i="10"/>
  <c r="F231" i="10"/>
  <c r="D231" i="10"/>
  <c r="F147" i="10"/>
  <c r="F124" i="9"/>
  <c r="H57" i="10"/>
  <c r="C231" i="10"/>
  <c r="D57" i="10"/>
  <c r="C512" i="9"/>
  <c r="H385" i="9"/>
  <c r="B190" i="9"/>
  <c r="G385" i="9"/>
  <c r="D223" i="9"/>
  <c r="D190" i="9"/>
  <c r="G212" i="10"/>
  <c r="C538" i="9"/>
  <c r="F53" i="9"/>
  <c r="D249" i="9"/>
  <c r="C92" i="10"/>
  <c r="C443" i="9"/>
  <c r="B92" i="10"/>
  <c r="G92" i="10"/>
  <c r="C82" i="9"/>
  <c r="G143" i="9"/>
  <c r="C499" i="9"/>
  <c r="H41" i="9"/>
  <c r="B499" i="9"/>
  <c r="F335" i="9"/>
  <c r="G41" i="9"/>
  <c r="B78" i="10"/>
  <c r="B315" i="10"/>
  <c r="G143" i="10"/>
  <c r="G103" i="10"/>
  <c r="H78" i="10"/>
  <c r="G181" i="10"/>
  <c r="G78" i="10"/>
  <c r="D283" i="9"/>
  <c r="H331" i="9"/>
  <c r="D84" i="10"/>
  <c r="C54" i="9"/>
  <c r="D274" i="9"/>
  <c r="G331" i="9"/>
  <c r="C84" i="10"/>
  <c r="D61" i="10"/>
  <c r="F512" i="9"/>
  <c r="G393" i="9"/>
  <c r="H368" i="9"/>
  <c r="H54" i="9"/>
  <c r="D140" i="9"/>
  <c r="G340" i="9"/>
  <c r="F331" i="9"/>
  <c r="B84" i="10"/>
  <c r="F24" i="10"/>
  <c r="F393" i="9"/>
  <c r="D280" i="9"/>
  <c r="H250" i="9"/>
  <c r="C199" i="9"/>
  <c r="G51" i="9"/>
  <c r="F54" i="9"/>
  <c r="D331" i="9"/>
  <c r="H284" i="9"/>
  <c r="F283" i="10"/>
  <c r="D393" i="9"/>
  <c r="G367" i="9"/>
  <c r="H307" i="9"/>
  <c r="D250" i="9"/>
  <c r="B79" i="9"/>
  <c r="H341" i="9"/>
  <c r="B54" i="9"/>
  <c r="H202" i="9"/>
  <c r="F283" i="9"/>
  <c r="C331" i="9"/>
  <c r="G284" i="9"/>
  <c r="G486" i="9"/>
  <c r="H486" i="9"/>
  <c r="G23" i="10"/>
  <c r="C283" i="10"/>
  <c r="F250" i="10"/>
  <c r="F367" i="9"/>
  <c r="F202" i="9"/>
  <c r="F284" i="9"/>
  <c r="G415" i="9"/>
  <c r="D78" i="9"/>
  <c r="D284" i="9"/>
  <c r="H363" i="9"/>
  <c r="F415" i="9"/>
  <c r="G279" i="10"/>
  <c r="B202" i="9"/>
  <c r="F174" i="9"/>
  <c r="C284" i="9"/>
  <c r="G363" i="9"/>
  <c r="D415" i="9"/>
  <c r="F279" i="10"/>
  <c r="H444" i="9"/>
  <c r="H304" i="9"/>
  <c r="F221" i="9"/>
  <c r="B103" i="9"/>
  <c r="F363" i="9"/>
  <c r="C415" i="9"/>
  <c r="D279" i="10"/>
  <c r="D563" i="9"/>
  <c r="F444" i="9"/>
  <c r="D221" i="9"/>
  <c r="H47" i="9"/>
  <c r="F228" i="9"/>
  <c r="C363" i="9"/>
  <c r="G256" i="10"/>
  <c r="C228" i="9"/>
  <c r="G370" i="9"/>
  <c r="H371" i="9"/>
  <c r="F256" i="10"/>
  <c r="D212" i="10"/>
  <c r="H52" i="10"/>
  <c r="G219" i="9"/>
  <c r="D73" i="9"/>
  <c r="H45" i="9"/>
  <c r="F28" i="9"/>
  <c r="F370" i="9"/>
  <c r="G371" i="9"/>
  <c r="F54" i="10"/>
  <c r="D256" i="10"/>
  <c r="B212" i="10"/>
  <c r="F110" i="10"/>
  <c r="F328" i="9"/>
  <c r="F219" i="9"/>
  <c r="G45" i="9"/>
  <c r="H110" i="9"/>
  <c r="C28" i="9"/>
  <c r="H340" i="9"/>
  <c r="D370" i="9"/>
  <c r="F371" i="9"/>
  <c r="B387" i="10"/>
  <c r="C387" i="10"/>
  <c r="B110" i="10"/>
  <c r="C190" i="9"/>
  <c r="C370" i="9"/>
  <c r="D371" i="9"/>
  <c r="D158" i="10"/>
  <c r="H288" i="10"/>
  <c r="G98" i="9"/>
  <c r="B370" i="9"/>
  <c r="C371" i="9"/>
  <c r="G288" i="10"/>
  <c r="F46" i="10"/>
  <c r="B109" i="10"/>
  <c r="B584" i="9"/>
  <c r="F326" i="9"/>
  <c r="G217" i="9"/>
  <c r="F288" i="10"/>
  <c r="H556" i="9"/>
  <c r="D326" i="9"/>
  <c r="H217" i="9"/>
  <c r="D124" i="9"/>
  <c r="C140" i="9"/>
  <c r="D28" i="9"/>
  <c r="B110" i="9"/>
  <c r="G140" i="9"/>
  <c r="H223" i="10"/>
  <c r="G383" i="9"/>
  <c r="G221" i="9"/>
  <c r="C124" i="10"/>
  <c r="G223" i="10"/>
  <c r="H592" i="9"/>
  <c r="F383" i="9"/>
  <c r="B297" i="9"/>
  <c r="B66" i="9"/>
  <c r="B28" i="9"/>
  <c r="G254" i="9"/>
  <c r="H130" i="9"/>
  <c r="D213" i="10"/>
  <c r="F223" i="10"/>
  <c r="C592" i="9"/>
  <c r="H580" i="9"/>
  <c r="F522" i="9"/>
  <c r="D383" i="9"/>
  <c r="H214" i="9"/>
  <c r="D121" i="9"/>
  <c r="F27" i="9"/>
  <c r="G28" i="9"/>
  <c r="F130" i="9"/>
  <c r="F486" i="9"/>
  <c r="B390" i="9"/>
  <c r="B63" i="10"/>
  <c r="D223" i="10"/>
  <c r="G592" i="9"/>
  <c r="F170" i="10"/>
  <c r="G580" i="9"/>
  <c r="D522" i="9"/>
  <c r="B497" i="9"/>
  <c r="B383" i="9"/>
  <c r="G263" i="9"/>
  <c r="G214" i="9"/>
  <c r="G185" i="9"/>
  <c r="B121" i="9"/>
  <c r="H247" i="9"/>
  <c r="D130" i="9"/>
  <c r="D486" i="9"/>
  <c r="H390" i="9"/>
  <c r="C223" i="10"/>
  <c r="C321" i="10"/>
  <c r="H28" i="10"/>
  <c r="B592" i="9"/>
  <c r="G110" i="9"/>
  <c r="F247" i="9"/>
  <c r="C130" i="9"/>
  <c r="H229" i="9"/>
  <c r="F390" i="9"/>
  <c r="C396" i="9"/>
  <c r="G390" i="9"/>
  <c r="H453" i="9"/>
  <c r="G28" i="10"/>
  <c r="C265" i="10"/>
  <c r="D103" i="10"/>
  <c r="C17" i="9"/>
  <c r="G202" i="9"/>
  <c r="G54" i="9"/>
  <c r="D247" i="9"/>
  <c r="B130" i="9"/>
  <c r="F229" i="9"/>
  <c r="G396" i="9"/>
  <c r="G453" i="9"/>
  <c r="F222" i="10"/>
  <c r="F28" i="10"/>
  <c r="B265" i="10"/>
  <c r="C103" i="10"/>
  <c r="D212" i="9"/>
  <c r="D228" i="9"/>
  <c r="H254" i="9"/>
  <c r="C247" i="9"/>
  <c r="C229" i="9"/>
  <c r="F396" i="9"/>
  <c r="F453" i="9"/>
  <c r="D28" i="10"/>
  <c r="C182" i="9"/>
  <c r="D61" i="9"/>
  <c r="B36" i="9"/>
  <c r="F321" i="10"/>
  <c r="B229" i="9"/>
  <c r="D396" i="9"/>
  <c r="D453" i="9"/>
  <c r="G313" i="10"/>
  <c r="C28" i="10"/>
  <c r="H221" i="9"/>
  <c r="G247" i="9"/>
  <c r="G229" i="9"/>
  <c r="C54" i="10"/>
  <c r="C453" i="9"/>
  <c r="C158" i="10"/>
  <c r="G158" i="10"/>
  <c r="F69" i="10"/>
  <c r="B54" i="10"/>
  <c r="D592" i="9"/>
  <c r="G399" i="9"/>
  <c r="H85" i="9"/>
  <c r="G395" i="9"/>
  <c r="H485" i="9"/>
  <c r="B321" i="10"/>
  <c r="H143" i="9"/>
  <c r="G85" i="9"/>
  <c r="C58" i="9"/>
  <c r="F340" i="9"/>
  <c r="B395" i="9"/>
  <c r="G485" i="9"/>
  <c r="H357" i="10"/>
  <c r="D572" i="9"/>
  <c r="D342" i="9"/>
  <c r="G17" i="9"/>
  <c r="F17" i="9"/>
  <c r="G341" i="9"/>
  <c r="H253" i="9"/>
  <c r="H395" i="9"/>
  <c r="F485" i="9"/>
  <c r="F158" i="10"/>
  <c r="C313" i="10"/>
  <c r="G357" i="10"/>
  <c r="F324" i="10"/>
  <c r="C572" i="9"/>
  <c r="F515" i="9"/>
  <c r="C342" i="9"/>
  <c r="D143" i="9"/>
  <c r="D110" i="9"/>
  <c r="H54" i="10"/>
  <c r="F110" i="9"/>
  <c r="C274" i="9"/>
  <c r="G253" i="9"/>
  <c r="H513" i="9"/>
  <c r="F395" i="9"/>
  <c r="D485" i="9"/>
  <c r="D222" i="10"/>
  <c r="F247" i="10"/>
  <c r="F357" i="10"/>
  <c r="G313" i="9"/>
  <c r="F254" i="9"/>
  <c r="F253" i="9"/>
  <c r="D357" i="10"/>
  <c r="D514" i="9"/>
  <c r="C425" i="9"/>
  <c r="B396" i="9"/>
  <c r="D341" i="9"/>
  <c r="D254" i="9"/>
  <c r="H82" i="9"/>
  <c r="G173" i="9"/>
  <c r="H173" i="9"/>
  <c r="H511" i="9"/>
  <c r="C133" i="9"/>
  <c r="B133" i="9"/>
  <c r="H133" i="9"/>
  <c r="F210" i="10"/>
  <c r="B210" i="10"/>
  <c r="H210" i="10"/>
  <c r="C162" i="9"/>
  <c r="G162" i="9"/>
  <c r="B162" i="9"/>
  <c r="D162" i="9"/>
  <c r="G411" i="9"/>
  <c r="B411" i="9"/>
  <c r="G249" i="10"/>
  <c r="G236" i="10"/>
  <c r="H236" i="10"/>
  <c r="G218" i="9"/>
  <c r="D218" i="9"/>
  <c r="H581" i="9"/>
  <c r="G71" i="9"/>
  <c r="D71" i="9"/>
  <c r="H172" i="9"/>
  <c r="G436" i="9"/>
  <c r="C436" i="9"/>
  <c r="D436" i="9"/>
  <c r="F436" i="9"/>
  <c r="H436" i="9"/>
  <c r="H187" i="9"/>
  <c r="B187" i="9"/>
  <c r="C187" i="9"/>
  <c r="D187" i="9"/>
  <c r="H35" i="10"/>
  <c r="C35" i="10"/>
  <c r="F35" i="10"/>
  <c r="H351" i="9"/>
  <c r="G351" i="9"/>
  <c r="H34" i="10"/>
  <c r="H132" i="10"/>
  <c r="H240" i="9"/>
  <c r="C240" i="9"/>
  <c r="D240" i="9"/>
  <c r="B93" i="9"/>
  <c r="C93" i="9"/>
  <c r="G308" i="9"/>
  <c r="G164" i="10"/>
  <c r="H547" i="9"/>
  <c r="B547" i="9"/>
  <c r="F547" i="9"/>
  <c r="F308" i="9"/>
  <c r="G511" i="9"/>
  <c r="D458" i="9"/>
  <c r="H119" i="9"/>
  <c r="G119" i="9"/>
  <c r="H194" i="10"/>
  <c r="F194" i="10"/>
  <c r="B211" i="9"/>
  <c r="C211" i="9"/>
  <c r="H62" i="9"/>
  <c r="C62" i="9"/>
  <c r="F62" i="9"/>
  <c r="G62" i="9"/>
  <c r="H458" i="9"/>
  <c r="F458" i="9"/>
  <c r="G458" i="9"/>
  <c r="G257" i="9"/>
  <c r="D288" i="9"/>
  <c r="B288" i="9"/>
  <c r="C288" i="9"/>
  <c r="F172" i="9"/>
  <c r="C173" i="9"/>
  <c r="C32" i="10"/>
  <c r="B367" i="10"/>
  <c r="D580" i="9"/>
  <c r="B530" i="9"/>
  <c r="G508" i="9"/>
  <c r="F256" i="9"/>
  <c r="G191" i="9"/>
  <c r="G68" i="9"/>
  <c r="F47" i="9"/>
  <c r="B304" i="10"/>
  <c r="G275" i="10"/>
  <c r="B189" i="10"/>
  <c r="C580" i="9"/>
  <c r="F508" i="9"/>
  <c r="C455" i="9"/>
  <c r="D256" i="9"/>
  <c r="D191" i="9"/>
  <c r="D47" i="9"/>
  <c r="C275" i="10"/>
  <c r="B214" i="10"/>
  <c r="C189" i="10"/>
  <c r="D508" i="9"/>
  <c r="B431" i="9"/>
  <c r="C114" i="9"/>
  <c r="B125" i="10"/>
  <c r="F214" i="9"/>
  <c r="F300" i="10"/>
  <c r="F97" i="10"/>
  <c r="C505" i="9"/>
  <c r="C214" i="9"/>
  <c r="C164" i="9"/>
  <c r="D85" i="9"/>
  <c r="G64" i="9"/>
  <c r="F45" i="9"/>
  <c r="D185" i="10"/>
  <c r="G232" i="9"/>
  <c r="H238" i="10"/>
  <c r="F185" i="10"/>
  <c r="H548" i="9"/>
  <c r="D504" i="9"/>
  <c r="H353" i="9"/>
  <c r="C109" i="9"/>
  <c r="C24" i="10"/>
  <c r="D121" i="10"/>
  <c r="G94" i="10"/>
  <c r="H572" i="9"/>
  <c r="D400" i="9"/>
  <c r="C326" i="9"/>
  <c r="G250" i="9"/>
  <c r="G572" i="9"/>
  <c r="F425" i="9"/>
  <c r="F250" i="9"/>
  <c r="C21" i="10"/>
  <c r="B357" i="10"/>
  <c r="D147" i="10"/>
  <c r="C374" i="9"/>
  <c r="F297" i="9"/>
  <c r="C249" i="9"/>
  <c r="H225" i="9"/>
  <c r="C208" i="9"/>
  <c r="F185" i="9"/>
  <c r="G159" i="9"/>
  <c r="B543" i="9"/>
  <c r="C185" i="9"/>
  <c r="B159" i="9"/>
  <c r="F290" i="10"/>
  <c r="D373" i="9"/>
  <c r="C290" i="10"/>
  <c r="B373" i="9"/>
  <c r="G381" i="10"/>
  <c r="B290" i="10"/>
  <c r="D443" i="9"/>
  <c r="B421" i="9"/>
  <c r="F373" i="9"/>
  <c r="F296" i="9"/>
  <c r="F223" i="9"/>
  <c r="H126" i="9"/>
  <c r="H37" i="9"/>
  <c r="H229" i="10"/>
  <c r="H202" i="10"/>
  <c r="D352" i="10"/>
  <c r="G229" i="10"/>
  <c r="F202" i="10"/>
  <c r="F143" i="10"/>
  <c r="H539" i="9"/>
  <c r="D465" i="9"/>
  <c r="C420" i="9"/>
  <c r="F342" i="9"/>
  <c r="F295" i="9"/>
  <c r="F266" i="9"/>
  <c r="D182" i="9"/>
  <c r="D36" i="9"/>
  <c r="F376" i="10"/>
  <c r="G314" i="9"/>
  <c r="H74" i="9"/>
  <c r="H563" i="9"/>
  <c r="D513" i="9"/>
  <c r="F314" i="9"/>
  <c r="H52" i="9"/>
  <c r="C198" i="9"/>
  <c r="F96" i="9"/>
  <c r="D52" i="9"/>
  <c r="B512" i="9"/>
  <c r="D489" i="9"/>
  <c r="B367" i="9"/>
  <c r="D219" i="9"/>
  <c r="C338" i="10"/>
  <c r="B87" i="10"/>
  <c r="D388" i="10"/>
  <c r="C87" i="10"/>
  <c r="G39" i="10"/>
  <c r="H19" i="10"/>
  <c r="G338" i="10"/>
  <c r="G237" i="10"/>
  <c r="D39" i="10"/>
  <c r="G385" i="10"/>
  <c r="C39" i="10"/>
  <c r="B385" i="10"/>
  <c r="G337" i="10"/>
  <c r="H261" i="10"/>
  <c r="H130" i="10"/>
  <c r="G22" i="10"/>
  <c r="B39" i="10"/>
  <c r="F385" i="10"/>
  <c r="F337" i="10"/>
  <c r="G261" i="10"/>
  <c r="C185" i="10"/>
  <c r="F130" i="10"/>
  <c r="D111" i="10"/>
  <c r="B339" i="10"/>
  <c r="G15" i="10"/>
  <c r="C359" i="10"/>
  <c r="F129" i="10"/>
  <c r="G55" i="10"/>
  <c r="D135" i="10"/>
  <c r="B41" i="10"/>
  <c r="B15" i="10"/>
  <c r="C383" i="10"/>
  <c r="H283" i="10"/>
  <c r="G259" i="10"/>
  <c r="C42" i="10"/>
  <c r="G128" i="10"/>
  <c r="G333" i="10"/>
  <c r="B306" i="10"/>
  <c r="H22" i="10"/>
  <c r="B35" i="10"/>
  <c r="D52" i="10"/>
  <c r="F51" i="10"/>
  <c r="F339" i="10"/>
  <c r="F388" i="10"/>
  <c r="G135" i="10"/>
  <c r="H88" i="10"/>
  <c r="H253" i="10"/>
  <c r="G149" i="10"/>
  <c r="C135" i="10"/>
  <c r="F88" i="10"/>
  <c r="H240" i="10"/>
  <c r="D340" i="10"/>
  <c r="G33" i="10"/>
  <c r="H377" i="10"/>
  <c r="F253" i="10"/>
  <c r="C201" i="10"/>
  <c r="F124" i="10"/>
  <c r="G240" i="10"/>
  <c r="G367" i="10"/>
  <c r="G377" i="10"/>
  <c r="B201" i="10"/>
  <c r="D124" i="10"/>
  <c r="F32" i="10"/>
  <c r="F377" i="10"/>
  <c r="F72" i="10"/>
  <c r="D240" i="10"/>
  <c r="H265" i="10"/>
  <c r="D42" i="10"/>
  <c r="F42" i="10"/>
  <c r="C240" i="10"/>
  <c r="G265" i="10"/>
  <c r="F265" i="10"/>
  <c r="C376" i="10"/>
  <c r="B275" i="10"/>
  <c r="H172" i="10"/>
  <c r="F121" i="10"/>
  <c r="C97" i="10"/>
  <c r="G172" i="10"/>
  <c r="C296" i="10"/>
  <c r="F172" i="10"/>
  <c r="D69" i="10"/>
  <c r="H135" i="10"/>
  <c r="H321" i="10"/>
  <c r="B296" i="10"/>
  <c r="B172" i="10"/>
  <c r="F87" i="10"/>
  <c r="G67" i="10"/>
  <c r="G88" i="10"/>
  <c r="G62" i="10"/>
  <c r="B163" i="10"/>
  <c r="C388" i="10"/>
  <c r="H366" i="10"/>
  <c r="D319" i="10"/>
  <c r="B294" i="10"/>
  <c r="C194" i="10"/>
  <c r="H93" i="10"/>
  <c r="D67" i="10"/>
  <c r="C164" i="10"/>
  <c r="H367" i="10"/>
  <c r="G366" i="10"/>
  <c r="C370" i="10"/>
  <c r="C319" i="10"/>
  <c r="C67" i="10"/>
  <c r="F366" i="10"/>
  <c r="G243" i="10"/>
  <c r="F240" i="10"/>
  <c r="C41" i="10"/>
  <c r="G388" i="10"/>
  <c r="H239" i="10"/>
  <c r="B22" i="10"/>
  <c r="D366" i="10"/>
  <c r="G369" i="10"/>
  <c r="H292" i="10"/>
  <c r="H268" i="10"/>
  <c r="F243" i="10"/>
  <c r="C91" i="10"/>
  <c r="D112" i="10"/>
  <c r="C366" i="10"/>
  <c r="F239" i="10"/>
  <c r="F23" i="10"/>
  <c r="F291" i="10"/>
  <c r="H112" i="10"/>
  <c r="G87" i="10"/>
  <c r="G239" i="10"/>
  <c r="F135" i="10"/>
  <c r="F367" i="10"/>
  <c r="F341" i="10"/>
  <c r="F315" i="10"/>
  <c r="B112" i="10"/>
  <c r="F192" i="9"/>
  <c r="H38" i="9"/>
  <c r="H193" i="10"/>
  <c r="C308" i="9"/>
  <c r="H71" i="10"/>
  <c r="B94" i="10"/>
  <c r="D254" i="10"/>
  <c r="G191" i="10"/>
  <c r="H493" i="9"/>
  <c r="B19" i="10"/>
  <c r="B253" i="10"/>
  <c r="H69" i="10"/>
  <c r="G51" i="10"/>
  <c r="D547" i="9"/>
  <c r="F424" i="9"/>
  <c r="C383" i="9"/>
  <c r="G307" i="9"/>
  <c r="B262" i="9"/>
  <c r="B172" i="9"/>
  <c r="F112" i="9"/>
  <c r="B90" i="9"/>
  <c r="C212" i="9"/>
  <c r="B308" i="9"/>
  <c r="C254" i="10"/>
  <c r="F191" i="10"/>
  <c r="G493" i="9"/>
  <c r="F586" i="9"/>
  <c r="D262" i="9"/>
  <c r="B152" i="9"/>
  <c r="D308" i="9"/>
  <c r="B38" i="9"/>
  <c r="H75" i="9"/>
  <c r="F75" i="9"/>
  <c r="G212" i="9"/>
  <c r="F192" i="10"/>
  <c r="B254" i="10"/>
  <c r="D191" i="10"/>
  <c r="H21" i="10"/>
  <c r="F493" i="9"/>
  <c r="D192" i="10"/>
  <c r="H94" i="10"/>
  <c r="C129" i="10"/>
  <c r="C192" i="9"/>
  <c r="G192" i="9"/>
  <c r="D134" i="9"/>
  <c r="B212" i="9"/>
  <c r="G193" i="10"/>
  <c r="H207" i="10"/>
  <c r="C191" i="10"/>
  <c r="H255" i="10"/>
  <c r="D493" i="9"/>
  <c r="H17" i="10"/>
  <c r="H290" i="10"/>
  <c r="C147" i="10"/>
  <c r="H125" i="10"/>
  <c r="C69" i="10"/>
  <c r="H567" i="9"/>
  <c r="C546" i="9"/>
  <c r="D399" i="9"/>
  <c r="C223" i="9"/>
  <c r="H170" i="9"/>
  <c r="G36" i="9"/>
  <c r="B75" i="9"/>
  <c r="H494" i="9"/>
  <c r="G586" i="9"/>
  <c r="G35" i="10"/>
  <c r="H355" i="10"/>
  <c r="B311" i="10"/>
  <c r="G290" i="10"/>
  <c r="H250" i="10"/>
  <c r="B209" i="10"/>
  <c r="D125" i="10"/>
  <c r="C109" i="10"/>
  <c r="B69" i="10"/>
  <c r="D584" i="9"/>
  <c r="G567" i="9"/>
  <c r="H546" i="9"/>
  <c r="C399" i="9"/>
  <c r="D381" i="9"/>
  <c r="B340" i="9"/>
  <c r="H323" i="9"/>
  <c r="B223" i="9"/>
  <c r="B170" i="9"/>
  <c r="G87" i="9"/>
  <c r="H191" i="10"/>
  <c r="G135" i="9"/>
  <c r="F495" i="9"/>
  <c r="D310" i="9"/>
  <c r="F207" i="10"/>
  <c r="F255" i="10"/>
  <c r="H309" i="10"/>
  <c r="B493" i="9"/>
  <c r="H16" i="10"/>
  <c r="G323" i="9"/>
  <c r="H149" i="9"/>
  <c r="H57" i="9"/>
  <c r="F254" i="10"/>
  <c r="D494" i="9"/>
  <c r="G255" i="10"/>
  <c r="H212" i="9"/>
  <c r="H309" i="9"/>
  <c r="C310" i="9"/>
  <c r="D207" i="10"/>
  <c r="D255" i="10"/>
  <c r="D35" i="10"/>
  <c r="D16" i="10"/>
  <c r="H330" i="10"/>
  <c r="C250" i="10"/>
  <c r="G186" i="10"/>
  <c r="C125" i="10"/>
  <c r="G109" i="10"/>
  <c r="C584" i="9"/>
  <c r="D528" i="9"/>
  <c r="F323" i="9"/>
  <c r="D169" i="9"/>
  <c r="G149" i="9"/>
  <c r="D127" i="9"/>
  <c r="C71" i="9"/>
  <c r="D174" i="9"/>
  <c r="G309" i="9"/>
  <c r="B310" i="9"/>
  <c r="H113" i="10"/>
  <c r="C255" i="10"/>
  <c r="C16" i="10"/>
  <c r="C330" i="10"/>
  <c r="B309" i="10"/>
  <c r="C169" i="10"/>
  <c r="B528" i="9"/>
  <c r="G420" i="9"/>
  <c r="G359" i="9"/>
  <c r="G280" i="9"/>
  <c r="H257" i="9"/>
  <c r="C204" i="9"/>
  <c r="C169" i="9"/>
  <c r="F149" i="9"/>
  <c r="D57" i="9"/>
  <c r="F135" i="9"/>
  <c r="D309" i="9"/>
  <c r="G495" i="9"/>
  <c r="G310" i="9"/>
  <c r="B72" i="10"/>
  <c r="G113" i="10"/>
  <c r="G268" i="10"/>
  <c r="F249" i="10"/>
  <c r="B229" i="10"/>
  <c r="B168" i="10"/>
  <c r="H377" i="9"/>
  <c r="H336" i="9"/>
  <c r="C280" i="9"/>
  <c r="F257" i="9"/>
  <c r="G126" i="9"/>
  <c r="G31" i="9"/>
  <c r="C135" i="9"/>
  <c r="C402" i="9"/>
  <c r="F310" i="9"/>
  <c r="H370" i="10"/>
  <c r="G377" i="9"/>
  <c r="G336" i="9"/>
  <c r="C257" i="9"/>
  <c r="C202" i="9"/>
  <c r="H147" i="9"/>
  <c r="F126" i="9"/>
  <c r="B402" i="9"/>
  <c r="G327" i="9"/>
  <c r="D94" i="10"/>
  <c r="H47" i="10"/>
  <c r="D370" i="10"/>
  <c r="C248" i="10"/>
  <c r="G204" i="10"/>
  <c r="D142" i="10"/>
  <c r="H123" i="10"/>
  <c r="F83" i="10"/>
  <c r="G541" i="9"/>
  <c r="G418" i="9"/>
  <c r="F377" i="9"/>
  <c r="D336" i="9"/>
  <c r="B257" i="9"/>
  <c r="G147" i="9"/>
  <c r="B104" i="9"/>
  <c r="H49" i="9"/>
  <c r="H30" i="9"/>
  <c r="F327" i="9"/>
  <c r="F294" i="10"/>
  <c r="D47" i="10"/>
  <c r="H386" i="10"/>
  <c r="D266" i="10"/>
  <c r="D204" i="10"/>
  <c r="H166" i="10"/>
  <c r="B142" i="10"/>
  <c r="D123" i="10"/>
  <c r="C457" i="9"/>
  <c r="D418" i="9"/>
  <c r="B377" i="9"/>
  <c r="C336" i="9"/>
  <c r="G320" i="9"/>
  <c r="B186" i="9"/>
  <c r="F147" i="9"/>
  <c r="F57" i="9"/>
  <c r="C57" i="9"/>
  <c r="D327" i="9"/>
  <c r="D294" i="10"/>
  <c r="H585" i="9"/>
  <c r="B47" i="10"/>
  <c r="D13" i="10"/>
  <c r="D386" i="10"/>
  <c r="C266" i="10"/>
  <c r="H226" i="10"/>
  <c r="B123" i="10"/>
  <c r="F82" i="10"/>
  <c r="F540" i="9"/>
  <c r="C480" i="9"/>
  <c r="B457" i="9"/>
  <c r="B336" i="9"/>
  <c r="F320" i="9"/>
  <c r="D201" i="9"/>
  <c r="C147" i="9"/>
  <c r="C125" i="9"/>
  <c r="C327" i="9"/>
  <c r="D237" i="10"/>
  <c r="C294" i="10"/>
  <c r="D585" i="9"/>
  <c r="F47" i="10"/>
  <c r="B13" i="10"/>
  <c r="C386" i="10"/>
  <c r="G325" i="10"/>
  <c r="G123" i="10"/>
  <c r="F63" i="10"/>
  <c r="H560" i="9"/>
  <c r="B540" i="9"/>
  <c r="B549" i="9"/>
  <c r="G254" i="10"/>
  <c r="B174" i="9"/>
  <c r="F494" i="9"/>
  <c r="H327" i="9"/>
  <c r="H151" i="10"/>
  <c r="F353" i="9"/>
  <c r="F319" i="9"/>
  <c r="H200" i="9"/>
  <c r="C86" i="10"/>
  <c r="F21" i="10"/>
  <c r="F181" i="10"/>
  <c r="D353" i="9"/>
  <c r="D319" i="9"/>
  <c r="F200" i="9"/>
  <c r="G151" i="10"/>
  <c r="F151" i="10"/>
  <c r="C587" i="9"/>
  <c r="C46" i="10"/>
  <c r="D385" i="10"/>
  <c r="D368" i="10"/>
  <c r="G283" i="10"/>
  <c r="B181" i="10"/>
  <c r="H121" i="10"/>
  <c r="C522" i="9"/>
  <c r="D455" i="9"/>
  <c r="G374" i="9"/>
  <c r="C353" i="9"/>
  <c r="C319" i="9"/>
  <c r="B218" i="9"/>
  <c r="D200" i="9"/>
  <c r="H185" i="9"/>
  <c r="F162" i="9"/>
  <c r="H25" i="9"/>
  <c r="H192" i="9"/>
  <c r="F193" i="9"/>
  <c r="F113" i="10"/>
  <c r="D151" i="10"/>
  <c r="H20" i="10"/>
  <c r="H587" i="9"/>
  <c r="C181" i="10"/>
  <c r="B137" i="10"/>
  <c r="F61" i="10"/>
  <c r="D392" i="9"/>
  <c r="B353" i="9"/>
  <c r="B319" i="9"/>
  <c r="H274" i="9"/>
  <c r="D255" i="9"/>
  <c r="C200" i="9"/>
  <c r="C123" i="9"/>
  <c r="C151" i="10"/>
  <c r="F20" i="10"/>
  <c r="D321" i="10"/>
  <c r="D300" i="10"/>
  <c r="B283" i="10"/>
  <c r="B136" i="10"/>
  <c r="G100" i="10"/>
  <c r="C61" i="10"/>
  <c r="B576" i="9"/>
  <c r="F556" i="9"/>
  <c r="B432" i="9"/>
  <c r="G20" i="10"/>
  <c r="G114" i="9"/>
  <c r="B466" i="9"/>
  <c r="G378" i="9"/>
  <c r="B378" i="10"/>
  <c r="D20" i="10"/>
  <c r="B586" i="9"/>
  <c r="H242" i="10"/>
  <c r="D556" i="9"/>
  <c r="D390" i="9"/>
  <c r="D114" i="9"/>
  <c r="F378" i="9"/>
  <c r="C20" i="10"/>
  <c r="F585" i="9"/>
  <c r="H282" i="10"/>
  <c r="G242" i="10"/>
  <c r="D60" i="10"/>
  <c r="C556" i="9"/>
  <c r="H330" i="9"/>
  <c r="C296" i="9"/>
  <c r="D173" i="10"/>
  <c r="B193" i="9"/>
  <c r="F438" i="9"/>
  <c r="D378" i="9"/>
  <c r="G190" i="10"/>
  <c r="G21" i="10"/>
  <c r="D586" i="9"/>
  <c r="B42" i="10"/>
  <c r="H299" i="10"/>
  <c r="D282" i="10"/>
  <c r="F242" i="10"/>
  <c r="D218" i="10"/>
  <c r="H574" i="9"/>
  <c r="B556" i="9"/>
  <c r="C535" i="9"/>
  <c r="B519" i="9"/>
  <c r="D350" i="9"/>
  <c r="H174" i="9"/>
  <c r="C276" i="10"/>
  <c r="G340" i="10"/>
  <c r="G299" i="10"/>
  <c r="B282" i="10"/>
  <c r="D242" i="10"/>
  <c r="D177" i="10"/>
  <c r="D77" i="10"/>
  <c r="C450" i="9"/>
  <c r="C388" i="9"/>
  <c r="C270" i="9"/>
  <c r="D215" i="9"/>
  <c r="H141" i="9"/>
  <c r="G61" i="9"/>
  <c r="F58" i="9"/>
  <c r="G41" i="10"/>
  <c r="C177" i="10"/>
  <c r="G192" i="10"/>
  <c r="B585" i="9"/>
  <c r="B58" i="9"/>
  <c r="H108" i="10"/>
  <c r="H169" i="10"/>
  <c r="D41" i="10"/>
  <c r="H361" i="10"/>
  <c r="B319" i="10"/>
  <c r="F259" i="10"/>
  <c r="F196" i="10"/>
  <c r="B177" i="10"/>
  <c r="G154" i="10"/>
  <c r="D116" i="10"/>
  <c r="D554" i="9"/>
  <c r="H369" i="9"/>
  <c r="H328" i="9"/>
  <c r="B314" i="9"/>
  <c r="D196" i="9"/>
  <c r="B96" i="9"/>
  <c r="C78" i="9"/>
  <c r="C61" i="9"/>
  <c r="D17" i="9"/>
  <c r="G58" i="9"/>
  <c r="G112" i="10"/>
  <c r="H336" i="10"/>
  <c r="F309" i="10"/>
  <c r="H293" i="10"/>
  <c r="H586" i="9"/>
  <c r="H41" i="10"/>
  <c r="H23" i="10"/>
  <c r="F338" i="10"/>
  <c r="C259" i="10"/>
  <c r="B116" i="10"/>
  <c r="D96" i="10"/>
  <c r="G498" i="9"/>
  <c r="B468" i="9"/>
  <c r="G328" i="9"/>
  <c r="C196" i="9"/>
  <c r="D96" i="9"/>
  <c r="H531" i="9"/>
  <c r="H157" i="9"/>
  <c r="B32" i="9"/>
  <c r="C113" i="10"/>
  <c r="F293" i="10"/>
  <c r="H40" i="10"/>
  <c r="F378" i="10"/>
  <c r="G95" i="10"/>
  <c r="G73" i="10"/>
  <c r="F531" i="9"/>
  <c r="D515" i="9"/>
  <c r="H467" i="9"/>
  <c r="F368" i="9"/>
  <c r="D328" i="9"/>
  <c r="G157" i="9"/>
  <c r="D58" i="9"/>
  <c r="H169" i="9"/>
  <c r="G494" i="9"/>
  <c r="F190" i="10"/>
  <c r="D293" i="10"/>
  <c r="F40" i="10"/>
  <c r="C378" i="10"/>
  <c r="F95" i="10"/>
  <c r="C73" i="10"/>
  <c r="D531" i="9"/>
  <c r="C515" i="9"/>
  <c r="B426" i="9"/>
  <c r="C328" i="9"/>
  <c r="C194" i="9"/>
  <c r="B157" i="9"/>
  <c r="G293" i="10"/>
  <c r="F169" i="9"/>
  <c r="G174" i="9"/>
  <c r="H192" i="10"/>
  <c r="G378" i="10"/>
  <c r="H337" i="10"/>
  <c r="D276" i="10"/>
  <c r="H237" i="10"/>
  <c r="H212" i="10"/>
  <c r="H129" i="10"/>
  <c r="B113" i="10"/>
  <c r="C95" i="10"/>
  <c r="C531" i="9"/>
  <c r="H265" i="9"/>
  <c r="H249" i="9"/>
  <c r="C157" i="9"/>
  <c r="D135" i="9"/>
  <c r="D115" i="9"/>
  <c r="H93" i="9"/>
  <c r="G75" i="9"/>
  <c r="G354" i="10"/>
  <c r="C354" i="10"/>
  <c r="D354" i="10"/>
  <c r="F354" i="10"/>
  <c r="H354" i="10"/>
  <c r="G332" i="10"/>
  <c r="B332" i="10"/>
  <c r="F332" i="10"/>
  <c r="F313" i="10"/>
  <c r="B313" i="10"/>
  <c r="C55" i="9"/>
  <c r="D55" i="9"/>
  <c r="G55" i="9"/>
  <c r="H55" i="9"/>
  <c r="D372" i="10"/>
  <c r="D45" i="10"/>
  <c r="C45" i="10"/>
  <c r="B312" i="10"/>
  <c r="C312" i="10"/>
  <c r="B188" i="10"/>
  <c r="F188" i="10"/>
  <c r="G188" i="10"/>
  <c r="H188" i="10"/>
  <c r="G372" i="10"/>
  <c r="D43" i="10"/>
  <c r="B43" i="10"/>
  <c r="C43" i="10"/>
  <c r="H43" i="10"/>
  <c r="G269" i="10"/>
  <c r="B269" i="10"/>
  <c r="F269" i="10"/>
  <c r="H269" i="10"/>
  <c r="F328" i="10"/>
  <c r="C328" i="10"/>
  <c r="B328" i="10"/>
  <c r="D529" i="9"/>
  <c r="B529" i="9"/>
  <c r="C529" i="9"/>
  <c r="B26" i="10"/>
  <c r="H26" i="10"/>
  <c r="C68" i="10"/>
  <c r="G68" i="10"/>
  <c r="D545" i="9"/>
  <c r="G545" i="9"/>
  <c r="C545" i="9"/>
  <c r="B545" i="9"/>
  <c r="B281" i="9"/>
  <c r="C281" i="9"/>
  <c r="D281" i="9"/>
  <c r="F281" i="9"/>
  <c r="G281" i="9"/>
  <c r="H281" i="9"/>
  <c r="F348" i="10"/>
  <c r="B348" i="10"/>
  <c r="G348" i="10"/>
  <c r="B327" i="10"/>
  <c r="D327" i="10"/>
  <c r="D312" i="10"/>
  <c r="H347" i="10"/>
  <c r="D347" i="10"/>
  <c r="F285" i="10"/>
  <c r="D227" i="10"/>
  <c r="B227" i="10"/>
  <c r="C227" i="10"/>
  <c r="F227" i="10"/>
  <c r="H227" i="10"/>
  <c r="H365" i="10"/>
  <c r="B365" i="10"/>
  <c r="C365" i="10"/>
  <c r="D365" i="10"/>
  <c r="F365" i="10"/>
  <c r="G365" i="10"/>
  <c r="G285" i="10"/>
  <c r="H285" i="10"/>
  <c r="D225" i="10"/>
  <c r="C225" i="10"/>
  <c r="B225" i="10"/>
  <c r="B562" i="9"/>
  <c r="C562" i="9"/>
  <c r="D562" i="9"/>
  <c r="F562" i="9"/>
  <c r="H562" i="9"/>
  <c r="B165" i="10"/>
  <c r="C165" i="10"/>
  <c r="F165" i="10"/>
  <c r="G165" i="10"/>
  <c r="H165" i="10"/>
  <c r="D165" i="10"/>
  <c r="B524" i="9"/>
  <c r="C524" i="9"/>
  <c r="H524" i="9"/>
  <c r="D524" i="9"/>
  <c r="F524" i="9"/>
  <c r="G524" i="9"/>
  <c r="F150" i="10"/>
  <c r="B14" i="10"/>
  <c r="H381" i="10"/>
  <c r="F381" i="10"/>
  <c r="B381" i="10"/>
  <c r="D381" i="10"/>
  <c r="B301" i="10"/>
  <c r="H301" i="10"/>
  <c r="D362" i="10"/>
  <c r="C362" i="10"/>
  <c r="F362" i="10"/>
  <c r="C373" i="10"/>
  <c r="G373" i="10"/>
  <c r="H373" i="10"/>
  <c r="F22" i="10"/>
  <c r="D22" i="10"/>
  <c r="C372" i="10"/>
  <c r="D341" i="10"/>
  <c r="B341" i="10"/>
  <c r="H341" i="10"/>
  <c r="F161" i="10"/>
  <c r="B161" i="10"/>
  <c r="C161" i="10"/>
  <c r="D161" i="10"/>
  <c r="C219" i="10"/>
  <c r="F219" i="10"/>
  <c r="B219" i="10"/>
  <c r="D219" i="10"/>
  <c r="G219" i="10"/>
  <c r="H219" i="10"/>
  <c r="B433" i="9"/>
  <c r="C433" i="9"/>
  <c r="D433" i="9"/>
  <c r="F433" i="9"/>
  <c r="G433" i="9"/>
  <c r="B37" i="10"/>
  <c r="F352" i="9"/>
  <c r="C352" i="9"/>
  <c r="B352" i="9"/>
  <c r="C37" i="10"/>
  <c r="H298" i="10"/>
  <c r="F298" i="10"/>
  <c r="G298" i="10"/>
  <c r="C178" i="10"/>
  <c r="F178" i="10"/>
  <c r="G178" i="10"/>
  <c r="H178" i="10"/>
  <c r="D178" i="10"/>
  <c r="G134" i="10"/>
  <c r="B134" i="10"/>
  <c r="C134" i="10"/>
  <c r="D134" i="10"/>
  <c r="F134" i="10"/>
  <c r="H134" i="10"/>
  <c r="H33" i="10"/>
  <c r="F33" i="10"/>
  <c r="D33" i="10"/>
  <c r="B118" i="10"/>
  <c r="D118" i="10"/>
  <c r="G118" i="10"/>
  <c r="H118" i="10"/>
  <c r="C451" i="9"/>
  <c r="B451" i="9"/>
  <c r="D451" i="9"/>
  <c r="F451" i="9"/>
  <c r="G451" i="9"/>
  <c r="H451" i="9"/>
  <c r="D150" i="10"/>
  <c r="B317" i="10"/>
  <c r="H317" i="10"/>
  <c r="C33" i="10"/>
  <c r="G150" i="10"/>
  <c r="H49" i="10"/>
  <c r="D49" i="10"/>
  <c r="F49" i="10"/>
  <c r="G49" i="10"/>
  <c r="G14" i="10"/>
  <c r="B257" i="10"/>
  <c r="F257" i="10"/>
  <c r="C56" i="10"/>
  <c r="B56" i="10"/>
  <c r="G56" i="10"/>
  <c r="H56" i="10"/>
  <c r="C356" i="10"/>
  <c r="G356" i="10"/>
  <c r="G312" i="10"/>
  <c r="D356" i="10"/>
  <c r="H356" i="10"/>
  <c r="B150" i="10"/>
  <c r="H150" i="10"/>
  <c r="G389" i="10"/>
  <c r="F356" i="10"/>
  <c r="C193" i="10"/>
  <c r="B193" i="10"/>
  <c r="F14" i="10"/>
  <c r="D14" i="10"/>
  <c r="C14" i="10"/>
  <c r="H312" i="10"/>
  <c r="D313" i="10"/>
  <c r="F389" i="10"/>
  <c r="B373" i="10"/>
  <c r="B356" i="10"/>
  <c r="C314" i="10"/>
  <c r="B314" i="10"/>
  <c r="G314" i="10"/>
  <c r="H314" i="10"/>
  <c r="B85" i="10"/>
  <c r="H85" i="10"/>
  <c r="F496" i="9"/>
  <c r="B496" i="9"/>
  <c r="C496" i="9"/>
  <c r="D496" i="9"/>
  <c r="B452" i="9"/>
  <c r="C452" i="9"/>
  <c r="F452" i="9"/>
  <c r="G452" i="9"/>
  <c r="F164" i="10"/>
  <c r="H147" i="10"/>
  <c r="C117" i="10"/>
  <c r="B117" i="10"/>
  <c r="G574" i="9"/>
  <c r="B412" i="9"/>
  <c r="C412" i="9"/>
  <c r="G412" i="9"/>
  <c r="H412" i="9"/>
  <c r="H267" i="10"/>
  <c r="C150" i="9"/>
  <c r="D330" i="10"/>
  <c r="B330" i="10"/>
  <c r="G267" i="10"/>
  <c r="F209" i="10"/>
  <c r="C209" i="10"/>
  <c r="D315" i="10"/>
  <c r="G315" i="10"/>
  <c r="B299" i="10"/>
  <c r="F267" i="10"/>
  <c r="F221" i="10"/>
  <c r="C221" i="10"/>
  <c r="G221" i="10"/>
  <c r="H221" i="10"/>
  <c r="G162" i="10"/>
  <c r="D100" i="10"/>
  <c r="C51" i="10"/>
  <c r="C511" i="9"/>
  <c r="B511" i="9"/>
  <c r="G466" i="9"/>
  <c r="F448" i="9"/>
  <c r="B448" i="9"/>
  <c r="C375" i="9"/>
  <c r="H375" i="9"/>
  <c r="B375" i="9"/>
  <c r="D384" i="10"/>
  <c r="D344" i="10"/>
  <c r="C344" i="10"/>
  <c r="H329" i="10"/>
  <c r="F329" i="10"/>
  <c r="D267" i="10"/>
  <c r="F162" i="10"/>
  <c r="H115" i="10"/>
  <c r="G81" i="10"/>
  <c r="D66" i="10"/>
  <c r="B51" i="10"/>
  <c r="D557" i="9"/>
  <c r="F557" i="9"/>
  <c r="G557" i="9"/>
  <c r="H557" i="9"/>
  <c r="D447" i="9"/>
  <c r="B447" i="9"/>
  <c r="G279" i="9"/>
  <c r="B279" i="9"/>
  <c r="C279" i="9"/>
  <c r="D279" i="9"/>
  <c r="F279" i="9"/>
  <c r="C267" i="10"/>
  <c r="B220" i="10"/>
  <c r="H220" i="10"/>
  <c r="B176" i="10"/>
  <c r="C66" i="10"/>
  <c r="C466" i="9"/>
  <c r="H466" i="9"/>
  <c r="D466" i="9"/>
  <c r="B446" i="9"/>
  <c r="C446" i="9"/>
  <c r="C391" i="9"/>
  <c r="H391" i="9"/>
  <c r="B391" i="9"/>
  <c r="G19" i="10"/>
  <c r="B383" i="10"/>
  <c r="F343" i="10"/>
  <c r="B343" i="10"/>
  <c r="F189" i="10"/>
  <c r="H189" i="10"/>
  <c r="B128" i="10"/>
  <c r="D128" i="10"/>
  <c r="F128" i="10"/>
  <c r="H128" i="10"/>
  <c r="D114" i="10"/>
  <c r="B66" i="10"/>
  <c r="B429" i="9"/>
  <c r="G429" i="9"/>
  <c r="H429" i="9"/>
  <c r="G235" i="10"/>
  <c r="H205" i="10"/>
  <c r="G205" i="10"/>
  <c r="C127" i="10"/>
  <c r="B127" i="10"/>
  <c r="C114" i="10"/>
  <c r="D488" i="9"/>
  <c r="D408" i="9"/>
  <c r="B408" i="9"/>
  <c r="B106" i="9"/>
  <c r="C106" i="9"/>
  <c r="F106" i="9"/>
  <c r="H106" i="9"/>
  <c r="H369" i="10"/>
  <c r="F369" i="10"/>
  <c r="C369" i="10"/>
  <c r="G282" i="10"/>
  <c r="H266" i="10"/>
  <c r="H204" i="10"/>
  <c r="B114" i="10"/>
  <c r="C389" i="9"/>
  <c r="F389" i="9"/>
  <c r="B389" i="9"/>
  <c r="B333" i="9"/>
  <c r="C333" i="9"/>
  <c r="D333" i="9"/>
  <c r="H333" i="9"/>
  <c r="D235" i="10"/>
  <c r="B235" i="10"/>
  <c r="F235" i="10"/>
  <c r="B571" i="9"/>
  <c r="C571" i="9"/>
  <c r="D571" i="9"/>
  <c r="G571" i="9"/>
  <c r="H571" i="9"/>
  <c r="F488" i="9"/>
  <c r="C488" i="9"/>
  <c r="C166" i="9"/>
  <c r="G166" i="9"/>
  <c r="D367" i="10"/>
  <c r="F233" i="10"/>
  <c r="H218" i="10"/>
  <c r="B204" i="10"/>
  <c r="C160" i="10"/>
  <c r="G539" i="9"/>
  <c r="C539" i="9"/>
  <c r="D463" i="9"/>
  <c r="B463" i="9"/>
  <c r="C463" i="9"/>
  <c r="C444" i="9"/>
  <c r="D444" i="9"/>
  <c r="H405" i="9"/>
  <c r="D84" i="9"/>
  <c r="F84" i="9"/>
  <c r="H506" i="9"/>
  <c r="B506" i="9"/>
  <c r="F506" i="9"/>
  <c r="F274" i="9"/>
  <c r="G274" i="9"/>
  <c r="C48" i="9"/>
  <c r="F48" i="9"/>
  <c r="G48" i="9"/>
  <c r="H48" i="9"/>
  <c r="H32" i="10"/>
  <c r="F16" i="10"/>
  <c r="G355" i="10"/>
  <c r="H340" i="10"/>
  <c r="C311" i="10"/>
  <c r="G294" i="10"/>
  <c r="C218" i="10"/>
  <c r="F112" i="10"/>
  <c r="H554" i="9"/>
  <c r="H460" i="9"/>
  <c r="G460" i="9"/>
  <c r="C264" i="10"/>
  <c r="B264" i="10"/>
  <c r="C569" i="9"/>
  <c r="B569" i="9"/>
  <c r="F553" i="9"/>
  <c r="F442" i="9"/>
  <c r="H442" i="9"/>
  <c r="D442" i="9"/>
  <c r="G369" i="9"/>
  <c r="C329" i="9"/>
  <c r="G32" i="10"/>
  <c r="C202" i="10"/>
  <c r="B124" i="10"/>
  <c r="D95" i="10"/>
  <c r="F481" i="9"/>
  <c r="B459" i="9"/>
  <c r="F459" i="9"/>
  <c r="G459" i="9"/>
  <c r="H459" i="9"/>
  <c r="H262" i="10"/>
  <c r="G76" i="10"/>
  <c r="H76" i="10"/>
  <c r="C76" i="10"/>
  <c r="D76" i="10"/>
  <c r="F440" i="9"/>
  <c r="B440" i="9"/>
  <c r="C440" i="9"/>
  <c r="D440" i="9"/>
  <c r="H424" i="9"/>
  <c r="B424" i="9"/>
  <c r="D424" i="9"/>
  <c r="C384" i="9"/>
  <c r="B384" i="9"/>
  <c r="D384" i="9"/>
  <c r="F384" i="9"/>
  <c r="H384" i="9"/>
  <c r="D329" i="9"/>
  <c r="F329" i="9"/>
  <c r="G329" i="9"/>
  <c r="H329" i="9"/>
  <c r="H15" i="10"/>
  <c r="D137" i="10"/>
  <c r="C137" i="10"/>
  <c r="H137" i="10"/>
  <c r="B481" i="9"/>
  <c r="C481" i="9"/>
  <c r="D481" i="9"/>
  <c r="B401" i="9"/>
  <c r="G401" i="9"/>
  <c r="H401" i="9"/>
  <c r="C438" i="9"/>
  <c r="B438" i="9"/>
  <c r="C423" i="9"/>
  <c r="B423" i="9"/>
  <c r="B345" i="9"/>
  <c r="F345" i="9"/>
  <c r="F180" i="9"/>
  <c r="F23" i="9"/>
  <c r="C15" i="10"/>
  <c r="F275" i="10"/>
  <c r="C229" i="10"/>
  <c r="G170" i="10"/>
  <c r="B170" i="10"/>
  <c r="C170" i="10"/>
  <c r="D170" i="10"/>
  <c r="B154" i="10"/>
  <c r="D154" i="10"/>
  <c r="H154" i="10"/>
  <c r="C123" i="10"/>
  <c r="G60" i="10"/>
  <c r="B60" i="10"/>
  <c r="F60" i="10"/>
  <c r="H60" i="10"/>
  <c r="F549" i="9"/>
  <c r="H549" i="9"/>
  <c r="H500" i="9"/>
  <c r="B368" i="9"/>
  <c r="C368" i="9"/>
  <c r="G368" i="9"/>
  <c r="D244" i="10"/>
  <c r="H244" i="10"/>
  <c r="H213" i="10"/>
  <c r="H59" i="10"/>
  <c r="F59" i="10"/>
  <c r="H579" i="9"/>
  <c r="D479" i="9"/>
  <c r="B479" i="9"/>
  <c r="B180" i="9"/>
  <c r="H180" i="9"/>
  <c r="C23" i="9"/>
  <c r="H23" i="9"/>
  <c r="H353" i="10"/>
  <c r="G213" i="10"/>
  <c r="B169" i="10"/>
  <c r="F169" i="10"/>
  <c r="D169" i="10"/>
  <c r="F153" i="10"/>
  <c r="B153" i="10"/>
  <c r="D153" i="10"/>
  <c r="F58" i="10"/>
  <c r="D58" i="10"/>
  <c r="G579" i="9"/>
  <c r="C500" i="9"/>
  <c r="B343" i="9"/>
  <c r="F343" i="9"/>
  <c r="G343" i="9"/>
  <c r="H312" i="9"/>
  <c r="B312" i="9"/>
  <c r="C312" i="9"/>
  <c r="D312" i="9"/>
  <c r="F312" i="9"/>
  <c r="G312" i="9"/>
  <c r="C353" i="10"/>
  <c r="D306" i="10"/>
  <c r="C306" i="10"/>
  <c r="F306" i="10"/>
  <c r="G306" i="10"/>
  <c r="H260" i="10"/>
  <c r="F213" i="10"/>
  <c r="C152" i="10"/>
  <c r="B152" i="10"/>
  <c r="F579" i="9"/>
  <c r="F564" i="9"/>
  <c r="B548" i="9"/>
  <c r="C548" i="9"/>
  <c r="B290" i="9"/>
  <c r="F290" i="9"/>
  <c r="G290" i="9"/>
  <c r="H290" i="9"/>
  <c r="H39" i="10"/>
  <c r="B353" i="10"/>
  <c r="C320" i="10"/>
  <c r="G305" i="10"/>
  <c r="B213" i="10"/>
  <c r="G197" i="10"/>
  <c r="B122" i="10"/>
  <c r="D579" i="9"/>
  <c r="B564" i="9"/>
  <c r="C382" i="9"/>
  <c r="D305" i="10"/>
  <c r="G260" i="10"/>
  <c r="F260" i="10"/>
  <c r="C197" i="10"/>
  <c r="C579" i="9"/>
  <c r="B516" i="9"/>
  <c r="F516" i="9"/>
  <c r="B475" i="9"/>
  <c r="H475" i="9"/>
  <c r="G382" i="9"/>
  <c r="G226" i="9"/>
  <c r="C226" i="9"/>
  <c r="D226" i="9"/>
  <c r="F226" i="9"/>
  <c r="H226" i="9"/>
  <c r="F213" i="9"/>
  <c r="C213" i="9"/>
  <c r="B213" i="9"/>
  <c r="G139" i="9"/>
  <c r="B139" i="9"/>
  <c r="C139" i="9"/>
  <c r="D139" i="9"/>
  <c r="F139" i="9"/>
  <c r="H139" i="9"/>
  <c r="B107" i="10"/>
  <c r="F107" i="10"/>
  <c r="H107" i="10"/>
  <c r="H474" i="9"/>
  <c r="C474" i="9"/>
  <c r="F474" i="9"/>
  <c r="G474" i="9"/>
  <c r="F365" i="9"/>
  <c r="C365" i="9"/>
  <c r="D365" i="9"/>
  <c r="B264" i="9"/>
  <c r="G264" i="9"/>
  <c r="D398" i="9"/>
  <c r="B398" i="9"/>
  <c r="F180" i="10"/>
  <c r="B180" i="10"/>
  <c r="G180" i="10"/>
  <c r="H180" i="10"/>
  <c r="C547" i="9"/>
  <c r="G547" i="9"/>
  <c r="G473" i="9"/>
  <c r="C473" i="9"/>
  <c r="D473" i="9"/>
  <c r="F473" i="9"/>
  <c r="B397" i="9"/>
  <c r="F397" i="9"/>
  <c r="C397" i="9"/>
  <c r="D397" i="9"/>
  <c r="G24" i="10"/>
  <c r="G387" i="10"/>
  <c r="C375" i="10"/>
  <c r="F333" i="10"/>
  <c r="B259" i="10"/>
  <c r="C242" i="10"/>
  <c r="G226" i="10"/>
  <c r="B149" i="10"/>
  <c r="D132" i="10"/>
  <c r="D577" i="9"/>
  <c r="D498" i="9"/>
  <c r="B380" i="9"/>
  <c r="B361" i="10"/>
  <c r="F361" i="10"/>
  <c r="H303" i="10"/>
  <c r="C303" i="10"/>
  <c r="B226" i="10"/>
  <c r="D179" i="10"/>
  <c r="G179" i="10"/>
  <c r="B104" i="10"/>
  <c r="F104" i="10"/>
  <c r="D86" i="10"/>
  <c r="G86" i="10"/>
  <c r="H515" i="9"/>
  <c r="G515" i="9"/>
  <c r="G85" i="10"/>
  <c r="F53" i="10"/>
  <c r="B471" i="9"/>
  <c r="D471" i="9"/>
  <c r="C417" i="9"/>
  <c r="B417" i="9"/>
  <c r="H417" i="9"/>
  <c r="H360" i="9"/>
  <c r="B360" i="9"/>
  <c r="H306" i="9"/>
  <c r="F306" i="9"/>
  <c r="G306" i="9"/>
  <c r="B131" i="10"/>
  <c r="C85" i="10"/>
  <c r="B53" i="10"/>
  <c r="H452" i="9"/>
  <c r="F394" i="9"/>
  <c r="H394" i="9"/>
  <c r="H136" i="9"/>
  <c r="G304" i="9"/>
  <c r="C250" i="9"/>
  <c r="B214" i="9"/>
  <c r="B200" i="9"/>
  <c r="F189" i="9"/>
  <c r="F136" i="9"/>
  <c r="H95" i="9"/>
  <c r="G57" i="9"/>
  <c r="B47" i="9"/>
  <c r="B238" i="9"/>
  <c r="D189" i="9"/>
  <c r="G163" i="9"/>
  <c r="D149" i="9"/>
  <c r="C136" i="9"/>
  <c r="B95" i="9"/>
  <c r="G69" i="9"/>
  <c r="C47" i="9"/>
  <c r="C189" i="9"/>
  <c r="G107" i="9"/>
  <c r="C95" i="9"/>
  <c r="F69" i="9"/>
  <c r="D69" i="9"/>
  <c r="H18" i="9"/>
  <c r="G443" i="9"/>
  <c r="G249" i="9"/>
  <c r="B199" i="9"/>
  <c r="H94" i="9"/>
  <c r="C69" i="9"/>
  <c r="G32" i="9"/>
  <c r="F18" i="9"/>
  <c r="F443" i="9"/>
  <c r="F249" i="9"/>
  <c r="F199" i="9"/>
  <c r="G94" i="9"/>
  <c r="D81" i="9"/>
  <c r="B69" i="9"/>
  <c r="C18" i="9"/>
  <c r="F273" i="9"/>
  <c r="G133" i="9"/>
  <c r="D119" i="9"/>
  <c r="G93" i="9"/>
  <c r="G79" i="9"/>
  <c r="F31" i="9"/>
  <c r="F497" i="9"/>
  <c r="C465" i="9"/>
  <c r="G400" i="9"/>
  <c r="D377" i="9"/>
  <c r="D367" i="9"/>
  <c r="H299" i="9"/>
  <c r="D273" i="9"/>
  <c r="C221" i="9"/>
  <c r="F211" i="9"/>
  <c r="G172" i="9"/>
  <c r="F133" i="9"/>
  <c r="B119" i="9"/>
  <c r="H104" i="9"/>
  <c r="F93" i="9"/>
  <c r="F79" i="9"/>
  <c r="G67" i="9"/>
  <c r="D497" i="9"/>
  <c r="F400" i="9"/>
  <c r="C367" i="9"/>
  <c r="F350" i="9"/>
  <c r="G335" i="9"/>
  <c r="H313" i="9"/>
  <c r="C273" i="9"/>
  <c r="D211" i="9"/>
  <c r="H196" i="9"/>
  <c r="H186" i="9"/>
  <c r="D172" i="9"/>
  <c r="B145" i="9"/>
  <c r="D133" i="9"/>
  <c r="F104" i="9"/>
  <c r="D93" i="9"/>
  <c r="D79" i="9"/>
  <c r="H53" i="9"/>
  <c r="C44" i="9"/>
  <c r="G15" i="9"/>
  <c r="H428" i="9"/>
  <c r="B400" i="9"/>
  <c r="C350" i="9"/>
  <c r="D335" i="9"/>
  <c r="F313" i="9"/>
  <c r="H246" i="9"/>
  <c r="F232" i="9"/>
  <c r="H117" i="9"/>
  <c r="C79" i="9"/>
  <c r="C53" i="9"/>
  <c r="D43" i="9"/>
  <c r="F30" i="9"/>
  <c r="F15" i="9"/>
  <c r="G428" i="9"/>
  <c r="D376" i="9"/>
  <c r="G366" i="9"/>
  <c r="B335" i="9"/>
  <c r="D313" i="9"/>
  <c r="G246" i="9"/>
  <c r="D232" i="9"/>
  <c r="H210" i="9"/>
  <c r="F171" i="9"/>
  <c r="C30" i="9"/>
  <c r="D15" i="9"/>
  <c r="B476" i="9"/>
  <c r="F428" i="9"/>
  <c r="F414" i="9"/>
  <c r="C313" i="9"/>
  <c r="G271" i="9"/>
  <c r="C232" i="9"/>
  <c r="D171" i="9"/>
  <c r="H132" i="9"/>
  <c r="F117" i="9"/>
  <c r="B15" i="9"/>
  <c r="F532" i="9"/>
  <c r="D414" i="9"/>
  <c r="F349" i="9"/>
  <c r="B271" i="9"/>
  <c r="B232" i="9"/>
  <c r="C171" i="9"/>
  <c r="D117" i="9"/>
  <c r="C15" i="9"/>
  <c r="H245" i="9"/>
  <c r="H29" i="9"/>
  <c r="G245" i="9"/>
  <c r="B52" i="9"/>
  <c r="D41" i="9"/>
  <c r="F29" i="9"/>
  <c r="B292" i="10"/>
  <c r="H277" i="10"/>
  <c r="B250" i="10"/>
  <c r="F236" i="10"/>
  <c r="H142" i="10"/>
  <c r="B129" i="10"/>
  <c r="G120" i="10"/>
  <c r="G93" i="10"/>
  <c r="D560" i="9"/>
  <c r="G546" i="9"/>
  <c r="G531" i="9"/>
  <c r="C508" i="9"/>
  <c r="G450" i="9"/>
  <c r="B399" i="9"/>
  <c r="F385" i="9"/>
  <c r="F374" i="9"/>
  <c r="D364" i="9"/>
  <c r="B270" i="9"/>
  <c r="C256" i="9"/>
  <c r="F245" i="9"/>
  <c r="H231" i="9"/>
  <c r="C219" i="9"/>
  <c r="H207" i="9"/>
  <c r="G193" i="9"/>
  <c r="H184" i="9"/>
  <c r="F170" i="9"/>
  <c r="F157" i="9"/>
  <c r="H142" i="9"/>
  <c r="G129" i="9"/>
  <c r="H115" i="9"/>
  <c r="G77" i="9"/>
  <c r="H63" i="9"/>
  <c r="D29" i="9"/>
  <c r="D236" i="10"/>
  <c r="G142" i="10"/>
  <c r="C120" i="10"/>
  <c r="C93" i="10"/>
  <c r="F546" i="9"/>
  <c r="C521" i="9"/>
  <c r="B508" i="9"/>
  <c r="F450" i="9"/>
  <c r="H296" i="9"/>
  <c r="C245" i="9"/>
  <c r="G231" i="9"/>
  <c r="B219" i="9"/>
  <c r="D193" i="9"/>
  <c r="D184" i="9"/>
  <c r="D170" i="9"/>
  <c r="F142" i="9"/>
  <c r="D129" i="9"/>
  <c r="G115" i="9"/>
  <c r="H101" i="9"/>
  <c r="D63" i="9"/>
  <c r="C29" i="9"/>
  <c r="G291" i="10"/>
  <c r="F276" i="10"/>
  <c r="D249" i="10"/>
  <c r="F142" i="10"/>
  <c r="D546" i="9"/>
  <c r="D450" i="9"/>
  <c r="G425" i="9"/>
  <c r="G296" i="9"/>
  <c r="F255" i="9"/>
  <c r="B245" i="9"/>
  <c r="H193" i="9"/>
  <c r="C184" i="9"/>
  <c r="C170" i="9"/>
  <c r="F115" i="9"/>
  <c r="H87" i="9"/>
  <c r="B29" i="9"/>
  <c r="C75" i="10"/>
  <c r="D425" i="9"/>
  <c r="F411" i="9"/>
  <c r="D361" i="9"/>
  <c r="G321" i="9"/>
  <c r="D296" i="9"/>
  <c r="H280" i="9"/>
  <c r="H267" i="9"/>
  <c r="C255" i="9"/>
  <c r="C218" i="9"/>
  <c r="D192" i="9"/>
  <c r="G141" i="9"/>
  <c r="H127" i="9"/>
  <c r="C115" i="9"/>
  <c r="G100" i="9"/>
  <c r="F87" i="9"/>
  <c r="H39" i="9"/>
  <c r="G267" i="9"/>
  <c r="B255" i="9"/>
  <c r="H228" i="9"/>
  <c r="F141" i="9"/>
  <c r="D100" i="9"/>
  <c r="F50" i="9"/>
  <c r="G39" i="9"/>
  <c r="G27" i="9"/>
  <c r="F489" i="9"/>
  <c r="H320" i="9"/>
  <c r="F280" i="9"/>
  <c r="B267" i="9"/>
  <c r="H255" i="9"/>
  <c r="G228" i="9"/>
  <c r="H191" i="9"/>
  <c r="F182" i="9"/>
  <c r="G169" i="9"/>
  <c r="C155" i="9"/>
  <c r="B141" i="9"/>
  <c r="H114" i="9"/>
  <c r="B100" i="9"/>
  <c r="B39" i="9"/>
  <c r="C27" i="9"/>
  <c r="G203" i="9"/>
  <c r="F114" i="9"/>
  <c r="B27" i="9"/>
  <c r="D359" i="9"/>
  <c r="D320" i="9"/>
  <c r="C295" i="9"/>
  <c r="B191" i="9"/>
  <c r="C320" i="9"/>
  <c r="B295" i="9"/>
  <c r="H181" i="9"/>
  <c r="F358" i="9"/>
  <c r="H295" i="9"/>
  <c r="H190" i="9"/>
  <c r="B181" i="9"/>
  <c r="G240" i="9"/>
  <c r="G190" i="9"/>
  <c r="G319" i="9"/>
  <c r="F240" i="9"/>
  <c r="D24" i="1"/>
  <c r="D23" i="1"/>
  <c r="B29" i="10"/>
  <c r="D29" i="10"/>
  <c r="C29" i="10"/>
  <c r="C360" i="10"/>
  <c r="D360" i="10"/>
  <c r="C274" i="10"/>
  <c r="D274" i="10"/>
  <c r="F274" i="10"/>
  <c r="G274" i="10"/>
  <c r="H274" i="10"/>
  <c r="B274" i="10"/>
  <c r="B241" i="10"/>
  <c r="C241" i="10"/>
  <c r="D241" i="10"/>
  <c r="F241" i="10"/>
  <c r="H198" i="10"/>
  <c r="B198" i="10"/>
  <c r="H360" i="10"/>
  <c r="H29" i="10"/>
  <c r="C287" i="10"/>
  <c r="H287" i="10"/>
  <c r="B287" i="10"/>
  <c r="H241" i="10"/>
  <c r="G287" i="10"/>
  <c r="H247" i="10"/>
  <c r="F29" i="10"/>
  <c r="B360" i="10"/>
  <c r="G241" i="10"/>
  <c r="F287" i="10"/>
  <c r="G247" i="10"/>
  <c r="G360" i="10"/>
  <c r="D247" i="10"/>
  <c r="D198" i="10"/>
  <c r="G198" i="10"/>
  <c r="C247" i="10"/>
  <c r="C198" i="10"/>
  <c r="F360" i="10"/>
  <c r="H18" i="10"/>
  <c r="B18" i="10"/>
  <c r="D379" i="10"/>
  <c r="G379" i="10"/>
  <c r="H379" i="10"/>
  <c r="B351" i="10"/>
  <c r="C351" i="10"/>
  <c r="C318" i="10"/>
  <c r="G318" i="10"/>
  <c r="H318" i="10"/>
  <c r="B318" i="10"/>
  <c r="D252" i="10"/>
  <c r="F252" i="10"/>
  <c r="G252" i="10"/>
  <c r="H252" i="10"/>
  <c r="B252" i="10"/>
  <c r="G101" i="10"/>
  <c r="B101" i="10"/>
  <c r="D101" i="10"/>
  <c r="H101" i="10"/>
  <c r="B537" i="9"/>
  <c r="G537" i="9"/>
  <c r="C537" i="9"/>
  <c r="D537" i="9"/>
  <c r="F537" i="9"/>
  <c r="F492" i="9"/>
  <c r="G492" i="9"/>
  <c r="H492" i="9"/>
  <c r="B492" i="9"/>
  <c r="C492" i="9"/>
  <c r="D492" i="9"/>
  <c r="C27" i="10"/>
  <c r="D27" i="10"/>
  <c r="F27" i="10"/>
  <c r="G27" i="10"/>
  <c r="H27" i="10"/>
  <c r="B27" i="10"/>
  <c r="D281" i="10"/>
  <c r="B281" i="10"/>
  <c r="C256" i="10"/>
  <c r="B256" i="10"/>
  <c r="C234" i="10"/>
  <c r="D234" i="10"/>
  <c r="F234" i="10"/>
  <c r="G234" i="10"/>
  <c r="H234" i="10"/>
  <c r="B234" i="10"/>
  <c r="C349" i="10"/>
  <c r="D349" i="10"/>
  <c r="F349" i="10"/>
  <c r="G349" i="10"/>
  <c r="H349" i="10"/>
  <c r="B349" i="10"/>
  <c r="C346" i="10"/>
  <c r="D346" i="10"/>
  <c r="F346" i="10"/>
  <c r="H346" i="10"/>
  <c r="G346" i="10"/>
  <c r="D339" i="10"/>
  <c r="G339" i="10"/>
  <c r="H339" i="10"/>
  <c r="C323" i="10"/>
  <c r="D323" i="10"/>
  <c r="F323" i="10"/>
  <c r="G323" i="10"/>
  <c r="H323" i="10"/>
  <c r="B323" i="10"/>
  <c r="F308" i="10"/>
  <c r="D308" i="10"/>
  <c r="H174" i="10"/>
  <c r="B174" i="10"/>
  <c r="G157" i="10"/>
  <c r="H157" i="10"/>
  <c r="D157" i="10"/>
  <c r="C157" i="10"/>
  <c r="F157" i="10"/>
  <c r="B157" i="10"/>
  <c r="C336" i="10"/>
  <c r="D336" i="10"/>
  <c r="H372" i="10"/>
  <c r="B372" i="10"/>
  <c r="B31" i="10"/>
  <c r="C31" i="10"/>
  <c r="D31" i="10"/>
  <c r="G31" i="10"/>
  <c r="H31" i="10"/>
  <c r="F31" i="10"/>
  <c r="D25" i="10"/>
  <c r="F25" i="10"/>
  <c r="G25" i="10"/>
  <c r="H25" i="10"/>
  <c r="C289" i="10"/>
  <c r="D289" i="10"/>
  <c r="F289" i="10"/>
  <c r="B289" i="10"/>
  <c r="H222" i="10"/>
  <c r="B222" i="10"/>
  <c r="H140" i="10"/>
  <c r="B140" i="10"/>
  <c r="D363" i="10"/>
  <c r="G363" i="10"/>
  <c r="H363" i="10"/>
  <c r="C258" i="10"/>
  <c r="D258" i="10"/>
  <c r="F258" i="10"/>
  <c r="G258" i="10"/>
  <c r="H258" i="10"/>
  <c r="B258" i="10"/>
  <c r="C195" i="10"/>
  <c r="D195" i="10"/>
  <c r="F195" i="10"/>
  <c r="G195" i="10"/>
  <c r="H195" i="10"/>
  <c r="H155" i="10"/>
  <c r="C155" i="10"/>
  <c r="G155" i="10"/>
  <c r="D145" i="10"/>
  <c r="B145" i="10"/>
  <c r="H141" i="10"/>
  <c r="B141" i="10"/>
  <c r="C141" i="10"/>
  <c r="D133" i="10"/>
  <c r="F133" i="10"/>
  <c r="H133" i="10"/>
  <c r="B126" i="10"/>
  <c r="C126" i="10"/>
  <c r="F126" i="10"/>
  <c r="G126" i="10"/>
  <c r="C108" i="10"/>
  <c r="B108" i="10"/>
  <c r="D108" i="10"/>
  <c r="F102" i="10"/>
  <c r="G102" i="10"/>
  <c r="H102" i="10"/>
  <c r="B102" i="10"/>
  <c r="C102" i="10"/>
  <c r="B555" i="9"/>
  <c r="C555" i="9"/>
  <c r="D555" i="9"/>
  <c r="F555" i="9"/>
  <c r="G555" i="9"/>
  <c r="H555" i="9"/>
  <c r="B523" i="9"/>
  <c r="C523" i="9"/>
  <c r="D523" i="9"/>
  <c r="F523" i="9"/>
  <c r="G523" i="9"/>
  <c r="H523" i="9"/>
  <c r="F484" i="9"/>
  <c r="G484" i="9"/>
  <c r="H484" i="9"/>
  <c r="B484" i="9"/>
  <c r="C484" i="9"/>
  <c r="D484" i="9"/>
  <c r="G289" i="9"/>
  <c r="H289" i="9"/>
  <c r="B289" i="9"/>
  <c r="C289" i="9"/>
  <c r="D289" i="9"/>
  <c r="F289" i="9"/>
  <c r="H259" i="9"/>
  <c r="C259" i="9"/>
  <c r="B259" i="9"/>
  <c r="G259" i="9"/>
  <c r="G224" i="9"/>
  <c r="H224" i="9"/>
  <c r="B224" i="9"/>
  <c r="C224" i="9"/>
  <c r="F224" i="9"/>
  <c r="D224" i="9"/>
  <c r="G47" i="10"/>
  <c r="G43" i="10"/>
  <c r="D40" i="10"/>
  <c r="F30" i="10"/>
  <c r="H24" i="10"/>
  <c r="D23" i="10"/>
  <c r="F19" i="10"/>
  <c r="G17" i="10"/>
  <c r="F15" i="10"/>
  <c r="D389" i="10"/>
  <c r="F387" i="10"/>
  <c r="G386" i="10"/>
  <c r="H378" i="10"/>
  <c r="D377" i="10"/>
  <c r="F373" i="10"/>
  <c r="G371" i="10"/>
  <c r="G370" i="10"/>
  <c r="H362" i="10"/>
  <c r="D361" i="10"/>
  <c r="F353" i="10"/>
  <c r="H348" i="10"/>
  <c r="H345" i="10"/>
  <c r="G341" i="10"/>
  <c r="F340" i="10"/>
  <c r="H338" i="10"/>
  <c r="D337" i="10"/>
  <c r="F335" i="10"/>
  <c r="D333" i="10"/>
  <c r="C332" i="10"/>
  <c r="G330" i="10"/>
  <c r="H322" i="10"/>
  <c r="F314" i="10"/>
  <c r="H307" i="10"/>
  <c r="B303" i="10"/>
  <c r="F299" i="10"/>
  <c r="D298" i="10"/>
  <c r="G292" i="10"/>
  <c r="D291" i="10"/>
  <c r="D288" i="10"/>
  <c r="H286" i="10"/>
  <c r="F282" i="10"/>
  <c r="G277" i="10"/>
  <c r="B276" i="10"/>
  <c r="F268" i="10"/>
  <c r="B266" i="10"/>
  <c r="F261" i="10"/>
  <c r="B260" i="10"/>
  <c r="D257" i="10"/>
  <c r="C253" i="10"/>
  <c r="H251" i="10"/>
  <c r="G250" i="10"/>
  <c r="G244" i="10"/>
  <c r="D243" i="10"/>
  <c r="F237" i="10"/>
  <c r="B236" i="10"/>
  <c r="D233" i="10"/>
  <c r="G227" i="10"/>
  <c r="F226" i="10"/>
  <c r="F225" i="10"/>
  <c r="F220" i="10"/>
  <c r="B218" i="10"/>
  <c r="G210" i="10"/>
  <c r="F205" i="10"/>
  <c r="G202" i="10"/>
  <c r="F201" i="10"/>
  <c r="H197" i="10"/>
  <c r="D196" i="10"/>
  <c r="G194" i="10"/>
  <c r="F193" i="10"/>
  <c r="D188" i="10"/>
  <c r="F186" i="10"/>
  <c r="G173" i="10"/>
  <c r="H156" i="10"/>
  <c r="D64" i="10"/>
  <c r="C64" i="10"/>
  <c r="G64" i="10"/>
  <c r="H64" i="10"/>
  <c r="H48" i="10"/>
  <c r="C40" i="10"/>
  <c r="C30" i="10"/>
  <c r="C23" i="10"/>
  <c r="D21" i="10"/>
  <c r="D19" i="10"/>
  <c r="F17" i="10"/>
  <c r="C389" i="10"/>
  <c r="D387" i="10"/>
  <c r="F384" i="10"/>
  <c r="H380" i="10"/>
  <c r="C377" i="10"/>
  <c r="D375" i="10"/>
  <c r="D373" i="10"/>
  <c r="D371" i="10"/>
  <c r="F368" i="10"/>
  <c r="H364" i="10"/>
  <c r="C361" i="10"/>
  <c r="G345" i="10"/>
  <c r="B340" i="10"/>
  <c r="C337" i="10"/>
  <c r="B335" i="10"/>
  <c r="C333" i="10"/>
  <c r="G322" i="10"/>
  <c r="D314" i="10"/>
  <c r="F312" i="10"/>
  <c r="G307" i="10"/>
  <c r="D299" i="10"/>
  <c r="C298" i="10"/>
  <c r="F292" i="10"/>
  <c r="C291" i="10"/>
  <c r="C288" i="10"/>
  <c r="G286" i="10"/>
  <c r="H284" i="10"/>
  <c r="H279" i="10"/>
  <c r="F277" i="10"/>
  <c r="C272" i="10"/>
  <c r="D268" i="10"/>
  <c r="B261" i="10"/>
  <c r="C257" i="10"/>
  <c r="G251" i="10"/>
  <c r="H245" i="10"/>
  <c r="F244" i="10"/>
  <c r="C243" i="10"/>
  <c r="B237" i="10"/>
  <c r="C233" i="10"/>
  <c r="H228" i="10"/>
  <c r="D226" i="10"/>
  <c r="D220" i="10"/>
  <c r="H211" i="10"/>
  <c r="D210" i="10"/>
  <c r="B205" i="10"/>
  <c r="H203" i="10"/>
  <c r="C186" i="10"/>
  <c r="B184" i="10"/>
  <c r="F173" i="10"/>
  <c r="H164" i="10"/>
  <c r="B164" i="10"/>
  <c r="C162" i="10"/>
  <c r="D162" i="10"/>
  <c r="H162" i="10"/>
  <c r="D156" i="10"/>
  <c r="C149" i="10"/>
  <c r="F149" i="10"/>
  <c r="H149" i="10"/>
  <c r="F115" i="10"/>
  <c r="G115" i="10"/>
  <c r="B115" i="10"/>
  <c r="F48" i="10"/>
  <c r="B389" i="10"/>
  <c r="H385" i="10"/>
  <c r="D345" i="10"/>
  <c r="B333" i="10"/>
  <c r="G331" i="10"/>
  <c r="F322" i="10"/>
  <c r="F307" i="10"/>
  <c r="H302" i="10"/>
  <c r="B298" i="10"/>
  <c r="B291" i="10"/>
  <c r="G284" i="10"/>
  <c r="H275" i="10"/>
  <c r="H259" i="10"/>
  <c r="F251" i="10"/>
  <c r="G245" i="10"/>
  <c r="B243" i="10"/>
  <c r="H235" i="10"/>
  <c r="G228" i="10"/>
  <c r="D217" i="10"/>
  <c r="F211" i="10"/>
  <c r="C210" i="10"/>
  <c r="C205" i="10"/>
  <c r="G203" i="10"/>
  <c r="D202" i="10"/>
  <c r="B200" i="10"/>
  <c r="B197" i="10"/>
  <c r="D194" i="10"/>
  <c r="B192" i="10"/>
  <c r="G187" i="10"/>
  <c r="G171" i="10"/>
  <c r="G163" i="10"/>
  <c r="B158" i="10"/>
  <c r="G146" i="10"/>
  <c r="H119" i="10"/>
  <c r="D48" i="10"/>
  <c r="F38" i="10"/>
  <c r="C345" i="10"/>
  <c r="F331" i="10"/>
  <c r="D322" i="10"/>
  <c r="H316" i="10"/>
  <c r="D307" i="10"/>
  <c r="G302" i="10"/>
  <c r="F284" i="10"/>
  <c r="D251" i="10"/>
  <c r="F245" i="10"/>
  <c r="F228" i="10"/>
  <c r="C217" i="10"/>
  <c r="D211" i="10"/>
  <c r="F203" i="10"/>
  <c r="D187" i="10"/>
  <c r="D186" i="10"/>
  <c r="H186" i="10"/>
  <c r="B173" i="10"/>
  <c r="H173" i="10"/>
  <c r="F171" i="10"/>
  <c r="C163" i="10"/>
  <c r="F156" i="10"/>
  <c r="G156" i="10"/>
  <c r="B148" i="10"/>
  <c r="D148" i="10"/>
  <c r="G148" i="10"/>
  <c r="H148" i="10"/>
  <c r="F146" i="10"/>
  <c r="G141" i="10"/>
  <c r="F138" i="10"/>
  <c r="B138" i="10"/>
  <c r="G138" i="10"/>
  <c r="H138" i="10"/>
  <c r="G133" i="10"/>
  <c r="F507" i="9"/>
  <c r="G507" i="9"/>
  <c r="B507" i="9"/>
  <c r="C507" i="9"/>
  <c r="D507" i="9"/>
  <c r="H507" i="9"/>
  <c r="D487" i="9"/>
  <c r="B487" i="9"/>
  <c r="C487" i="9"/>
  <c r="C48" i="10"/>
  <c r="C38" i="10"/>
  <c r="H388" i="10"/>
  <c r="G353" i="10"/>
  <c r="B345" i="10"/>
  <c r="H332" i="10"/>
  <c r="D331" i="10"/>
  <c r="C322" i="10"/>
  <c r="D316" i="10"/>
  <c r="C307" i="10"/>
  <c r="C302" i="10"/>
  <c r="D284" i="10"/>
  <c r="G278" i="10"/>
  <c r="H276" i="10"/>
  <c r="B271" i="10"/>
  <c r="G266" i="10"/>
  <c r="C251" i="10"/>
  <c r="B245" i="10"/>
  <c r="D228" i="10"/>
  <c r="G218" i="10"/>
  <c r="B217" i="10"/>
  <c r="C211" i="10"/>
  <c r="H206" i="10"/>
  <c r="D203" i="10"/>
  <c r="B194" i="10"/>
  <c r="C187" i="10"/>
  <c r="H179" i="10"/>
  <c r="F179" i="10"/>
  <c r="D171" i="10"/>
  <c r="F155" i="10"/>
  <c r="F141" i="10"/>
  <c r="B133" i="10"/>
  <c r="H126" i="10"/>
  <c r="B119" i="10"/>
  <c r="C119" i="10"/>
  <c r="F119" i="10"/>
  <c r="G119" i="10"/>
  <c r="C71" i="10"/>
  <c r="B71" i="10"/>
  <c r="D71" i="10"/>
  <c r="F71" i="10"/>
  <c r="D495" i="9"/>
  <c r="B495" i="9"/>
  <c r="C495" i="9"/>
  <c r="B439" i="9"/>
  <c r="C439" i="9"/>
  <c r="D439" i="9"/>
  <c r="B211" i="10"/>
  <c r="B203" i="10"/>
  <c r="H196" i="10"/>
  <c r="B190" i="10"/>
  <c r="H187" i="10"/>
  <c r="B182" i="10"/>
  <c r="C171" i="10"/>
  <c r="D163" i="10"/>
  <c r="F163" i="10"/>
  <c r="D155" i="10"/>
  <c r="H146" i="10"/>
  <c r="B146" i="10"/>
  <c r="C146" i="10"/>
  <c r="D141" i="10"/>
  <c r="C133" i="10"/>
  <c r="D126" i="10"/>
  <c r="B111" i="10"/>
  <c r="C111" i="10"/>
  <c r="F111" i="10"/>
  <c r="G111" i="10"/>
  <c r="D102" i="10"/>
  <c r="B88" i="10"/>
  <c r="C88" i="10"/>
  <c r="B583" i="9"/>
  <c r="C583" i="9"/>
  <c r="G583" i="9"/>
  <c r="B551" i="9"/>
  <c r="H551" i="9"/>
  <c r="F154" i="10"/>
  <c r="H143" i="10"/>
  <c r="F137" i="10"/>
  <c r="G132" i="10"/>
  <c r="G129" i="10"/>
  <c r="H124" i="10"/>
  <c r="F118" i="10"/>
  <c r="G116" i="10"/>
  <c r="F114" i="10"/>
  <c r="H110" i="10"/>
  <c r="H104" i="10"/>
  <c r="B96" i="10"/>
  <c r="B95" i="10"/>
  <c r="F93" i="10"/>
  <c r="F85" i="10"/>
  <c r="C81" i="10"/>
  <c r="C77" i="10"/>
  <c r="H73" i="10"/>
  <c r="C72" i="10"/>
  <c r="F67" i="10"/>
  <c r="H63" i="10"/>
  <c r="C62" i="10"/>
  <c r="B61" i="10"/>
  <c r="C58" i="10"/>
  <c r="H53" i="10"/>
  <c r="G52" i="10"/>
  <c r="D51" i="10"/>
  <c r="F580" i="9"/>
  <c r="B577" i="9"/>
  <c r="F572" i="9"/>
  <c r="H570" i="9"/>
  <c r="H564" i="9"/>
  <c r="G563" i="9"/>
  <c r="G554" i="9"/>
  <c r="D553" i="9"/>
  <c r="F548" i="9"/>
  <c r="F539" i="9"/>
  <c r="B538" i="9"/>
  <c r="H532" i="9"/>
  <c r="B521" i="9"/>
  <c r="D516" i="9"/>
  <c r="D511" i="9"/>
  <c r="C504" i="9"/>
  <c r="D499" i="9"/>
  <c r="F499" i="9"/>
  <c r="H499" i="9"/>
  <c r="B494" i="9"/>
  <c r="C491" i="9"/>
  <c r="B486" i="9"/>
  <c r="C483" i="9"/>
  <c r="B478" i="9"/>
  <c r="C449" i="9"/>
  <c r="D449" i="9"/>
  <c r="F449" i="9"/>
  <c r="B404" i="9"/>
  <c r="C404" i="9"/>
  <c r="B283" i="9"/>
  <c r="G283" i="9"/>
  <c r="H283" i="9"/>
  <c r="B230" i="9"/>
  <c r="C230" i="9"/>
  <c r="D230" i="9"/>
  <c r="G230" i="9"/>
  <c r="F132" i="10"/>
  <c r="H120" i="10"/>
  <c r="G110" i="10"/>
  <c r="G104" i="10"/>
  <c r="C96" i="10"/>
  <c r="D93" i="10"/>
  <c r="D85" i="10"/>
  <c r="H82" i="10"/>
  <c r="D81" i="10"/>
  <c r="B77" i="10"/>
  <c r="D75" i="10"/>
  <c r="D72" i="10"/>
  <c r="H68" i="10"/>
  <c r="G63" i="10"/>
  <c r="B62" i="10"/>
  <c r="G59" i="10"/>
  <c r="B58" i="10"/>
  <c r="G53" i="10"/>
  <c r="F52" i="10"/>
  <c r="C577" i="9"/>
  <c r="G564" i="9"/>
  <c r="F563" i="9"/>
  <c r="F554" i="9"/>
  <c r="D548" i="9"/>
  <c r="G540" i="9"/>
  <c r="H538" i="9"/>
  <c r="G532" i="9"/>
  <c r="G521" i="9"/>
  <c r="C516" i="9"/>
  <c r="G514" i="9"/>
  <c r="B513" i="9"/>
  <c r="C513" i="9"/>
  <c r="F513" i="9"/>
  <c r="B504" i="9"/>
  <c r="C475" i="9"/>
  <c r="D475" i="9"/>
  <c r="F475" i="9"/>
  <c r="G475" i="9"/>
  <c r="C470" i="9"/>
  <c r="B467" i="9"/>
  <c r="C467" i="9"/>
  <c r="D467" i="9"/>
  <c r="F467" i="9"/>
  <c r="G441" i="9"/>
  <c r="B441" i="9"/>
  <c r="C441" i="9"/>
  <c r="D441" i="9"/>
  <c r="D491" i="9"/>
  <c r="F491" i="9"/>
  <c r="G491" i="9"/>
  <c r="H491" i="9"/>
  <c r="D483" i="9"/>
  <c r="F483" i="9"/>
  <c r="G483" i="9"/>
  <c r="H483" i="9"/>
  <c r="C462" i="9"/>
  <c r="B462" i="9"/>
  <c r="B413" i="9"/>
  <c r="C413" i="9"/>
  <c r="H407" i="9"/>
  <c r="B407" i="9"/>
  <c r="C407" i="9"/>
  <c r="D407" i="9"/>
  <c r="D402" i="9"/>
  <c r="G402" i="9"/>
  <c r="H402" i="9"/>
  <c r="F357" i="9"/>
  <c r="B357" i="9"/>
  <c r="C357" i="9"/>
  <c r="D357" i="9"/>
  <c r="H303" i="9"/>
  <c r="B303" i="9"/>
  <c r="C303" i="9"/>
  <c r="D303" i="9"/>
  <c r="F303" i="9"/>
  <c r="G303" i="9"/>
  <c r="C132" i="10"/>
  <c r="D130" i="10"/>
  <c r="F120" i="10"/>
  <c r="H114" i="10"/>
  <c r="D110" i="10"/>
  <c r="D104" i="10"/>
  <c r="F94" i="10"/>
  <c r="F86" i="10"/>
  <c r="C82" i="10"/>
  <c r="B75" i="10"/>
  <c r="F68" i="10"/>
  <c r="D63" i="10"/>
  <c r="H61" i="10"/>
  <c r="C59" i="10"/>
  <c r="F55" i="10"/>
  <c r="D53" i="10"/>
  <c r="C52" i="10"/>
  <c r="G581" i="9"/>
  <c r="D576" i="9"/>
  <c r="D569" i="9"/>
  <c r="D564" i="9"/>
  <c r="C563" i="9"/>
  <c r="C554" i="9"/>
  <c r="G549" i="9"/>
  <c r="F545" i="9"/>
  <c r="D540" i="9"/>
  <c r="B539" i="9"/>
  <c r="D532" i="9"/>
  <c r="F529" i="9"/>
  <c r="F528" i="9"/>
  <c r="D520" i="9"/>
  <c r="C514" i="9"/>
  <c r="C506" i="9"/>
  <c r="D506" i="9"/>
  <c r="G506" i="9"/>
  <c r="G490" i="9"/>
  <c r="B480" i="9"/>
  <c r="B472" i="9"/>
  <c r="D435" i="9"/>
  <c r="H96" i="10"/>
  <c r="H77" i="10"/>
  <c r="C540" i="9"/>
  <c r="B532" i="9"/>
  <c r="B514" i="9"/>
  <c r="B503" i="9"/>
  <c r="C503" i="9"/>
  <c r="F500" i="9"/>
  <c r="G500" i="9"/>
  <c r="B498" i="9"/>
  <c r="C498" i="9"/>
  <c r="F498" i="9"/>
  <c r="H482" i="9"/>
  <c r="C482" i="9"/>
  <c r="D482" i="9"/>
  <c r="F482" i="9"/>
  <c r="F480" i="9"/>
  <c r="D457" i="9"/>
  <c r="F457" i="9"/>
  <c r="C447" i="9"/>
  <c r="F427" i="9"/>
  <c r="D427" i="9"/>
  <c r="B427" i="9"/>
  <c r="C287" i="9"/>
  <c r="D287" i="9"/>
  <c r="F287" i="9"/>
  <c r="H287" i="9"/>
  <c r="B287" i="9"/>
  <c r="G287" i="9"/>
  <c r="G96" i="10"/>
  <c r="G77" i="10"/>
  <c r="H72" i="10"/>
  <c r="G538" i="9"/>
  <c r="F520" i="9"/>
  <c r="C520" i="9"/>
  <c r="H516" i="9"/>
  <c r="H514" i="9"/>
  <c r="B490" i="9"/>
  <c r="C490" i="9"/>
  <c r="D490" i="9"/>
  <c r="F490" i="9"/>
  <c r="C472" i="9"/>
  <c r="D472" i="9"/>
  <c r="F456" i="9"/>
  <c r="B456" i="9"/>
  <c r="C456" i="9"/>
  <c r="D456" i="9"/>
  <c r="F435" i="9"/>
  <c r="G435" i="9"/>
  <c r="H435" i="9"/>
  <c r="B435" i="9"/>
  <c r="B416" i="9"/>
  <c r="C416" i="9"/>
  <c r="D416" i="9"/>
  <c r="F416" i="9"/>
  <c r="H416" i="9"/>
  <c r="F409" i="9"/>
  <c r="G409" i="9"/>
  <c r="H409" i="9"/>
  <c r="B409" i="9"/>
  <c r="C409" i="9"/>
  <c r="C344" i="9"/>
  <c r="F344" i="9"/>
  <c r="B344" i="9"/>
  <c r="D344" i="9"/>
  <c r="G344" i="9"/>
  <c r="H344" i="9"/>
  <c r="B337" i="9"/>
  <c r="D337" i="9"/>
  <c r="C337" i="9"/>
  <c r="F337" i="9"/>
  <c r="G337" i="9"/>
  <c r="H337" i="9"/>
  <c r="D305" i="9"/>
  <c r="F305" i="9"/>
  <c r="G305" i="9"/>
  <c r="B305" i="9"/>
  <c r="C305" i="9"/>
  <c r="H305" i="9"/>
  <c r="F538" i="9"/>
  <c r="F521" i="9"/>
  <c r="G516" i="9"/>
  <c r="G505" i="9"/>
  <c r="B505" i="9"/>
  <c r="D505" i="9"/>
  <c r="D476" i="9"/>
  <c r="F476" i="9"/>
  <c r="G476" i="9"/>
  <c r="H476" i="9"/>
  <c r="C468" i="9"/>
  <c r="D468" i="9"/>
  <c r="F468" i="9"/>
  <c r="G468" i="9"/>
  <c r="B464" i="9"/>
  <c r="C464" i="9"/>
  <c r="D464" i="9"/>
  <c r="B460" i="9"/>
  <c r="C460" i="9"/>
  <c r="D460" i="9"/>
  <c r="F460" i="9"/>
  <c r="B449" i="9"/>
  <c r="H434" i="9"/>
  <c r="D434" i="9"/>
  <c r="F434" i="9"/>
  <c r="G434" i="9"/>
  <c r="D432" i="9"/>
  <c r="F432" i="9"/>
  <c r="C392" i="9"/>
  <c r="C376" i="9"/>
  <c r="C361" i="9"/>
  <c r="D358" i="9"/>
  <c r="B356" i="9"/>
  <c r="C345" i="9"/>
  <c r="C325" i="9"/>
  <c r="D325" i="9"/>
  <c r="G315" i="9"/>
  <c r="F311" i="9"/>
  <c r="G311" i="9"/>
  <c r="C302" i="9"/>
  <c r="G299" i="9"/>
  <c r="B294" i="9"/>
  <c r="C294" i="9"/>
  <c r="F272" i="9"/>
  <c r="G272" i="9"/>
  <c r="H272" i="9"/>
  <c r="B266" i="9"/>
  <c r="H242" i="9"/>
  <c r="F234" i="9"/>
  <c r="G177" i="9"/>
  <c r="B177" i="9"/>
  <c r="C177" i="9"/>
  <c r="D177" i="9"/>
  <c r="F177" i="9"/>
  <c r="H177" i="9"/>
  <c r="H146" i="9"/>
  <c r="G146" i="9"/>
  <c r="C128" i="9"/>
  <c r="H128" i="9"/>
  <c r="B128" i="9"/>
  <c r="C122" i="9"/>
  <c r="F122" i="9"/>
  <c r="B122" i="9"/>
  <c r="B392" i="9"/>
  <c r="B376" i="9"/>
  <c r="B361" i="9"/>
  <c r="G358" i="9"/>
  <c r="D356" i="9"/>
  <c r="B315" i="9"/>
  <c r="B282" i="9"/>
  <c r="F282" i="9"/>
  <c r="G282" i="9"/>
  <c r="C264" i="9"/>
  <c r="D264" i="9"/>
  <c r="F264" i="9"/>
  <c r="B258" i="9"/>
  <c r="F258" i="9"/>
  <c r="G258" i="9"/>
  <c r="H248" i="9"/>
  <c r="C248" i="9"/>
  <c r="G205" i="9"/>
  <c r="B205" i="9"/>
  <c r="D205" i="9"/>
  <c r="F205" i="9"/>
  <c r="H205" i="9"/>
  <c r="C205" i="9"/>
  <c r="F165" i="9"/>
  <c r="B165" i="9"/>
  <c r="D165" i="9"/>
  <c r="G165" i="9"/>
  <c r="H165" i="9"/>
  <c r="C165" i="9"/>
  <c r="C134" i="9"/>
  <c r="F134" i="9"/>
  <c r="G134" i="9"/>
  <c r="H134" i="9"/>
  <c r="F97" i="9"/>
  <c r="C97" i="9"/>
  <c r="G97" i="9"/>
  <c r="H97" i="9"/>
  <c r="D97" i="9"/>
  <c r="B97" i="9"/>
  <c r="F89" i="9"/>
  <c r="B89" i="9"/>
  <c r="D89" i="9"/>
  <c r="H89" i="9"/>
  <c r="G89" i="9"/>
  <c r="D348" i="9"/>
  <c r="C348" i="9"/>
  <c r="D345" i="9"/>
  <c r="G345" i="9"/>
  <c r="B309" i="9"/>
  <c r="C309" i="9"/>
  <c r="B275" i="9"/>
  <c r="G275" i="9"/>
  <c r="H275" i="9"/>
  <c r="B251" i="9"/>
  <c r="G251" i="9"/>
  <c r="H251" i="9"/>
  <c r="B242" i="9"/>
  <c r="D242" i="9"/>
  <c r="F242" i="9"/>
  <c r="G242" i="9"/>
  <c r="B237" i="9"/>
  <c r="C237" i="9"/>
  <c r="F237" i="9"/>
  <c r="D234" i="9"/>
  <c r="G234" i="9"/>
  <c r="H234" i="9"/>
  <c r="B234" i="9"/>
  <c r="C209" i="9"/>
  <c r="B209" i="9"/>
  <c r="D209" i="9"/>
  <c r="F209" i="9"/>
  <c r="G209" i="9"/>
  <c r="H209" i="9"/>
  <c r="C156" i="9"/>
  <c r="D156" i="9"/>
  <c r="F156" i="9"/>
  <c r="G156" i="9"/>
  <c r="B156" i="9"/>
  <c r="C497" i="9"/>
  <c r="C489" i="9"/>
  <c r="C479" i="9"/>
  <c r="D474" i="9"/>
  <c r="D459" i="9"/>
  <c r="D452" i="9"/>
  <c r="C448" i="9"/>
  <c r="B443" i="9"/>
  <c r="C431" i="9"/>
  <c r="F429" i="9"/>
  <c r="B425" i="9"/>
  <c r="G417" i="9"/>
  <c r="H408" i="9"/>
  <c r="D405" i="9"/>
  <c r="D401" i="9"/>
  <c r="G391" i="9"/>
  <c r="D385" i="9"/>
  <c r="C381" i="9"/>
  <c r="G375" i="9"/>
  <c r="F369" i="9"/>
  <c r="B365" i="9"/>
  <c r="G360" i="9"/>
  <c r="C359" i="9"/>
  <c r="D351" i="9"/>
  <c r="B341" i="9"/>
  <c r="D330" i="9"/>
  <c r="G330" i="9"/>
  <c r="D317" i="9"/>
  <c r="C304" i="9"/>
  <c r="D304" i="9"/>
  <c r="F304" i="9"/>
  <c r="F288" i="9"/>
  <c r="G288" i="9"/>
  <c r="H288" i="9"/>
  <c r="C265" i="9"/>
  <c r="F263" i="9"/>
  <c r="B233" i="9"/>
  <c r="C233" i="9"/>
  <c r="D233" i="9"/>
  <c r="F131" i="9"/>
  <c r="D131" i="9"/>
  <c r="G131" i="9"/>
  <c r="C131" i="9"/>
  <c r="H131" i="9"/>
  <c r="B131" i="9"/>
  <c r="D429" i="9"/>
  <c r="F423" i="9"/>
  <c r="H421" i="9"/>
  <c r="F417" i="9"/>
  <c r="G408" i="9"/>
  <c r="C405" i="9"/>
  <c r="C401" i="9"/>
  <c r="H392" i="9"/>
  <c r="F391" i="9"/>
  <c r="C385" i="9"/>
  <c r="B381" i="9"/>
  <c r="H376" i="9"/>
  <c r="F375" i="9"/>
  <c r="D369" i="9"/>
  <c r="H361" i="9"/>
  <c r="F360" i="9"/>
  <c r="B359" i="9"/>
  <c r="H352" i="9"/>
  <c r="B351" i="9"/>
  <c r="D349" i="9"/>
  <c r="H343" i="9"/>
  <c r="C343" i="9"/>
  <c r="F341" i="9"/>
  <c r="H332" i="9"/>
  <c r="B321" i="9"/>
  <c r="C321" i="9"/>
  <c r="D321" i="9"/>
  <c r="C317" i="9"/>
  <c r="D311" i="9"/>
  <c r="B298" i="9"/>
  <c r="F298" i="9"/>
  <c r="G298" i="9"/>
  <c r="G273" i="9"/>
  <c r="H273" i="9"/>
  <c r="C271" i="9"/>
  <c r="D271" i="9"/>
  <c r="F271" i="9"/>
  <c r="G442" i="9"/>
  <c r="C429" i="9"/>
  <c r="D423" i="9"/>
  <c r="D421" i="9"/>
  <c r="D417" i="9"/>
  <c r="H411" i="9"/>
  <c r="F408" i="9"/>
  <c r="F398" i="9"/>
  <c r="G392" i="9"/>
  <c r="D391" i="9"/>
  <c r="D389" i="9"/>
  <c r="F382" i="9"/>
  <c r="G376" i="9"/>
  <c r="D375" i="9"/>
  <c r="C369" i="9"/>
  <c r="D366" i="9"/>
  <c r="C364" i="9"/>
  <c r="G361" i="9"/>
  <c r="D360" i="9"/>
  <c r="H359" i="9"/>
  <c r="G352" i="9"/>
  <c r="C349" i="9"/>
  <c r="C334" i="9"/>
  <c r="B332" i="9"/>
  <c r="C311" i="9"/>
  <c r="B291" i="9"/>
  <c r="G291" i="9"/>
  <c r="H291" i="9"/>
  <c r="D272" i="9"/>
  <c r="D265" i="9"/>
  <c r="F265" i="9"/>
  <c r="G265" i="9"/>
  <c r="H263" i="9"/>
  <c r="B263" i="9"/>
  <c r="C263" i="9"/>
  <c r="C227" i="9"/>
  <c r="F227" i="9"/>
  <c r="D102" i="9"/>
  <c r="G102" i="9"/>
  <c r="C102" i="9"/>
  <c r="F102" i="9"/>
  <c r="H102" i="9"/>
  <c r="B102" i="9"/>
  <c r="B92" i="9"/>
  <c r="H92" i="9"/>
  <c r="D92" i="9"/>
  <c r="F92" i="9"/>
  <c r="G92" i="9"/>
  <c r="C92" i="9"/>
  <c r="C366" i="9"/>
  <c r="C360" i="9"/>
  <c r="D352" i="9"/>
  <c r="C351" i="9"/>
  <c r="F351" i="9"/>
  <c r="H345" i="9"/>
  <c r="C340" i="9"/>
  <c r="B311" i="9"/>
  <c r="B278" i="9"/>
  <c r="C278" i="9"/>
  <c r="C272" i="9"/>
  <c r="G266" i="9"/>
  <c r="H264" i="9"/>
  <c r="C244" i="9"/>
  <c r="D244" i="9"/>
  <c r="D195" i="9"/>
  <c r="C195" i="9"/>
  <c r="F195" i="9"/>
  <c r="G195" i="9"/>
  <c r="H195" i="9"/>
  <c r="B195" i="9"/>
  <c r="G179" i="9"/>
  <c r="C179" i="9"/>
  <c r="D179" i="9"/>
  <c r="F179" i="9"/>
  <c r="H179" i="9"/>
  <c r="B179" i="9"/>
  <c r="H56" i="9"/>
  <c r="F56" i="9"/>
  <c r="H203" i="9"/>
  <c r="H163" i="9"/>
  <c r="G78" i="9"/>
  <c r="H78" i="9"/>
  <c r="B59" i="9"/>
  <c r="D59" i="9"/>
  <c r="B37" i="9"/>
  <c r="D37" i="9"/>
  <c r="C37" i="9"/>
  <c r="F37" i="9"/>
  <c r="H34" i="9"/>
  <c r="F34" i="9"/>
  <c r="B34" i="9"/>
  <c r="F16" i="9"/>
  <c r="G16" i="9"/>
  <c r="B226" i="9"/>
  <c r="G223" i="9"/>
  <c r="F217" i="9"/>
  <c r="H213" i="9"/>
  <c r="H208" i="9"/>
  <c r="H204" i="9"/>
  <c r="F203" i="9"/>
  <c r="H199" i="9"/>
  <c r="B196" i="9"/>
  <c r="G194" i="9"/>
  <c r="C191" i="9"/>
  <c r="F186" i="9"/>
  <c r="B185" i="9"/>
  <c r="G181" i="9"/>
  <c r="H176" i="9"/>
  <c r="F173" i="9"/>
  <c r="H164" i="9"/>
  <c r="F163" i="9"/>
  <c r="H155" i="9"/>
  <c r="F150" i="9"/>
  <c r="G150" i="9"/>
  <c r="D145" i="9"/>
  <c r="C141" i="9"/>
  <c r="F132" i="9"/>
  <c r="H125" i="9"/>
  <c r="H123" i="9"/>
  <c r="C119" i="9"/>
  <c r="H111" i="9"/>
  <c r="B109" i="9"/>
  <c r="F109" i="9"/>
  <c r="G109" i="9"/>
  <c r="H109" i="9"/>
  <c r="G99" i="9"/>
  <c r="B99" i="9"/>
  <c r="D99" i="9"/>
  <c r="F88" i="9"/>
  <c r="G84" i="9"/>
  <c r="C84" i="9"/>
  <c r="H84" i="9"/>
  <c r="C254" i="9"/>
  <c r="H218" i="9"/>
  <c r="C217" i="9"/>
  <c r="G213" i="9"/>
  <c r="H211" i="9"/>
  <c r="F208" i="9"/>
  <c r="G204" i="9"/>
  <c r="C203" i="9"/>
  <c r="G199" i="9"/>
  <c r="F197" i="9"/>
  <c r="F194" i="9"/>
  <c r="G187" i="9"/>
  <c r="D186" i="9"/>
  <c r="H182" i="9"/>
  <c r="F181" i="9"/>
  <c r="B176" i="9"/>
  <c r="D173" i="9"/>
  <c r="H171" i="9"/>
  <c r="G164" i="9"/>
  <c r="D163" i="9"/>
  <c r="F155" i="9"/>
  <c r="F152" i="9"/>
  <c r="D138" i="9"/>
  <c r="D132" i="9"/>
  <c r="D125" i="9"/>
  <c r="G123" i="9"/>
  <c r="G111" i="9"/>
  <c r="H98" i="9"/>
  <c r="G91" i="9"/>
  <c r="H91" i="9"/>
  <c r="B91" i="9"/>
  <c r="F77" i="9"/>
  <c r="H77" i="9"/>
  <c r="C77" i="9"/>
  <c r="D77" i="9"/>
  <c r="C63" i="9"/>
  <c r="F63" i="9"/>
  <c r="G63" i="9"/>
  <c r="F21" i="9"/>
  <c r="F218" i="9"/>
  <c r="B217" i="9"/>
  <c r="G211" i="9"/>
  <c r="D208" i="9"/>
  <c r="D204" i="9"/>
  <c r="B203" i="9"/>
  <c r="D194" i="9"/>
  <c r="F187" i="9"/>
  <c r="C186" i="9"/>
  <c r="G182" i="9"/>
  <c r="D181" i="9"/>
  <c r="C176" i="9"/>
  <c r="B173" i="9"/>
  <c r="G171" i="9"/>
  <c r="F164" i="9"/>
  <c r="B163" i="9"/>
  <c r="D155" i="9"/>
  <c r="B140" i="9"/>
  <c r="H140" i="9"/>
  <c r="H135" i="9"/>
  <c r="F123" i="9"/>
  <c r="C101" i="9"/>
  <c r="F101" i="9"/>
  <c r="D101" i="9"/>
  <c r="G101" i="9"/>
  <c r="F78" i="9"/>
  <c r="G73" i="9"/>
  <c r="F71" i="9"/>
  <c r="H71" i="9"/>
  <c r="F61" i="9"/>
  <c r="H61" i="9"/>
  <c r="F24" i="9"/>
  <c r="C138" i="9"/>
  <c r="H138" i="9"/>
  <c r="F118" i="9"/>
  <c r="G118" i="9"/>
  <c r="H118" i="9"/>
  <c r="C111" i="9"/>
  <c r="D111" i="9"/>
  <c r="F80" i="9"/>
  <c r="C80" i="9"/>
  <c r="G80" i="9"/>
  <c r="D21" i="9"/>
  <c r="G21" i="9"/>
  <c r="C21" i="9"/>
  <c r="H21" i="9"/>
  <c r="G208" i="9"/>
  <c r="B204" i="9"/>
  <c r="H194" i="9"/>
  <c r="B164" i="9"/>
  <c r="B155" i="9"/>
  <c r="F125" i="9"/>
  <c r="G125" i="9"/>
  <c r="B123" i="9"/>
  <c r="C120" i="9"/>
  <c r="F120" i="9"/>
  <c r="C107" i="9"/>
  <c r="F107" i="9"/>
  <c r="B107" i="9"/>
  <c r="D107" i="9"/>
  <c r="B98" i="9"/>
  <c r="F98" i="9"/>
  <c r="G90" i="9"/>
  <c r="D90" i="9"/>
  <c r="F68" i="9"/>
  <c r="D68" i="9"/>
  <c r="H68" i="9"/>
  <c r="F72" i="9"/>
  <c r="H72" i="9"/>
  <c r="B20" i="9"/>
  <c r="D20" i="9"/>
  <c r="F20" i="9"/>
  <c r="H20" i="9"/>
  <c r="G20" i="9"/>
  <c r="C46" i="9"/>
  <c r="H46" i="9"/>
  <c r="C31" i="9"/>
  <c r="D31" i="9"/>
  <c r="C149" i="9"/>
  <c r="B147" i="9"/>
  <c r="B129" i="9"/>
  <c r="B127" i="9"/>
  <c r="C124" i="9"/>
  <c r="B117" i="9"/>
  <c r="C112" i="9"/>
  <c r="C103" i="9"/>
  <c r="C85" i="9"/>
  <c r="F85" i="9"/>
  <c r="C75" i="9"/>
  <c r="G70" i="9"/>
  <c r="C66" i="9"/>
  <c r="B62" i="9"/>
  <c r="D53" i="9"/>
  <c r="G53" i="9"/>
  <c r="B45" i="9"/>
  <c r="D45" i="9"/>
  <c r="F39" i="9"/>
  <c r="C32" i="9"/>
  <c r="H32" i="9"/>
  <c r="B94" i="9"/>
  <c r="F94" i="9"/>
  <c r="C87" i="9"/>
  <c r="D87" i="9"/>
  <c r="B55" i="9"/>
  <c r="F55" i="9"/>
  <c r="F46" i="9"/>
  <c r="D39" i="9"/>
  <c r="H31" i="9"/>
  <c r="D25" i="9"/>
  <c r="G25" i="9"/>
  <c r="D23" i="9"/>
  <c r="G23" i="9"/>
  <c r="D30" i="1" l="1"/>
  <c r="D28" i="1"/>
  <c r="D31" i="1"/>
  <c r="E32" i="1"/>
  <c r="D21" i="1" l="1"/>
  <c r="D20" i="1"/>
  <c r="D22" i="1"/>
  <c r="D29" i="1"/>
  <c r="E18" i="1" l="1"/>
  <c r="D27" i="1" l="1"/>
  <c r="D25" i="1" l="1"/>
  <c r="D26" i="1" l="1"/>
  <c r="E36" i="1" l="1"/>
  <c r="E19" i="1"/>
  <c r="E48" i="1" l="1"/>
  <c r="E50" i="1" s="1"/>
  <c r="Z12" i="33" l="1"/>
  <c r="Q10" i="33" l="1"/>
  <c r="D10" i="33" s="1"/>
  <c r="Y12" i="33"/>
  <c r="Q12" i="33" l="1"/>
  <c r="Q13" i="33" s="1"/>
  <c r="D12" i="33"/>
  <c r="D13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Siyu Liu</author>
  </authors>
  <commentList>
    <comment ref="CK1" authorId="0" shapeId="0" xr:uid="{D9E9BEE1-871A-405B-BC23-8C376D353D1C}">
      <text>
        <r>
          <rPr>
            <b/>
            <sz val="9"/>
            <color indexed="81"/>
            <rFont val="Tahoma"/>
            <family val="2"/>
          </rPr>
          <t>Siyu Liu:</t>
        </r>
        <r>
          <rPr>
            <sz val="9"/>
            <color indexed="81"/>
            <rFont val="Tahoma"/>
            <family val="2"/>
          </rPr>
          <t xml:space="preserve">
公司社保公积金调整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Meix</author>
  </authors>
  <commentList>
    <comment ref="U1" authorId="0" shapeId="0" xr:uid="{55138C9A-2DE4-401A-823B-273DCE8FF91B}">
      <text>
        <r>
          <rPr>
            <sz val="9"/>
            <color indexed="81"/>
            <rFont val="宋体"/>
            <family val="3"/>
            <charset val="134"/>
          </rPr>
          <t>商业养老保险缴费扣除试点政策，目前仅在上海、福建、厦门和苏州工业园区执行，其他地区暂不支持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<sst xmlns="http://schemas.openxmlformats.org/spreadsheetml/2006/main" count="1561" uniqueCount="1242">
  <si>
    <r>
      <t xml:space="preserve">HROne </t>
    </r>
    <r>
      <rPr>
        <b/>
        <sz val="12"/>
        <rFont val="宋体"/>
        <family val="3"/>
        <charset val="134"/>
      </rPr>
      <t>Co., Ltd.</t>
    </r>
    <phoneticPr fontId="7" type="noConversion"/>
  </si>
  <si>
    <t>INVOICE</t>
    <phoneticPr fontId="5" type="noConversion"/>
  </si>
  <si>
    <t>付款通知</t>
    <phoneticPr fontId="5" type="noConversion"/>
  </si>
  <si>
    <t>Attn   发至：NNRoad-Hermetic Solutions</t>
  </si>
  <si>
    <t>Date:</t>
  </si>
  <si>
    <t>日期：</t>
    <phoneticPr fontId="5" type="noConversion"/>
  </si>
  <si>
    <t>Ref. No.:</t>
    <phoneticPr fontId="5" type="noConversion"/>
  </si>
  <si>
    <r>
      <t xml:space="preserve">Service Month   </t>
    </r>
    <r>
      <rPr>
        <sz val="10"/>
        <rFont val="宋体"/>
        <family val="3"/>
        <charset val="134"/>
      </rPr>
      <t>服务月：</t>
    </r>
    <phoneticPr fontId="5" type="noConversion"/>
  </si>
  <si>
    <t>编号：</t>
    <phoneticPr fontId="5" type="noConversion"/>
  </si>
  <si>
    <r>
      <t>I</t>
    </r>
    <r>
      <rPr>
        <b/>
        <sz val="10"/>
        <color indexed="9"/>
        <rFont val="宋体"/>
        <family val="3"/>
        <charset val="134"/>
      </rPr>
      <t>tems</t>
    </r>
    <r>
      <rPr>
        <b/>
        <sz val="10"/>
        <color indexed="9"/>
        <rFont val="宋体"/>
        <family val="3"/>
        <charset val="134"/>
      </rPr>
      <t xml:space="preserve">   收款项目</t>
    </r>
    <phoneticPr fontId="5" type="noConversion"/>
  </si>
  <si>
    <t>Amount   金额</t>
    <phoneticPr fontId="5" type="noConversion"/>
  </si>
  <si>
    <t>RMB</t>
    <phoneticPr fontId="7" type="noConversion"/>
  </si>
  <si>
    <r>
      <t xml:space="preserve">Net Salary (To Individual Bank Account) </t>
    </r>
    <r>
      <rPr>
        <sz val="10"/>
        <rFont val="宋体"/>
        <family val="3"/>
        <charset val="134"/>
      </rPr>
      <t xml:space="preserve">  </t>
    </r>
    <r>
      <rPr>
        <sz val="10"/>
        <rFont val="宋体"/>
        <family val="3"/>
        <charset val="134"/>
      </rPr>
      <t>实发工资（至员工银行账号）</t>
    </r>
    <phoneticPr fontId="5" type="noConversion"/>
  </si>
  <si>
    <t>Charge On Behalf   代收代付</t>
    <phoneticPr fontId="5" type="noConversion"/>
  </si>
  <si>
    <r>
      <rPr>
        <sz val="10"/>
        <rFont val="宋体"/>
        <family val="3"/>
        <charset val="134"/>
      </rPr>
      <t xml:space="preserve">   - </t>
    </r>
    <r>
      <rPr>
        <sz val="10"/>
        <rFont val="宋体"/>
        <family val="3"/>
        <charset val="134"/>
      </rPr>
      <t xml:space="preserve">Social Insurance (To Social Insurance Accounts)  </t>
    </r>
    <r>
      <rPr>
        <sz val="10"/>
        <rFont val="宋体"/>
        <family val="3"/>
        <charset val="134"/>
      </rPr>
      <t xml:space="preserve"> 社保（至社保账户）</t>
    </r>
    <phoneticPr fontId="5" type="noConversion"/>
  </si>
  <si>
    <r>
      <rPr>
        <sz val="10"/>
        <rFont val="宋体"/>
        <family val="3"/>
        <charset val="134"/>
      </rPr>
      <t xml:space="preserve">   - </t>
    </r>
    <r>
      <rPr>
        <sz val="10"/>
        <rFont val="宋体"/>
        <family val="3"/>
        <charset val="134"/>
      </rPr>
      <t xml:space="preserve">Housing Fund (To Housing Fund Accounts)  </t>
    </r>
    <r>
      <rPr>
        <sz val="10"/>
        <rFont val="宋体"/>
        <family val="3"/>
        <charset val="134"/>
      </rPr>
      <t xml:space="preserve"> 公积金（至公积金账户）</t>
    </r>
    <phoneticPr fontId="5" type="noConversion"/>
  </si>
  <si>
    <r>
      <t xml:space="preserve"> </t>
    </r>
    <r>
      <rPr>
        <sz val="10"/>
        <rFont val="宋体"/>
        <family val="3"/>
        <charset val="134"/>
      </rPr>
      <t xml:space="preserve">  - </t>
    </r>
    <r>
      <rPr>
        <sz val="10"/>
        <rFont val="宋体"/>
        <family val="3"/>
        <charset val="134"/>
      </rPr>
      <t xml:space="preserve">Enterprise Annuity (To Annuity Accounts)   </t>
    </r>
    <r>
      <rPr>
        <sz val="10"/>
        <rFont val="宋体"/>
        <family val="3"/>
        <charset val="134"/>
      </rPr>
      <t>企业年金（至年金账户）</t>
    </r>
    <phoneticPr fontId="5" type="noConversion"/>
  </si>
  <si>
    <r>
      <t xml:space="preserve"> </t>
    </r>
    <r>
      <rPr>
        <sz val="10"/>
        <rFont val="宋体"/>
        <family val="3"/>
        <charset val="134"/>
      </rPr>
      <t xml:space="preserve">  - </t>
    </r>
    <r>
      <rPr>
        <sz val="10"/>
        <rFont val="宋体"/>
        <family val="3"/>
        <charset val="134"/>
      </rPr>
      <t xml:space="preserve">Commercial Insurance   </t>
    </r>
    <r>
      <rPr>
        <sz val="10"/>
        <rFont val="宋体"/>
        <family val="3"/>
        <charset val="134"/>
      </rPr>
      <t>商业保险</t>
    </r>
    <phoneticPr fontId="5" type="noConversion"/>
  </si>
  <si>
    <t xml:space="preserve">   - Other Benefits   其他福利</t>
    <phoneticPr fontId="5" type="noConversion"/>
  </si>
  <si>
    <t xml:space="preserve">   - Union Fee   工会会费</t>
    <phoneticPr fontId="5" type="noConversion"/>
  </si>
  <si>
    <t xml:space="preserve">   - Employer Liability Insurance  雇主责任险</t>
  </si>
  <si>
    <t xml:space="preserve">   - IIT   个税</t>
    <phoneticPr fontId="5" type="noConversion"/>
  </si>
  <si>
    <t xml:space="preserve">   - Expense   报销款</t>
    <phoneticPr fontId="5" type="noConversion"/>
  </si>
  <si>
    <t xml:space="preserve">   - Subsistence Allowance for Foreigners   外籍生活津贴</t>
    <phoneticPr fontId="5" type="noConversion"/>
  </si>
  <si>
    <t xml:space="preserve">   - Business Tax for Expense   报销款税额</t>
    <phoneticPr fontId="5" type="noConversion"/>
  </si>
  <si>
    <t xml:space="preserve">   - Others   其他</t>
    <phoneticPr fontId="5" type="noConversion"/>
  </si>
  <si>
    <t>Recurring Service Fee    常规服务费</t>
    <phoneticPr fontId="8" type="noConversion"/>
  </si>
  <si>
    <t>Other Fee 其他费用</t>
    <phoneticPr fontId="2" type="noConversion"/>
  </si>
  <si>
    <t xml:space="preserve">   - Other Service Fee   其他服务费</t>
    <phoneticPr fontId="8" type="noConversion"/>
  </si>
  <si>
    <t xml:space="preserve">   - Other charge on behalf Fee   其他代收代付</t>
    <phoneticPr fontId="8" type="noConversion"/>
  </si>
  <si>
    <t>Deposit   押金</t>
    <phoneticPr fontId="5" type="noConversion"/>
  </si>
  <si>
    <t>Balance   差额</t>
    <phoneticPr fontId="5" type="noConversion"/>
  </si>
  <si>
    <t>Delay Fee 滞纳金</t>
    <phoneticPr fontId="5" type="noConversion"/>
  </si>
  <si>
    <t>Value Added Tax   增值税</t>
    <phoneticPr fontId="5" type="noConversion"/>
  </si>
  <si>
    <r>
      <t>Total</t>
    </r>
    <r>
      <rPr>
        <b/>
        <sz val="10"/>
        <color indexed="9"/>
        <rFont val="宋体"/>
        <family val="3"/>
        <charset val="134"/>
      </rPr>
      <t xml:space="preserve">  </t>
    </r>
    <r>
      <rPr>
        <b/>
        <sz val="10"/>
        <color indexed="9"/>
        <rFont val="宋体"/>
        <family val="3"/>
        <charset val="134"/>
      </rPr>
      <t xml:space="preserve"> 总计</t>
    </r>
    <phoneticPr fontId="16" type="noConversion"/>
  </si>
  <si>
    <t>RMB</t>
  </si>
  <si>
    <r>
      <t>Exchange rate</t>
    </r>
    <r>
      <rPr>
        <b/>
        <sz val="8"/>
        <rFont val="宋体"/>
        <family val="3"/>
        <charset val="134"/>
      </rPr>
      <t xml:space="preserve">  </t>
    </r>
    <r>
      <rPr>
        <b/>
        <sz val="8"/>
        <rFont val="宋体"/>
        <family val="3"/>
        <charset val="134"/>
      </rPr>
      <t xml:space="preserve"> 汇率</t>
    </r>
    <phoneticPr fontId="16" type="noConversion"/>
  </si>
  <si>
    <t>or USD</t>
    <phoneticPr fontId="16" type="noConversion"/>
  </si>
  <si>
    <t>Note 注：</t>
    <phoneticPr fontId="16" type="noConversion"/>
  </si>
  <si>
    <t>Prepared By   制单</t>
    <phoneticPr fontId="5" type="noConversion"/>
  </si>
  <si>
    <r>
      <t>Checked</t>
    </r>
    <r>
      <rPr>
        <sz val="10"/>
        <rFont val="宋体"/>
        <family val="3"/>
        <charset val="134"/>
      </rPr>
      <t xml:space="preserve"> By</t>
    </r>
    <r>
      <rPr>
        <sz val="10"/>
        <rFont val="宋体"/>
        <family val="3"/>
        <charset val="134"/>
      </rPr>
      <t xml:space="preserve">   复核</t>
    </r>
    <phoneticPr fontId="5" type="noConversion"/>
  </si>
  <si>
    <r>
      <t xml:space="preserve">Approved </t>
    </r>
    <r>
      <rPr>
        <sz val="10"/>
        <rFont val="宋体"/>
        <family val="3"/>
        <charset val="134"/>
      </rPr>
      <t xml:space="preserve">By </t>
    </r>
    <r>
      <rPr>
        <sz val="10"/>
        <rFont val="宋体"/>
        <family val="3"/>
        <charset val="134"/>
      </rPr>
      <t xml:space="preserve">  批准</t>
    </r>
    <phoneticPr fontId="5" type="noConversion"/>
  </si>
  <si>
    <t>Siyu</t>
  </si>
  <si>
    <t>Gina</t>
  </si>
  <si>
    <r>
      <t>A</t>
    </r>
    <r>
      <rPr>
        <b/>
        <i/>
        <sz val="10"/>
        <rFont val="宋体"/>
        <family val="3"/>
        <charset val="134"/>
      </rPr>
      <t>nn Rui</t>
    </r>
    <phoneticPr fontId="5" type="noConversion"/>
  </si>
  <si>
    <r>
      <t xml:space="preserve">If payment is made from overseas and Hong Kong/Macao/Taiwan, please make the transfer to the following account. Please DON'T mention any other comments except </t>
    </r>
    <r>
      <rPr>
        <b/>
        <sz val="10"/>
        <color rgb="FFFF0000"/>
        <rFont val="宋体"/>
        <family val="3"/>
        <charset val="134"/>
      </rPr>
      <t>SERVICE FEE</t>
    </r>
    <r>
      <rPr>
        <b/>
        <sz val="10"/>
        <color theme="0"/>
        <rFont val="宋体"/>
        <family val="3"/>
        <charset val="134"/>
      </rPr>
      <t xml:space="preserve"> in bank remark.
如果您是在境外、香港、澳门或者台湾支付的，请汇款至以下账户
</t>
    </r>
    <phoneticPr fontId="5" type="noConversion"/>
  </si>
  <si>
    <t xml:space="preserve">If payment is made from Mainland China in RMB, please make the transfer to the following account
如果您是在中国大陆支付的人民币，请汇款至以下账户
</t>
    <phoneticPr fontId="5" type="noConversion"/>
  </si>
  <si>
    <t xml:space="preserve">Bank Account: 652 369240 838
Beneficiary:  HRONE COMPANY LIMITED
SWIFT BIC:    HSBCHKHHHKH (For areas other than Hong Kong)
Bank:         HSBC Hong Kong
Bank Address: 1 Queen’s Road Central Hong Kong
Bank Code:    004 (For local transactions) </t>
  </si>
  <si>
    <t>Finance Dept., HROne Co., Ltd., Suite 2703, Greentech Tower, 436 HengFeng Road, Shanghai, China, 200070</t>
    <phoneticPr fontId="5" type="noConversion"/>
  </si>
  <si>
    <t>Tel: +86 21 5211 0025   Email: info@HROne.com</t>
    <phoneticPr fontId="7" type="noConversion"/>
  </si>
  <si>
    <r>
      <t>w</t>
    </r>
    <r>
      <rPr>
        <sz val="10"/>
        <rFont val="宋体"/>
        <family val="3"/>
        <charset val="134"/>
      </rPr>
      <t>ww.HROne.com</t>
    </r>
    <phoneticPr fontId="5" type="noConversion"/>
  </si>
  <si>
    <t>联系地址：中国 上海 恒丰路436号 环智国际大厦2703室 上海杰而杰人才服务有限公司 财务部</t>
    <phoneticPr fontId="5" type="noConversion"/>
  </si>
  <si>
    <t>总机：+86 21 5211 0025   电子邮箱：info@HROne.com</t>
    <phoneticPr fontId="7" type="noConversion"/>
  </si>
  <si>
    <t>www.HROne.com</t>
    <phoneticPr fontId="5" type="noConversion"/>
  </si>
  <si>
    <t xml:space="preserve"> </t>
  </si>
  <si>
    <r>
      <t xml:space="preserve">HROne </t>
    </r>
    <r>
      <rPr>
        <b/>
        <sz val="12"/>
        <rFont val="宋体"/>
        <family val="3"/>
        <charset val="134"/>
      </rPr>
      <t>Co., Ltd.</t>
    </r>
    <phoneticPr fontId="5" type="noConversion"/>
  </si>
  <si>
    <t>Other Fee</t>
  </si>
  <si>
    <t>其他服务费</t>
    <phoneticPr fontId="5" type="noConversion"/>
  </si>
  <si>
    <t>RMB</t>
    <phoneticPr fontId="6" type="noConversion"/>
  </si>
  <si>
    <t>Other Service Fee Tax    其他服务费税</t>
  </si>
  <si>
    <t>Other Service Fee    其他服务费</t>
    <phoneticPr fontId="6" type="noConversion"/>
  </si>
  <si>
    <t>报销服务费</t>
  </si>
  <si>
    <t>1笔报销</t>
  </si>
  <si>
    <t>签证&amp;户口</t>
  </si>
  <si>
    <t>外勤服务</t>
  </si>
  <si>
    <t>背景调查</t>
  </si>
  <si>
    <t>其他</t>
  </si>
  <si>
    <t>异地大礼包</t>
  </si>
  <si>
    <t>Other charge on behalf Fee   其他代收代付</t>
    <phoneticPr fontId="8" type="noConversion"/>
  </si>
  <si>
    <t>快递费</t>
  </si>
  <si>
    <t>签证政府费用</t>
  </si>
  <si>
    <t>Ukey更新</t>
  </si>
  <si>
    <t>Payment for XX's social benefit</t>
    <phoneticPr fontId="5" type="noConversion"/>
  </si>
  <si>
    <t>深圳人服报销退费</t>
  </si>
  <si>
    <t>Total 合计</t>
    <phoneticPr fontId="8" type="noConversion"/>
  </si>
  <si>
    <t>Region:</t>
    <phoneticPr fontId="8" type="noConversion"/>
  </si>
  <si>
    <t>Mainland China</t>
    <phoneticPr fontId="8" type="noConversion"/>
  </si>
  <si>
    <t>Payment Month:</t>
    <phoneticPr fontId="8" type="noConversion"/>
  </si>
  <si>
    <t>Currency:</t>
    <phoneticPr fontId="8" type="noConversion"/>
  </si>
  <si>
    <t>RMB</t>
    <phoneticPr fontId="8" type="noConversion"/>
  </si>
  <si>
    <t>Exchange Rate (to USD):</t>
    <phoneticPr fontId="8" type="noConversion"/>
  </si>
  <si>
    <t>No.</t>
    <phoneticPr fontId="8" type="noConversion"/>
  </si>
  <si>
    <t>EE No.</t>
    <phoneticPr fontId="8" type="noConversion"/>
  </si>
  <si>
    <t>Name</t>
    <phoneticPr fontId="8" type="noConversion"/>
  </si>
  <si>
    <t>Total Cost</t>
    <phoneticPr fontId="8" type="noConversion"/>
  </si>
  <si>
    <t>Gross Salary</t>
  </si>
  <si>
    <t>Other Payment To EE</t>
    <phoneticPr fontId="30" type="noConversion"/>
  </si>
  <si>
    <t>Expense Claim</t>
    <phoneticPr fontId="8" type="noConversion"/>
  </si>
  <si>
    <t>Statutory Payment</t>
    <phoneticPr fontId="8" type="noConversion"/>
  </si>
  <si>
    <t>Other Payment Borne By Employer</t>
    <phoneticPr fontId="8" type="noConversion"/>
  </si>
  <si>
    <t>Deposit</t>
    <phoneticPr fontId="8" type="noConversion"/>
  </si>
  <si>
    <t>Service
Fee</t>
    <phoneticPr fontId="8" type="noConversion"/>
  </si>
  <si>
    <t>Business
Tax</t>
    <phoneticPr fontId="8" type="noConversion"/>
  </si>
  <si>
    <t>Remark</t>
    <phoneticPr fontId="8" type="noConversion"/>
  </si>
  <si>
    <t>Subtotal</t>
  </si>
  <si>
    <t>Basic Salary</t>
  </si>
  <si>
    <t>Salary Adjustment</t>
  </si>
  <si>
    <t>Subtotal</t>
    <phoneticPr fontId="30" type="noConversion"/>
  </si>
  <si>
    <t>Foreigner Allowance</t>
    <phoneticPr fontId="30" type="noConversion"/>
  </si>
  <si>
    <t>Bonus(Preferential Tax)</t>
    <phoneticPr fontId="30" type="noConversion"/>
  </si>
  <si>
    <t>Other</t>
    <phoneticPr fontId="30" type="noConversion"/>
  </si>
  <si>
    <t>Subtotal</t>
    <phoneticPr fontId="8" type="noConversion"/>
  </si>
  <si>
    <t>IIT Free Portion</t>
  </si>
  <si>
    <t>IIT Not Free Portion</t>
  </si>
  <si>
    <t>Pension</t>
    <phoneticPr fontId="8" type="noConversion"/>
  </si>
  <si>
    <t>Medical</t>
    <phoneticPr fontId="8" type="noConversion"/>
  </si>
  <si>
    <t>Unemployment</t>
    <phoneticPr fontId="8" type="noConversion"/>
  </si>
  <si>
    <t>Maternity</t>
    <phoneticPr fontId="8" type="noConversion"/>
  </si>
  <si>
    <t>Work-Related-Injury</t>
    <phoneticPr fontId="8" type="noConversion"/>
  </si>
  <si>
    <t>Housing Fund</t>
    <phoneticPr fontId="8" type="noConversion"/>
  </si>
  <si>
    <t>Disability</t>
    <phoneticPr fontId="8" type="noConversion"/>
  </si>
  <si>
    <t>Union Fee</t>
    <phoneticPr fontId="8" type="noConversion"/>
  </si>
  <si>
    <t>Employer Liability</t>
    <phoneticPr fontId="8" type="noConversion"/>
  </si>
  <si>
    <t>Others</t>
    <phoneticPr fontId="8" type="noConversion"/>
  </si>
  <si>
    <t>Commercial
Insurance</t>
    <phoneticPr fontId="8" type="noConversion"/>
  </si>
  <si>
    <t>IIT ER&amp;BIT</t>
  </si>
  <si>
    <t>CIT Free Portion</t>
  </si>
  <si>
    <t>25% CIT Applicable</t>
  </si>
  <si>
    <t>IIT afford by Employer</t>
    <phoneticPr fontId="8" type="noConversion"/>
  </si>
  <si>
    <t>IIT afford by Employee</t>
    <phoneticPr fontId="8" type="noConversion"/>
  </si>
  <si>
    <t>1</t>
    <phoneticPr fontId="8" type="noConversion"/>
  </si>
  <si>
    <t>Sum</t>
    <phoneticPr fontId="8" type="noConversion"/>
  </si>
  <si>
    <t>Sum in USD</t>
    <phoneticPr fontId="8" type="noConversion"/>
  </si>
  <si>
    <t>HROne Payroll Report   工资汇总</t>
    <phoneticPr fontId="20" type="noConversion"/>
  </si>
  <si>
    <t>Duration 发薪月</t>
    <phoneticPr fontId="20" type="noConversion"/>
  </si>
  <si>
    <t>Client 客户</t>
    <phoneticPr fontId="21" type="noConversion"/>
  </si>
  <si>
    <t>No.
序号</t>
    <phoneticPr fontId="20" type="noConversion"/>
  </si>
  <si>
    <t>Department 部门</t>
    <phoneticPr fontId="20" type="noConversion"/>
  </si>
  <si>
    <t>ID No. 工号</t>
    <phoneticPr fontId="20" type="noConversion"/>
  </si>
  <si>
    <t>Name 姓名</t>
    <phoneticPr fontId="20" type="noConversion"/>
  </si>
  <si>
    <t>Net Income
员工实得</t>
    <phoneticPr fontId="20" type="noConversion"/>
  </si>
  <si>
    <t>Expense
报销款</t>
    <phoneticPr fontId="5" type="noConversion"/>
  </si>
  <si>
    <t>Subsistence Allowance for Foreigners
外籍生活津贴</t>
    <phoneticPr fontId="5" type="noConversion"/>
  </si>
  <si>
    <t>Individual Portion 个人部分</t>
    <phoneticPr fontId="21" type="noConversion"/>
  </si>
  <si>
    <t>Employer Portion 雇主部分</t>
    <phoneticPr fontId="21" type="noConversion"/>
  </si>
  <si>
    <t>Total Cost
总成本</t>
    <phoneticPr fontId="21" type="noConversion"/>
  </si>
  <si>
    <t>Remark
备注</t>
    <phoneticPr fontId="21" type="noConversion"/>
  </si>
  <si>
    <t>Pension
养老</t>
    <phoneticPr fontId="21" type="noConversion"/>
  </si>
  <si>
    <t>Medical
医疗</t>
    <phoneticPr fontId="21" type="noConversion"/>
  </si>
  <si>
    <t>Unemployment
失业</t>
    <phoneticPr fontId="21" type="noConversion"/>
  </si>
  <si>
    <t>Housing Fund
公积金</t>
    <phoneticPr fontId="20" type="noConversion"/>
  </si>
  <si>
    <t>Annuity
年金</t>
    <phoneticPr fontId="20" type="noConversion"/>
  </si>
  <si>
    <t>Union Fee
工会费</t>
    <phoneticPr fontId="20" type="noConversion"/>
  </si>
  <si>
    <t>IIT
个税</t>
    <phoneticPr fontId="21" type="noConversion"/>
  </si>
  <si>
    <t>Balance For Charge On Behalf
代缴费用补差</t>
    <phoneticPr fontId="21" type="noConversion"/>
  </si>
  <si>
    <t>Maternity
生育</t>
    <phoneticPr fontId="21" type="noConversion"/>
  </si>
  <si>
    <t>Work-Related-Injury
工伤</t>
    <phoneticPr fontId="21" type="noConversion"/>
  </si>
  <si>
    <t>Disability
残保金</t>
    <phoneticPr fontId="21" type="noConversion"/>
  </si>
  <si>
    <t>Housing Fund
公积金</t>
    <phoneticPr fontId="21" type="noConversion"/>
  </si>
  <si>
    <t>Annuity
年金</t>
    <phoneticPr fontId="21" type="noConversion"/>
  </si>
  <si>
    <t>Union Fee
工会费</t>
    <phoneticPr fontId="21" type="noConversion"/>
  </si>
  <si>
    <t>Commercial Insurance
商业保险</t>
    <phoneticPr fontId="21" type="noConversion"/>
  </si>
  <si>
    <t>Other Benefits
其他福利</t>
    <phoneticPr fontId="21" type="noConversion"/>
  </si>
  <si>
    <t>Service Fee
服务费</t>
    <phoneticPr fontId="21" type="noConversion"/>
  </si>
  <si>
    <t>Business Tax for Expense
报销款税额</t>
    <phoneticPr fontId="21" type="noConversion"/>
  </si>
  <si>
    <t>Deposit
押金</t>
    <phoneticPr fontId="21" type="noConversion"/>
  </si>
  <si>
    <t>Employer Liability Insurance
雇主责任险</t>
    <phoneticPr fontId="21" type="noConversion"/>
  </si>
  <si>
    <t>Others
其他</t>
    <phoneticPr fontId="21" type="noConversion"/>
  </si>
  <si>
    <t>Value Added Tax
增值税</t>
  </si>
  <si>
    <t>1</t>
  </si>
  <si>
    <t>Sum
合计</t>
    <phoneticPr fontId="21" type="noConversion"/>
  </si>
  <si>
    <t>HROne Pay Slip   工资单</t>
    <phoneticPr fontId="20" type="noConversion"/>
  </si>
  <si>
    <t>Employer 雇主</t>
    <phoneticPr fontId="20" type="noConversion"/>
  </si>
  <si>
    <t>No.
序号</t>
    <phoneticPr fontId="5" type="noConversion"/>
  </si>
  <si>
    <t>Department 部门</t>
    <phoneticPr fontId="5" type="noConversion"/>
  </si>
  <si>
    <t>ID No. 工号</t>
    <phoneticPr fontId="5" type="noConversion"/>
  </si>
  <si>
    <t>Name 姓名</t>
    <phoneticPr fontId="5" type="noConversion"/>
  </si>
  <si>
    <t>Plus Item 加项</t>
    <phoneticPr fontId="5" type="noConversion"/>
  </si>
  <si>
    <t>Basis for Social Benefits Calculation
社保基数</t>
    <phoneticPr fontId="5" type="noConversion"/>
  </si>
  <si>
    <t>Basis  for Housing Fund Calculation
公积金基数</t>
    <phoneticPr fontId="5" type="noConversion"/>
  </si>
  <si>
    <t>Minus Item 减项</t>
    <phoneticPr fontId="5" type="noConversion"/>
  </si>
  <si>
    <t>Adjustment after Tax/税后调整</t>
  </si>
  <si>
    <t>IIT
个税</t>
    <phoneticPr fontId="5" type="noConversion"/>
  </si>
  <si>
    <t>Balance For Charge On Behalf
代缴费用补差</t>
    <phoneticPr fontId="5" type="noConversion"/>
  </si>
  <si>
    <t>Net Income
实发</t>
    <phoneticPr fontId="5" type="noConversion"/>
  </si>
  <si>
    <t>Basic Salary
基本工资</t>
    <phoneticPr fontId="5" type="noConversion"/>
  </si>
  <si>
    <t>Normal Bonus
日常奖金</t>
    <phoneticPr fontId="5" type="noConversion"/>
  </si>
  <si>
    <t>Annual Bonus/13th Salary
年终奖/13薪</t>
  </si>
  <si>
    <t>Allowance/Subsidy
津贴/补贴</t>
    <phoneticPr fontId="5" type="noConversion"/>
  </si>
  <si>
    <t>OT Payment
加班费</t>
    <phoneticPr fontId="5" type="noConversion"/>
  </si>
  <si>
    <t>Income Employer Afford Tax
公司负税项</t>
    <phoneticPr fontId="5" type="noConversion"/>
  </si>
  <si>
    <t>Adjustment before Tax/税前调整</t>
  </si>
  <si>
    <t>Stock option incentive/股权激励</t>
  </si>
  <si>
    <t>Compensation离职补偿金/赔偿金</t>
  </si>
  <si>
    <t>Pension
缴养老</t>
    <phoneticPr fontId="5" type="noConversion"/>
  </si>
  <si>
    <t>Medical
缴医疗</t>
    <phoneticPr fontId="5" type="noConversion"/>
  </si>
  <si>
    <t>Unemployment
缴失业</t>
    <phoneticPr fontId="5" type="noConversion"/>
  </si>
  <si>
    <t>Housing Fund
缴公积金</t>
    <phoneticPr fontId="5" type="noConversion"/>
  </si>
  <si>
    <t>Deduction for 1st/last Month' Absence
入离职缺勤扣</t>
    <phoneticPr fontId="5" type="noConversion"/>
  </si>
  <si>
    <t>Deduction for Personal Affair Leave
扣事假</t>
    <phoneticPr fontId="5" type="noConversion"/>
  </si>
  <si>
    <t>Deduction for Absenteeism
扣旷工</t>
    <phoneticPr fontId="5" type="noConversion"/>
  </si>
  <si>
    <t>Deduction for Sick Leave
扣病假</t>
    <phoneticPr fontId="5" type="noConversion"/>
  </si>
  <si>
    <t>Annuity
缴年金</t>
    <phoneticPr fontId="5" type="noConversion"/>
  </si>
  <si>
    <t>Union Fee
工会费</t>
    <phoneticPr fontId="5" type="noConversion"/>
  </si>
  <si>
    <t>Sum
合计</t>
    <phoneticPr fontId="20" type="noConversion"/>
  </si>
  <si>
    <t>客户简称</t>
    <phoneticPr fontId="5" type="noConversion"/>
  </si>
  <si>
    <t>工号</t>
    <phoneticPr fontId="22" type="noConversion"/>
  </si>
  <si>
    <t>姓名</t>
    <phoneticPr fontId="22" type="noConversion"/>
  </si>
  <si>
    <t>英文名</t>
    <phoneticPr fontId="5" type="noConversion"/>
  </si>
  <si>
    <t>性别</t>
  </si>
  <si>
    <t>客户类型</t>
  </si>
  <si>
    <t>工作地</t>
    <phoneticPr fontId="5" type="noConversion"/>
  </si>
  <si>
    <t>社保缴纳地</t>
    <phoneticPr fontId="22" type="noConversion"/>
  </si>
  <si>
    <t>公积金缴纳地</t>
    <phoneticPr fontId="22" type="noConversion"/>
  </si>
  <si>
    <t>用工性质</t>
  </si>
  <si>
    <t>服务起始日</t>
    <phoneticPr fontId="5" type="noConversion"/>
  </si>
  <si>
    <t>合同所属地</t>
    <phoneticPr fontId="5" type="noConversion"/>
  </si>
  <si>
    <t>合同起始日</t>
    <phoneticPr fontId="22" type="noConversion"/>
  </si>
  <si>
    <t>合同终止日</t>
    <phoneticPr fontId="5" type="noConversion"/>
  </si>
  <si>
    <t>离职日期</t>
    <phoneticPr fontId="22" type="noConversion"/>
  </si>
  <si>
    <t>税前/税后</t>
    <phoneticPr fontId="22" type="noConversion"/>
  </si>
  <si>
    <t>基本工资</t>
    <phoneticPr fontId="22" type="noConversion"/>
  </si>
  <si>
    <t>日薪</t>
    <phoneticPr fontId="5" type="noConversion"/>
  </si>
  <si>
    <t>浮动工资</t>
    <phoneticPr fontId="22" type="noConversion"/>
  </si>
  <si>
    <t>交通津贴</t>
    <phoneticPr fontId="22" type="noConversion"/>
  </si>
  <si>
    <t>通讯津贴</t>
    <phoneticPr fontId="22" type="noConversion"/>
  </si>
  <si>
    <t>其他固定津贴</t>
    <phoneticPr fontId="22" type="noConversion"/>
  </si>
  <si>
    <t>中班津贴基数</t>
    <phoneticPr fontId="22" type="noConversion"/>
  </si>
  <si>
    <t>夜班津贴基数</t>
    <phoneticPr fontId="22" type="noConversion"/>
  </si>
  <si>
    <t>高温津贴基数</t>
    <phoneticPr fontId="5" type="noConversion"/>
  </si>
  <si>
    <t>高温作业保健食品费基数</t>
    <phoneticPr fontId="5" type="noConversion"/>
  </si>
  <si>
    <t>有毒有害保健食品费基数</t>
    <phoneticPr fontId="5" type="noConversion"/>
  </si>
  <si>
    <t>独生子女出生日期</t>
    <phoneticPr fontId="5" type="noConversion"/>
  </si>
  <si>
    <t>独生子女津贴基数</t>
    <phoneticPr fontId="5" type="noConversion"/>
  </si>
  <si>
    <t>固定补</t>
    <phoneticPr fontId="5" type="noConversion"/>
  </si>
  <si>
    <t>固定扣</t>
    <phoneticPr fontId="22" type="noConversion"/>
  </si>
  <si>
    <t>养老基数</t>
    <phoneticPr fontId="22" type="noConversion"/>
  </si>
  <si>
    <t>医疗基数</t>
    <phoneticPr fontId="5" type="noConversion"/>
  </si>
  <si>
    <t>失业基数</t>
    <phoneticPr fontId="5" type="noConversion"/>
  </si>
  <si>
    <t>生育基数</t>
    <phoneticPr fontId="22" type="noConversion"/>
  </si>
  <si>
    <t>工伤基数</t>
    <phoneticPr fontId="5" type="noConversion"/>
  </si>
  <si>
    <t>残保金基数</t>
    <phoneticPr fontId="5" type="noConversion"/>
  </si>
  <si>
    <t>公积金基数</t>
    <phoneticPr fontId="22" type="noConversion"/>
  </si>
  <si>
    <t>补充公积金基数</t>
    <phoneticPr fontId="22" type="noConversion"/>
  </si>
  <si>
    <t>个人养老%</t>
    <phoneticPr fontId="22" type="noConversion"/>
  </si>
  <si>
    <t>个人医疗%</t>
    <phoneticPr fontId="22" type="noConversion"/>
  </si>
  <si>
    <t>个人失业%</t>
    <phoneticPr fontId="22" type="noConversion"/>
  </si>
  <si>
    <t>个人公积金%</t>
    <phoneticPr fontId="22" type="noConversion"/>
  </si>
  <si>
    <t>个人补充公积金%（免税）</t>
    <phoneticPr fontId="22" type="noConversion"/>
  </si>
  <si>
    <t>个人补充公积金%（不免税）</t>
    <phoneticPr fontId="22" type="noConversion"/>
  </si>
  <si>
    <t>个人医疗固定数</t>
    <phoneticPr fontId="22" type="noConversion"/>
  </si>
  <si>
    <t>公司养老%</t>
    <phoneticPr fontId="21" type="noConversion"/>
  </si>
  <si>
    <t>公司医疗%</t>
    <phoneticPr fontId="21" type="noConversion"/>
  </si>
  <si>
    <t>公司失业%</t>
    <phoneticPr fontId="21" type="noConversion"/>
  </si>
  <si>
    <t>公司生育%</t>
    <phoneticPr fontId="21" type="noConversion"/>
  </si>
  <si>
    <t>公司工伤%</t>
    <phoneticPr fontId="21" type="noConversion"/>
  </si>
  <si>
    <t>公司残保金%</t>
    <phoneticPr fontId="21" type="noConversion"/>
  </si>
  <si>
    <t>公司公积金%</t>
    <phoneticPr fontId="21" type="noConversion"/>
  </si>
  <si>
    <t>公司补充公积金%</t>
    <phoneticPr fontId="21" type="noConversion"/>
  </si>
  <si>
    <t>公司医疗固定数</t>
    <phoneticPr fontId="21" type="noConversion"/>
  </si>
  <si>
    <t>公司工伤固定数</t>
    <phoneticPr fontId="21" type="noConversion"/>
  </si>
  <si>
    <t>公司残保固定数</t>
    <phoneticPr fontId="21" type="noConversion"/>
  </si>
  <si>
    <t>年金%</t>
    <phoneticPr fontId="5" type="noConversion"/>
  </si>
  <si>
    <t>工会费</t>
    <phoneticPr fontId="22" type="noConversion"/>
  </si>
  <si>
    <t>商业保险计税不发</t>
    <phoneticPr fontId="22" type="noConversion"/>
  </si>
  <si>
    <t>公司负税1</t>
    <phoneticPr fontId="5" type="noConversion"/>
  </si>
  <si>
    <t>外籍生活津贴（免税）</t>
    <phoneticPr fontId="22" type="noConversion"/>
  </si>
  <si>
    <t>税后扣1</t>
    <phoneticPr fontId="5" type="noConversion"/>
  </si>
  <si>
    <t>免税收入1</t>
    <phoneticPr fontId="22" type="noConversion"/>
  </si>
  <si>
    <t>证件类型</t>
  </si>
  <si>
    <t>证件号码</t>
    <phoneticPr fontId="22" type="noConversion"/>
  </si>
  <si>
    <t>生日</t>
    <phoneticPr fontId="5" type="noConversion"/>
  </si>
  <si>
    <t>公积金账号</t>
    <phoneticPr fontId="5" type="noConversion"/>
  </si>
  <si>
    <t>银行户名</t>
    <phoneticPr fontId="22" type="noConversion"/>
  </si>
  <si>
    <t>银行账号</t>
    <phoneticPr fontId="22" type="noConversion"/>
  </si>
  <si>
    <t>银行</t>
    <phoneticPr fontId="22" type="noConversion"/>
  </si>
  <si>
    <t>部门</t>
    <phoneticPr fontId="22" type="noConversion"/>
  </si>
  <si>
    <t>岗位</t>
    <phoneticPr fontId="22" type="noConversion"/>
  </si>
  <si>
    <t>国籍/民族</t>
    <phoneticPr fontId="22" type="noConversion"/>
  </si>
  <si>
    <t>国籍代码</t>
  </si>
  <si>
    <t>工资单</t>
  </si>
  <si>
    <t>电话/手机</t>
  </si>
  <si>
    <t>邮箱</t>
    <phoneticPr fontId="5" type="noConversion"/>
  </si>
  <si>
    <t>账单邮寄地址</t>
    <phoneticPr fontId="22" type="noConversion"/>
  </si>
  <si>
    <t>邮编</t>
    <phoneticPr fontId="5" type="noConversion"/>
  </si>
  <si>
    <t>户口性质</t>
    <phoneticPr fontId="5" type="noConversion"/>
  </si>
  <si>
    <t>户籍地址</t>
    <phoneticPr fontId="5" type="noConversion"/>
  </si>
  <si>
    <t>商业保险总费用</t>
    <phoneticPr fontId="5" type="noConversion"/>
  </si>
  <si>
    <t>商业险级别</t>
    <phoneticPr fontId="5" type="noConversion"/>
  </si>
  <si>
    <t>配偶/子女险</t>
    <phoneticPr fontId="5" type="noConversion"/>
  </si>
  <si>
    <t>绿色津贴</t>
    <phoneticPr fontId="5" type="noConversion"/>
  </si>
  <si>
    <t>体检</t>
    <phoneticPr fontId="5" type="noConversion"/>
  </si>
  <si>
    <t>档案管理费</t>
    <phoneticPr fontId="5" type="noConversion"/>
  </si>
  <si>
    <t>13薪/年终奖信息</t>
    <phoneticPr fontId="5" type="noConversion"/>
  </si>
  <si>
    <t>13薪月份</t>
    <phoneticPr fontId="5" type="noConversion"/>
  </si>
  <si>
    <t>备注1</t>
    <phoneticPr fontId="5" type="noConversion"/>
  </si>
  <si>
    <t>个税缴纳地</t>
    <phoneticPr fontId="5" type="noConversion"/>
  </si>
  <si>
    <t>累计子女教育</t>
  </si>
  <si>
    <t>累计继续教育</t>
  </si>
  <si>
    <t>累计住房贷款利息</t>
  </si>
  <si>
    <t>累计住房租金</t>
  </si>
  <si>
    <t>累计赡养老人</t>
  </si>
  <si>
    <t>累计婴幼儿照护费用</t>
  </si>
  <si>
    <t>税延养老保险</t>
  </si>
  <si>
    <t>其他免税扣除（捐款）</t>
    <phoneticPr fontId="5" type="noConversion"/>
  </si>
  <si>
    <t>日薪出勤天数</t>
    <phoneticPr fontId="5" type="noConversion"/>
  </si>
  <si>
    <t>月奖</t>
    <phoneticPr fontId="22" type="noConversion"/>
  </si>
  <si>
    <t>季奖</t>
    <phoneticPr fontId="22" type="noConversion"/>
  </si>
  <si>
    <t>其他奖金</t>
  </si>
  <si>
    <t>加班小时150</t>
    <phoneticPr fontId="22" type="noConversion"/>
  </si>
  <si>
    <t>加班小时200</t>
    <phoneticPr fontId="5" type="noConversion"/>
  </si>
  <si>
    <t>加班小时300</t>
    <phoneticPr fontId="5" type="noConversion"/>
  </si>
  <si>
    <t>当月全勤日</t>
    <phoneticPr fontId="5" type="noConversion"/>
  </si>
  <si>
    <t>入离职缺勤天数</t>
    <phoneticPr fontId="22" type="noConversion"/>
  </si>
  <si>
    <t>事假天数</t>
    <phoneticPr fontId="22" type="noConversion"/>
  </si>
  <si>
    <t>旷工天数</t>
    <phoneticPr fontId="22" type="noConversion"/>
  </si>
  <si>
    <t>病假天数</t>
    <phoneticPr fontId="22" type="noConversion"/>
  </si>
  <si>
    <t>扣病假工资</t>
    <phoneticPr fontId="5" type="noConversion"/>
  </si>
  <si>
    <t>交通费</t>
    <phoneticPr fontId="22" type="noConversion"/>
  </si>
  <si>
    <t>通讯费</t>
    <phoneticPr fontId="22" type="noConversion"/>
  </si>
  <si>
    <t>中班天数</t>
    <phoneticPr fontId="22" type="noConversion"/>
  </si>
  <si>
    <t>夜班天数</t>
    <phoneticPr fontId="22" type="noConversion"/>
  </si>
  <si>
    <t>高温天数</t>
    <phoneticPr fontId="22" type="noConversion"/>
  </si>
  <si>
    <t>一次性高温费</t>
    <phoneticPr fontId="5" type="noConversion"/>
  </si>
  <si>
    <t>高温作业天数</t>
    <phoneticPr fontId="22" type="noConversion"/>
  </si>
  <si>
    <t>有毒有害作业天数</t>
    <phoneticPr fontId="22" type="noConversion"/>
  </si>
  <si>
    <t>补发</t>
    <phoneticPr fontId="22" type="noConversion"/>
  </si>
  <si>
    <t>补扣</t>
    <phoneticPr fontId="22" type="noConversion"/>
  </si>
  <si>
    <t>税前调整</t>
  </si>
  <si>
    <t>养老补缴</t>
    <phoneticPr fontId="22" type="noConversion"/>
  </si>
  <si>
    <t>医疗补缴</t>
    <phoneticPr fontId="5" type="noConversion"/>
  </si>
  <si>
    <t>失业补缴</t>
    <phoneticPr fontId="5" type="noConversion"/>
  </si>
  <si>
    <t>公积金补缴</t>
    <phoneticPr fontId="22" type="noConversion"/>
  </si>
  <si>
    <t>免税收入2</t>
    <phoneticPr fontId="22" type="noConversion"/>
  </si>
  <si>
    <t>计税不发2</t>
    <phoneticPr fontId="22" type="noConversion"/>
  </si>
  <si>
    <t>公司负税2</t>
    <phoneticPr fontId="5" type="noConversion"/>
  </si>
  <si>
    <t>报销款</t>
    <phoneticPr fontId="22" type="noConversion"/>
  </si>
  <si>
    <t>报销款25%</t>
    <phoneticPr fontId="22" type="noConversion"/>
  </si>
  <si>
    <t>税后补</t>
  </si>
  <si>
    <t>税后扣2</t>
    <phoneticPr fontId="22" type="noConversion"/>
  </si>
  <si>
    <t>个税调整</t>
    <phoneticPr fontId="22" type="noConversion"/>
  </si>
  <si>
    <t>13薪/年终奖</t>
  </si>
  <si>
    <t>离职补偿金/赔偿金</t>
  </si>
  <si>
    <t>离职补偿金/赔偿金免税额</t>
  </si>
  <si>
    <t>补偿计算年限</t>
  </si>
  <si>
    <t>股权激励</t>
  </si>
  <si>
    <t>备注2</t>
    <phoneticPr fontId="22" type="noConversion"/>
  </si>
  <si>
    <t>公司社保补缴</t>
    <phoneticPr fontId="5" type="noConversion"/>
  </si>
  <si>
    <t>公司公积金补缴</t>
    <phoneticPr fontId="5" type="noConversion"/>
  </si>
  <si>
    <t>残保金补缴</t>
    <phoneticPr fontId="5" type="noConversion"/>
  </si>
  <si>
    <t>发薪所属</t>
  </si>
  <si>
    <t>开户行所在地</t>
  </si>
  <si>
    <t>是否代缴社保</t>
  </si>
  <si>
    <t>是否代缴公积金</t>
  </si>
  <si>
    <t>是否代缴个税</t>
    <phoneticPr fontId="5" type="noConversion"/>
  </si>
  <si>
    <t>客户编号</t>
  </si>
  <si>
    <t>NNRoad-Hermetic Solutions</t>
    <phoneticPr fontId="5" type="noConversion"/>
  </si>
  <si>
    <t>CUS1525-0002</t>
  </si>
  <si>
    <t>杨明华</t>
  </si>
  <si>
    <t>Minghua Yang</t>
  </si>
  <si>
    <t>Male</t>
  </si>
  <si>
    <t>Dispatching</t>
  </si>
  <si>
    <t>深圳</t>
  </si>
  <si>
    <t>2019-12-01</t>
  </si>
  <si>
    <t>2023-10-01</t>
  </si>
  <si>
    <t>2025-09-30</t>
  </si>
  <si>
    <t>税前</t>
  </si>
  <si>
    <t>340403197908151230</t>
  </si>
  <si>
    <t>6227007200020223600</t>
  </si>
  <si>
    <t>中国建设银行股份有限公司深圳分行福田支行</t>
  </si>
  <si>
    <t>中国</t>
  </si>
  <si>
    <t>13510035528</t>
  </si>
  <si>
    <t>minghua.yang@139.com</t>
  </si>
  <si>
    <t>深圳市龙华区龙华大道世纪春城四期5#楼402</t>
  </si>
  <si>
    <t>Urban</t>
  </si>
  <si>
    <t>深圳人服</t>
  </si>
  <si>
    <t>Y</t>
  </si>
  <si>
    <t>CUS1525</t>
  </si>
  <si>
    <t>工号</t>
  </si>
  <si>
    <t>姓名</t>
  </si>
  <si>
    <t>证件号码</t>
  </si>
  <si>
    <t>所得期间起</t>
  </si>
  <si>
    <t>所得期间止</t>
  </si>
  <si>
    <t>本期收入</t>
  </si>
  <si>
    <t>本期免税收入</t>
  </si>
  <si>
    <t>基本养老保险费</t>
  </si>
  <si>
    <t>基本医疗保险费</t>
  </si>
  <si>
    <t>失业保险费</t>
  </si>
  <si>
    <t>住房公积金</t>
  </si>
  <si>
    <t>企业(职业)年金</t>
  </si>
  <si>
    <t>商业健康保险</t>
  </si>
  <si>
    <t>准予扣除的捐赠额</t>
  </si>
  <si>
    <t>税前扣除项目合计</t>
  </si>
  <si>
    <t>减免税额</t>
  </si>
  <si>
    <t>减除费用标准</t>
  </si>
  <si>
    <t>已缴税额</t>
  </si>
  <si>
    <t>备注</t>
  </si>
  <si>
    <t>加班工资150</t>
    <phoneticPr fontId="5" type="noConversion"/>
  </si>
  <si>
    <t>加班工资200</t>
    <phoneticPr fontId="5" type="noConversion"/>
  </si>
  <si>
    <t>加班工资300</t>
    <phoneticPr fontId="5" type="noConversion"/>
  </si>
  <si>
    <t>入离职缺勤扣</t>
    <phoneticPr fontId="22" type="noConversion"/>
  </si>
  <si>
    <t>扣事假</t>
    <phoneticPr fontId="22" type="noConversion"/>
  </si>
  <si>
    <t>扣旷工</t>
    <phoneticPr fontId="22" type="noConversion"/>
  </si>
  <si>
    <t>扣病假</t>
    <phoneticPr fontId="22" type="noConversion"/>
  </si>
  <si>
    <t>其他津贴</t>
    <phoneticPr fontId="22" type="noConversion"/>
  </si>
  <si>
    <t>中班费</t>
    <phoneticPr fontId="22" type="noConversion"/>
  </si>
  <si>
    <t>夜班费</t>
    <phoneticPr fontId="22" type="noConversion"/>
  </si>
  <si>
    <t>高温费</t>
    <phoneticPr fontId="22" type="noConversion"/>
  </si>
  <si>
    <t>高温作业费</t>
    <phoneticPr fontId="22" type="noConversion"/>
  </si>
  <si>
    <t>有毒有害作业费</t>
    <phoneticPr fontId="22" type="noConversion"/>
  </si>
  <si>
    <t>缴养老</t>
    <phoneticPr fontId="22" type="noConversion"/>
  </si>
  <si>
    <t>缴医疗</t>
    <phoneticPr fontId="22" type="noConversion"/>
  </si>
  <si>
    <t>缴失业</t>
    <phoneticPr fontId="22" type="noConversion"/>
  </si>
  <si>
    <t>缴公积金</t>
    <phoneticPr fontId="5" type="noConversion"/>
  </si>
  <si>
    <t>缴补充公积金（免税）</t>
    <phoneticPr fontId="22" type="noConversion"/>
  </si>
  <si>
    <t>社保调整</t>
    <phoneticPr fontId="22" type="noConversion"/>
  </si>
  <si>
    <t>公积金调整</t>
    <phoneticPr fontId="5" type="noConversion"/>
  </si>
  <si>
    <t>年金</t>
    <phoneticPr fontId="5" type="noConversion"/>
  </si>
  <si>
    <t>计税不发</t>
    <phoneticPr fontId="5" type="noConversion"/>
  </si>
  <si>
    <t>当月税前收入额</t>
  </si>
  <si>
    <t>当月基本扣除</t>
    <phoneticPr fontId="5" type="noConversion"/>
  </si>
  <si>
    <t>累计税前收入-员工</t>
  </si>
  <si>
    <t>累计个人社保公积金</t>
    <phoneticPr fontId="5" type="noConversion"/>
  </si>
  <si>
    <t>累计基本扣除</t>
    <phoneticPr fontId="5" type="noConversion"/>
  </si>
  <si>
    <t>累计其他税前扣除</t>
    <phoneticPr fontId="5" type="noConversion"/>
  </si>
  <si>
    <t>累计免税扣除合计(不含社保公积金）</t>
    <phoneticPr fontId="5" type="noConversion"/>
  </si>
  <si>
    <t>累计应税总额</t>
    <phoneticPr fontId="22" type="noConversion"/>
  </si>
  <si>
    <t>累计个税（个人）</t>
    <phoneticPr fontId="5" type="noConversion"/>
  </si>
  <si>
    <t>当月个税（个人）</t>
    <phoneticPr fontId="5" type="noConversion"/>
  </si>
  <si>
    <t>公司负税项</t>
    <phoneticPr fontId="5" type="noConversion"/>
  </si>
  <si>
    <t>当月公司负税合计</t>
    <phoneticPr fontId="5" type="noConversion"/>
  </si>
  <si>
    <t>累计税后计税收入</t>
    <phoneticPr fontId="5" type="noConversion"/>
  </si>
  <si>
    <t>累计税前收入</t>
    <phoneticPr fontId="5" type="noConversion"/>
  </si>
  <si>
    <t>导算当月应发工资</t>
    <phoneticPr fontId="5" type="noConversion"/>
  </si>
  <si>
    <t>累计个税（公司+个人）</t>
    <phoneticPr fontId="5" type="noConversion"/>
  </si>
  <si>
    <t>当月个税（公司）</t>
    <phoneticPr fontId="22" type="noConversion"/>
  </si>
  <si>
    <t>独生子女费</t>
    <phoneticPr fontId="22" type="noConversion"/>
  </si>
  <si>
    <t>缴补充公积金（不免税）</t>
    <phoneticPr fontId="22" type="noConversion"/>
  </si>
  <si>
    <t>外籍生活津贴</t>
    <phoneticPr fontId="5" type="noConversion"/>
  </si>
  <si>
    <t>税后补</t>
    <phoneticPr fontId="22" type="noConversion"/>
  </si>
  <si>
    <t>税后扣</t>
    <phoneticPr fontId="5" type="noConversion"/>
  </si>
  <si>
    <t>13薪/年终奖税</t>
  </si>
  <si>
    <t>离职补偿金税/赔偿金税</t>
  </si>
  <si>
    <t>股权激励税</t>
  </si>
  <si>
    <t>应发</t>
    <phoneticPr fontId="22" type="noConversion"/>
  </si>
  <si>
    <t>应扣</t>
    <phoneticPr fontId="22" type="noConversion"/>
  </si>
  <si>
    <t>实发</t>
    <phoneticPr fontId="22" type="noConversion"/>
  </si>
  <si>
    <t>公司养老</t>
    <phoneticPr fontId="5" type="noConversion"/>
  </si>
  <si>
    <t xml:space="preserve">公司医疗 </t>
    <phoneticPr fontId="5" type="noConversion"/>
  </si>
  <si>
    <t>公司失业</t>
    <phoneticPr fontId="5" type="noConversion"/>
  </si>
  <si>
    <t>生育</t>
    <phoneticPr fontId="5" type="noConversion"/>
  </si>
  <si>
    <t>工伤</t>
    <phoneticPr fontId="5" type="noConversion"/>
  </si>
  <si>
    <t>残保金</t>
    <phoneticPr fontId="5" type="noConversion"/>
  </si>
  <si>
    <t>公积金</t>
    <phoneticPr fontId="5" type="noConversion"/>
  </si>
  <si>
    <t>补充公积金（免税）</t>
    <phoneticPr fontId="5" type="noConversion"/>
  </si>
  <si>
    <t>累计已扣工资税</t>
    <phoneticPr fontId="5" type="noConversion"/>
  </si>
  <si>
    <t>工会费</t>
  </si>
  <si>
    <t>雇主责任险</t>
  </si>
  <si>
    <t>押金</t>
  </si>
  <si>
    <t>服务费</t>
  </si>
  <si>
    <t>增值税</t>
  </si>
  <si>
    <t>基本工资</t>
  </si>
  <si>
    <t>浮动工资</t>
  </si>
  <si>
    <t>月奖</t>
  </si>
  <si>
    <t>季奖</t>
  </si>
  <si>
    <t>加班工资150</t>
  </si>
  <si>
    <t>加班工资200</t>
  </si>
  <si>
    <t>加班工资300</t>
  </si>
  <si>
    <t>入离职缺勤扣</t>
  </si>
  <si>
    <t>扣事假</t>
  </si>
  <si>
    <t>扣旷工</t>
  </si>
  <si>
    <t>扣病假</t>
  </si>
  <si>
    <t>交通费</t>
  </si>
  <si>
    <t>通讯费</t>
  </si>
  <si>
    <t>其他津贴</t>
  </si>
  <si>
    <t>中班费</t>
  </si>
  <si>
    <t>夜班费</t>
  </si>
  <si>
    <t>高温费</t>
  </si>
  <si>
    <t>高温作业费</t>
  </si>
  <si>
    <t>有毒有害作业费</t>
  </si>
  <si>
    <t>补发</t>
  </si>
  <si>
    <t>补扣</t>
  </si>
  <si>
    <t>缴养老</t>
  </si>
  <si>
    <t>缴医疗</t>
  </si>
  <si>
    <t>缴失业</t>
  </si>
  <si>
    <t>缴公积金</t>
  </si>
  <si>
    <t>缴补充公积金（免税）</t>
  </si>
  <si>
    <t>社保调整</t>
  </si>
  <si>
    <t>公积金调整</t>
  </si>
  <si>
    <t>年金</t>
  </si>
  <si>
    <t>计税不发</t>
  </si>
  <si>
    <t>当月基本扣除</t>
  </si>
  <si>
    <t>累计个人社保公积金</t>
  </si>
  <si>
    <t>累计基本扣除</t>
  </si>
  <si>
    <t>累计其他税前扣除</t>
  </si>
  <si>
    <t>累计免税扣除合计(不含社保公积金）</t>
  </si>
  <si>
    <t>累计应税总额</t>
  </si>
  <si>
    <t>累计个税（个人）</t>
  </si>
  <si>
    <t>当月个税（个人）</t>
  </si>
  <si>
    <t>公司负税项</t>
  </si>
  <si>
    <t>当月公司负税合计</t>
  </si>
  <si>
    <t>累计税后计税收入</t>
  </si>
  <si>
    <t>累计税前收入</t>
  </si>
  <si>
    <t>导算当月应发工资</t>
  </si>
  <si>
    <t>累计个税（公司+个人）</t>
  </si>
  <si>
    <t>当月个税（公司）</t>
  </si>
  <si>
    <t>独生子女费</t>
  </si>
  <si>
    <t>缴补充公积金（不免税）</t>
  </si>
  <si>
    <t>报销款</t>
  </si>
  <si>
    <t>报销款25%</t>
  </si>
  <si>
    <t>外籍生活津贴</t>
  </si>
  <si>
    <t>税后扣</t>
  </si>
  <si>
    <t>应发</t>
  </si>
  <si>
    <t>应扣</t>
  </si>
  <si>
    <t>实发</t>
  </si>
  <si>
    <t>公司养老</t>
  </si>
  <si>
    <t xml:space="preserve">公司医疗 </t>
  </si>
  <si>
    <t>公司失业</t>
  </si>
  <si>
    <t>生育</t>
  </si>
  <si>
    <t>工伤</t>
  </si>
  <si>
    <t>残保金</t>
  </si>
  <si>
    <t>公积金</t>
  </si>
  <si>
    <t>补充公积金（免税）</t>
  </si>
  <si>
    <t>累计已扣工资税</t>
  </si>
  <si>
    <t>工号</t>
    <phoneticPr fontId="28" type="noConversion"/>
  </si>
  <si>
    <t>客户简称</t>
    <phoneticPr fontId="28" type="noConversion"/>
  </si>
  <si>
    <t>姓名</t>
    <phoneticPr fontId="28" type="noConversion"/>
  </si>
  <si>
    <t>证照类型</t>
    <phoneticPr fontId="28" type="noConversion"/>
  </si>
  <si>
    <t>证照号码</t>
    <phoneticPr fontId="28" type="noConversion"/>
  </si>
  <si>
    <t>*本期收入</t>
  </si>
  <si>
    <t>本期免税收入</t>
    <phoneticPr fontId="28" type="noConversion"/>
  </si>
  <si>
    <t>基本养老保险费</t>
    <phoneticPr fontId="28" type="noConversion"/>
  </si>
  <si>
    <t>基本医疗保险费</t>
    <phoneticPr fontId="28" type="noConversion"/>
  </si>
  <si>
    <t>失业保险费</t>
    <phoneticPr fontId="28" type="noConversion"/>
  </si>
  <si>
    <t>住房公积金</t>
    <phoneticPr fontId="28" type="noConversion"/>
  </si>
  <si>
    <t>企业(职业)年金</t>
    <phoneticPr fontId="5" type="noConversion"/>
  </si>
  <si>
    <t>商业健康保险</t>
    <phoneticPr fontId="5" type="noConversion"/>
  </si>
  <si>
    <t>税延养老保险</t>
    <phoneticPr fontId="5" type="noConversion"/>
  </si>
  <si>
    <t>其它</t>
    <phoneticPr fontId="28" type="noConversion"/>
  </si>
  <si>
    <t>准予扣除的捐赠额</t>
    <phoneticPr fontId="28" type="noConversion"/>
  </si>
  <si>
    <t>减免税额</t>
    <phoneticPr fontId="28" type="noConversion"/>
  </si>
  <si>
    <t>备注</t>
    <phoneticPr fontId="28" type="noConversion"/>
  </si>
  <si>
    <t>应缴税款</t>
    <phoneticPr fontId="28" type="noConversion"/>
  </si>
  <si>
    <t>实缴税额</t>
    <phoneticPr fontId="28" type="noConversion"/>
  </si>
  <si>
    <t>年终奖个税</t>
    <phoneticPr fontId="28" type="noConversion"/>
  </si>
  <si>
    <t>客户简称</t>
  </si>
  <si>
    <t>*证照类型</t>
  </si>
  <si>
    <t>*证照号码</t>
  </si>
  <si>
    <t>*全年一次性奖金额</t>
  </si>
  <si>
    <t>免税收入</t>
  </si>
  <si>
    <t>已扣缴税额</t>
  </si>
  <si>
    <t>年终奖个税</t>
  </si>
  <si>
    <t>个税缴纳地</t>
  </si>
  <si>
    <t>*离职补偿金金额</t>
  </si>
  <si>
    <t>离职补偿金税</t>
  </si>
  <si>
    <t>*股权激励金额</t>
  </si>
  <si>
    <t>股权激励个税</t>
  </si>
  <si>
    <t>开户地</t>
  </si>
  <si>
    <t>报销款</t>
    <phoneticPr fontId="28" type="noConversion"/>
  </si>
  <si>
    <r>
      <t xml:space="preserve">S-Payslip </t>
    </r>
    <r>
      <rPr>
        <b/>
        <sz val="10"/>
        <color theme="1"/>
        <rFont val="宋体"/>
        <family val="3"/>
        <charset val="134"/>
      </rPr>
      <t>公式说明</t>
    </r>
    <phoneticPr fontId="5" type="noConversion"/>
  </si>
  <si>
    <t>Other
其他</t>
    <phoneticPr fontId="5" type="noConversion"/>
  </si>
  <si>
    <t>Expenses
报销款</t>
  </si>
  <si>
    <t xml:space="preserve"> Bonus
日常奖金</t>
  </si>
  <si>
    <t>Annual Bonus/13th Salary
年终奖/13薪</t>
    <phoneticPr fontId="5" type="noConversion"/>
  </si>
  <si>
    <t>Deduction for Personal  Leave
扣事假</t>
  </si>
  <si>
    <t/>
  </si>
  <si>
    <t>0001</t>
    <phoneticPr fontId="5" type="noConversion"/>
  </si>
  <si>
    <t>AAA</t>
    <phoneticPr fontId="5" type="noConversion"/>
  </si>
  <si>
    <t>E</t>
    <phoneticPr fontId="5" type="noConversion"/>
  </si>
  <si>
    <t>F</t>
    <phoneticPr fontId="5" type="noConversion"/>
  </si>
  <si>
    <t>G</t>
    <phoneticPr fontId="5" type="noConversion"/>
  </si>
  <si>
    <t>H</t>
    <phoneticPr fontId="5" type="noConversion"/>
  </si>
  <si>
    <t>I</t>
    <phoneticPr fontId="5" type="noConversion"/>
  </si>
  <si>
    <t>J</t>
    <phoneticPr fontId="5" type="noConversion"/>
  </si>
  <si>
    <t>K</t>
    <phoneticPr fontId="5" type="noConversion"/>
  </si>
  <si>
    <t>L</t>
    <phoneticPr fontId="5" type="noConversion"/>
  </si>
  <si>
    <t>M</t>
    <phoneticPr fontId="5" type="noConversion"/>
  </si>
  <si>
    <t>N</t>
    <phoneticPr fontId="5" type="noConversion"/>
  </si>
  <si>
    <t>O</t>
    <phoneticPr fontId="5" type="noConversion"/>
  </si>
  <si>
    <t>P</t>
    <phoneticPr fontId="5" type="noConversion"/>
  </si>
  <si>
    <t>Q</t>
    <phoneticPr fontId="5" type="noConversion"/>
  </si>
  <si>
    <t>R</t>
    <phoneticPr fontId="5" type="noConversion"/>
  </si>
  <si>
    <t>S</t>
    <phoneticPr fontId="5" type="noConversion"/>
  </si>
  <si>
    <t>T</t>
    <phoneticPr fontId="5" type="noConversion"/>
  </si>
  <si>
    <t>U</t>
    <phoneticPr fontId="5" type="noConversion"/>
  </si>
  <si>
    <t>V</t>
    <phoneticPr fontId="5" type="noConversion"/>
  </si>
  <si>
    <t>W</t>
    <phoneticPr fontId="5" type="noConversion"/>
  </si>
  <si>
    <t>X</t>
    <phoneticPr fontId="5" type="noConversion"/>
  </si>
  <si>
    <t>Y</t>
    <phoneticPr fontId="5" type="noConversion"/>
  </si>
  <si>
    <t>Z</t>
    <phoneticPr fontId="5" type="noConversion"/>
  </si>
  <si>
    <t>AA</t>
    <phoneticPr fontId="5" type="noConversion"/>
  </si>
  <si>
    <t>AB</t>
    <phoneticPr fontId="5" type="noConversion"/>
  </si>
  <si>
    <r>
      <t>E</t>
    </r>
    <r>
      <rPr>
        <sz val="10"/>
        <color theme="1"/>
        <rFont val="宋体"/>
        <family val="3"/>
        <charset val="134"/>
      </rPr>
      <t>（工资）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基本工资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日薪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日薪出勤天数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浮动工资</t>
    </r>
    <r>
      <rPr>
        <sz val="10"/>
        <color theme="1"/>
        <rFont val="Arial"/>
        <family val="2"/>
      </rPr>
      <t xml:space="preserve">    E(Salary) = Basic Salary + Daily Salary*Attendance Days of Daily Salary + Floating Salary</t>
    </r>
    <phoneticPr fontId="5" type="noConversion"/>
  </si>
  <si>
    <r>
      <t>F</t>
    </r>
    <r>
      <rPr>
        <sz val="10"/>
        <color theme="1"/>
        <rFont val="宋体"/>
        <family val="3"/>
        <charset val="134"/>
      </rPr>
      <t>（日常奖金）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月奖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季奖</t>
    </r>
    <r>
      <rPr>
        <sz val="10"/>
        <color theme="1"/>
        <rFont val="Arial"/>
        <family val="2"/>
      </rPr>
      <t xml:space="preserve">  F(Bonus) = Monthly Bonus + Quarterly Bonus</t>
    </r>
  </si>
  <si>
    <r>
      <t>G</t>
    </r>
    <r>
      <rPr>
        <sz val="10"/>
        <color theme="1"/>
        <rFont val="宋体"/>
        <family val="3"/>
        <charset val="134"/>
      </rPr>
      <t>（年终奖</t>
    </r>
    <r>
      <rPr>
        <sz val="10"/>
        <color theme="1"/>
        <rFont val="Arial"/>
        <family val="2"/>
      </rPr>
      <t>/13</t>
    </r>
    <r>
      <rPr>
        <sz val="10"/>
        <color theme="1"/>
        <rFont val="宋体"/>
        <family val="3"/>
        <charset val="134"/>
      </rPr>
      <t>薪）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年终奖或</t>
    </r>
    <r>
      <rPr>
        <sz val="10"/>
        <color theme="1"/>
        <rFont val="Arial"/>
        <family val="2"/>
      </rPr>
      <t>13</t>
    </r>
    <r>
      <rPr>
        <sz val="10"/>
        <color theme="1"/>
        <rFont val="宋体"/>
        <family val="3"/>
        <charset val="134"/>
      </rPr>
      <t>薪</t>
    </r>
    <r>
      <rPr>
        <sz val="10"/>
        <color theme="1"/>
        <rFont val="Arial"/>
        <family val="2"/>
      </rPr>
      <t xml:space="preserve"> G(Annual Bonus/13th Salary) = Annual Bonus or 13th Salary</t>
    </r>
    <phoneticPr fontId="5" type="noConversion"/>
  </si>
  <si>
    <r>
      <t>H</t>
    </r>
    <r>
      <rPr>
        <sz val="10"/>
        <color theme="1"/>
        <rFont val="宋体"/>
        <family val="3"/>
        <charset val="134"/>
      </rPr>
      <t>（津贴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补贴）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（交通津贴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交通费）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（通讯津贴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通讯费）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其他固定津贴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（中班津贴基数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中班天数）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（夜班津贴基数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夜班天数）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（高温津贴基数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高温天数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一次性高温费）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（高温作业保健食品费基数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高温作业天数）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（有毒有害保健食品费基数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有毒有害作业天数）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独生子女费</t>
    </r>
    <r>
      <rPr>
        <sz val="10"/>
        <color theme="1"/>
        <rFont val="Arial"/>
        <family val="2"/>
      </rPr>
      <t xml:space="preserve">    H(Allowance/Subsidy)=(Transportation Allowance + Travelling Expenses) +(Phone Allowance + Phone Expenses)+Other Regular Allowance +(Basis for Middle Shift Allowance Calculation * Middle Shift Days) +(Basis for Night Shift Allowance Calculation * Night Shift Days)+(Basis for High Temperature Allowance Calculation * High Temperature Days + One-off High Temperature Charges)+(Basis for Health Foods Allowance for Employees Working in High Temperature Environment Calculation * Days of Working in High Temperature Environment)+(Basis for Health Food Allowance of Poisonous or Noxious Substances * Days of Contacting with Poisonous or Noxious Substances) + The Only-child Allowance</t>
    </r>
    <phoneticPr fontId="5" type="noConversion"/>
  </si>
  <si>
    <r>
      <t>I</t>
    </r>
    <r>
      <rPr>
        <sz val="10"/>
        <color theme="1"/>
        <rFont val="宋体"/>
        <family val="3"/>
        <charset val="134"/>
      </rPr>
      <t>（加班费）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（（基本工资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日薪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日薪出勤天数）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加班小时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倍数</t>
    </r>
    <r>
      <rPr>
        <sz val="10"/>
        <color theme="1"/>
        <rFont val="Arial"/>
        <family val="2"/>
      </rPr>
      <t>/21.75*8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Arial"/>
        <family val="2"/>
      </rPr>
      <t xml:space="preserve">  I(OT Payment) = ((Basic Salary + Daily Salary * Attendance Days of Daily Salary)* Overtime Hours * Multiple/21.75*8 )</t>
    </r>
    <phoneticPr fontId="5" type="noConversion"/>
  </si>
  <si>
    <r>
      <rPr>
        <sz val="10"/>
        <color theme="1"/>
        <rFont val="宋体"/>
        <family val="3"/>
        <charset val="134"/>
      </rPr>
      <t>倍数：平时加班</t>
    </r>
    <r>
      <rPr>
        <sz val="10"/>
        <color theme="1"/>
        <rFont val="Arial"/>
        <family val="2"/>
      </rPr>
      <t>1.5</t>
    </r>
    <r>
      <rPr>
        <sz val="10"/>
        <color theme="1"/>
        <rFont val="宋体"/>
        <family val="3"/>
        <charset val="134"/>
      </rPr>
      <t>倍；双休日加班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>倍；国定假日加班</t>
    </r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>倍</t>
    </r>
    <r>
      <rPr>
        <sz val="10"/>
        <color theme="1"/>
        <rFont val="Arial"/>
        <family val="2"/>
      </rPr>
      <t xml:space="preserve">  Multiple: 1.5 times salary when work overtime during workdays; double salary when work overtime during rest days; 3 times salary when work overtime during national holidays </t>
    </r>
    <phoneticPr fontId="5" type="noConversion"/>
  </si>
  <si>
    <r>
      <t>J</t>
    </r>
    <r>
      <rPr>
        <sz val="10"/>
        <color theme="1"/>
        <rFont val="宋体"/>
        <family val="3"/>
        <charset val="134"/>
      </rPr>
      <t>（公司负税项）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税后补发</t>
    </r>
    <r>
      <rPr>
        <sz val="10"/>
        <color theme="1"/>
        <rFont val="Arial"/>
        <family val="2"/>
      </rPr>
      <t xml:space="preserve">    J(Income Employer Afford Tax) = Reissue After-tax</t>
    </r>
    <phoneticPr fontId="5" type="noConversion"/>
  </si>
  <si>
    <r>
      <rPr>
        <sz val="10"/>
        <color theme="1"/>
        <rFont val="Arial"/>
        <family val="2"/>
      </rPr>
      <t>K</t>
    </r>
    <r>
      <rPr>
        <sz val="10"/>
        <color theme="1"/>
        <rFont val="宋体"/>
        <family val="3"/>
        <charset val="134"/>
      </rPr>
      <t>（当年社保基数）</t>
    </r>
    <r>
      <rPr>
        <sz val="10"/>
        <color theme="1"/>
        <rFont val="Arial"/>
        <family val="2"/>
      </rPr>
      <t xml:space="preserve">  K(Basis for Social Benefits Calculation of the Year)</t>
    </r>
    <phoneticPr fontId="5" type="noConversion"/>
  </si>
  <si>
    <r>
      <t>L</t>
    </r>
    <r>
      <rPr>
        <sz val="10"/>
        <color theme="1"/>
        <rFont val="宋体"/>
        <family val="3"/>
        <charset val="134"/>
      </rPr>
      <t>（当年公积金基数）</t>
    </r>
    <r>
      <rPr>
        <sz val="10"/>
        <color theme="1"/>
        <rFont val="Arial"/>
        <family val="2"/>
      </rPr>
      <t xml:space="preserve">  L(Basis for Housing Fund Calculation of the Year)</t>
    </r>
    <phoneticPr fontId="5" type="noConversion"/>
  </si>
  <si>
    <r>
      <t>M</t>
    </r>
    <r>
      <rPr>
        <sz val="10"/>
        <color theme="1"/>
        <rFont val="宋体"/>
        <family val="3"/>
        <charset val="134"/>
      </rPr>
      <t>（缴养老）</t>
    </r>
    <r>
      <rPr>
        <sz val="10"/>
        <color theme="1"/>
        <rFont val="Arial"/>
        <family val="2"/>
      </rPr>
      <t>=K*</t>
    </r>
    <r>
      <rPr>
        <sz val="10"/>
        <color theme="1"/>
        <rFont val="宋体"/>
        <family val="3"/>
        <charset val="134"/>
      </rPr>
      <t>个人养老保险比例</t>
    </r>
    <r>
      <rPr>
        <sz val="10"/>
        <color theme="1"/>
        <rFont val="Arial"/>
        <family val="2"/>
      </rPr>
      <t xml:space="preserve">     M(Pension) = K*Rate of Individual Pension Insurance </t>
    </r>
    <phoneticPr fontId="5" type="noConversion"/>
  </si>
  <si>
    <r>
      <t>N</t>
    </r>
    <r>
      <rPr>
        <sz val="10"/>
        <color theme="1"/>
        <rFont val="宋体"/>
        <family val="3"/>
        <charset val="134"/>
      </rPr>
      <t>（缴医疗）</t>
    </r>
    <r>
      <rPr>
        <sz val="10"/>
        <color theme="1"/>
        <rFont val="Arial"/>
        <family val="2"/>
      </rPr>
      <t>=K*</t>
    </r>
    <r>
      <rPr>
        <sz val="10"/>
        <color theme="1"/>
        <rFont val="宋体"/>
        <family val="3"/>
        <charset val="134"/>
      </rPr>
      <t>个人医疗保险比例</t>
    </r>
    <r>
      <rPr>
        <sz val="10"/>
        <color theme="1"/>
        <rFont val="Arial"/>
        <family val="2"/>
      </rPr>
      <t xml:space="preserve">  N(Medical) = K*Rate of Individual Medical Insurance</t>
    </r>
    <phoneticPr fontId="5" type="noConversion"/>
  </si>
  <si>
    <r>
      <t>O</t>
    </r>
    <r>
      <rPr>
        <sz val="10"/>
        <color theme="1"/>
        <rFont val="宋体"/>
        <family val="3"/>
        <charset val="134"/>
      </rPr>
      <t>（缴失业）</t>
    </r>
    <r>
      <rPr>
        <sz val="10"/>
        <color theme="1"/>
        <rFont val="Arial"/>
        <family val="2"/>
      </rPr>
      <t>=K*</t>
    </r>
    <r>
      <rPr>
        <sz val="10"/>
        <color theme="1"/>
        <rFont val="宋体"/>
        <family val="3"/>
        <charset val="134"/>
      </rPr>
      <t>个人失业保险比例</t>
    </r>
    <r>
      <rPr>
        <sz val="10"/>
        <color theme="1"/>
        <rFont val="Arial"/>
        <family val="2"/>
      </rPr>
      <t xml:space="preserve">   O(Unemployment) = K*Rate of Individual Unemployment Insurance</t>
    </r>
    <phoneticPr fontId="5" type="noConversion"/>
  </si>
  <si>
    <r>
      <t>P</t>
    </r>
    <r>
      <rPr>
        <sz val="10"/>
        <color theme="1"/>
        <rFont val="宋体"/>
        <family val="3"/>
        <charset val="134"/>
      </rPr>
      <t>（缴公积金）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个人基本公积金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个人补充公积金（免税）</t>
    </r>
    <r>
      <rPr>
        <sz val="10"/>
        <color theme="1"/>
        <rFont val="Arial"/>
        <family val="2"/>
      </rPr>
      <t xml:space="preserve">  P(Housing Fund)=Individual Basic Housing Fund + Supplementary Housing Fund(duty free)</t>
    </r>
    <phoneticPr fontId="5" type="noConversion"/>
  </si>
  <si>
    <r>
      <t>Q</t>
    </r>
    <r>
      <rPr>
        <sz val="10"/>
        <color theme="1"/>
        <rFont val="宋体"/>
        <family val="3"/>
        <charset val="134"/>
      </rPr>
      <t>（入离职缺勤扣）</t>
    </r>
    <r>
      <rPr>
        <sz val="10"/>
        <color theme="1"/>
        <rFont val="Arial"/>
        <family val="2"/>
      </rPr>
      <t>Deduction for 1st/last Month' Absence</t>
    </r>
    <phoneticPr fontId="5" type="noConversion"/>
  </si>
  <si>
    <r>
      <t>R</t>
    </r>
    <r>
      <rPr>
        <sz val="10"/>
        <color theme="1"/>
        <rFont val="宋体"/>
        <family val="3"/>
        <charset val="134"/>
      </rPr>
      <t>（扣事假）</t>
    </r>
    <phoneticPr fontId="5" type="noConversion"/>
  </si>
  <si>
    <t>Deduction for Personal Leave</t>
  </si>
  <si>
    <r>
      <t>S</t>
    </r>
    <r>
      <rPr>
        <sz val="10"/>
        <color theme="1"/>
        <rFont val="宋体"/>
        <family val="3"/>
        <charset val="134"/>
      </rPr>
      <t>（扣旷工）</t>
    </r>
    <phoneticPr fontId="5" type="noConversion"/>
  </si>
  <si>
    <t>Deduction for Absenteeism</t>
  </si>
  <si>
    <r>
      <t>T</t>
    </r>
    <r>
      <rPr>
        <sz val="10"/>
        <color theme="1"/>
        <rFont val="宋体"/>
        <family val="3"/>
        <charset val="134"/>
      </rPr>
      <t>（扣病假）</t>
    </r>
    <phoneticPr fontId="5" type="noConversion"/>
  </si>
  <si>
    <t>Deduction for Sick Leave</t>
  </si>
  <si>
    <r>
      <rPr>
        <sz val="10"/>
        <color theme="1"/>
        <rFont val="Arial"/>
        <family val="2"/>
      </rPr>
      <t>U</t>
    </r>
    <r>
      <rPr>
        <sz val="10"/>
        <color theme="1"/>
        <rFont val="宋体"/>
        <family val="3"/>
        <charset val="134"/>
      </rPr>
      <t>（缴年金）</t>
    </r>
    <r>
      <rPr>
        <sz val="10"/>
        <color theme="1"/>
        <rFont val="Arial"/>
        <family val="2"/>
      </rPr>
      <t>=E*</t>
    </r>
    <r>
      <rPr>
        <sz val="10"/>
        <color theme="1"/>
        <rFont val="宋体"/>
        <family val="3"/>
        <charset val="134"/>
      </rPr>
      <t>年金</t>
    </r>
    <r>
      <rPr>
        <sz val="10"/>
        <color theme="1"/>
        <rFont val="Arial"/>
        <family val="2"/>
      </rPr>
      <t>%    U(Annuity) = E*Annuity%</t>
    </r>
    <phoneticPr fontId="5" type="noConversion"/>
  </si>
  <si>
    <r>
      <rPr>
        <sz val="10"/>
        <color theme="1"/>
        <rFont val="Arial"/>
        <family val="2"/>
      </rPr>
      <t>V</t>
    </r>
    <r>
      <rPr>
        <sz val="10"/>
        <color theme="1"/>
        <rFont val="宋体"/>
        <family val="3"/>
        <charset val="134"/>
      </rPr>
      <t>（工会费）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工会费</t>
    </r>
    <r>
      <rPr>
        <sz val="10"/>
        <color theme="1"/>
        <rFont val="Arial"/>
        <family val="2"/>
      </rPr>
      <t xml:space="preserve">       V(Union Fee) = Union Fee</t>
    </r>
    <phoneticPr fontId="5" type="noConversion"/>
  </si>
  <si>
    <r>
      <rPr>
        <sz val="10"/>
        <color theme="1"/>
        <rFont val="Arial"/>
        <family val="2"/>
      </rPr>
      <t>W</t>
    </r>
    <r>
      <rPr>
        <sz val="10"/>
        <color theme="1"/>
        <rFont val="宋体"/>
        <family val="3"/>
        <charset val="134"/>
      </rPr>
      <t>（其他）</t>
    </r>
    <r>
      <rPr>
        <sz val="10"/>
        <color theme="1"/>
        <rFont val="Arial"/>
        <family val="2"/>
      </rPr>
      <t>=(</t>
    </r>
    <r>
      <rPr>
        <sz val="10"/>
        <color theme="1"/>
        <rFont val="宋体"/>
        <family val="3"/>
        <charset val="134"/>
      </rPr>
      <t>固定补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补发</t>
    </r>
    <r>
      <rPr>
        <sz val="10"/>
        <color theme="1"/>
        <rFont val="Arial"/>
        <family val="2"/>
      </rPr>
      <t>)-(</t>
    </r>
    <r>
      <rPr>
        <sz val="10"/>
        <color theme="1"/>
        <rFont val="宋体"/>
        <family val="3"/>
        <charset val="134"/>
      </rPr>
      <t>固定扣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补扣</t>
    </r>
    <r>
      <rPr>
        <sz val="10"/>
        <color theme="1"/>
        <rFont val="Arial"/>
        <family val="2"/>
      </rPr>
      <t>)+(</t>
    </r>
    <r>
      <rPr>
        <sz val="10"/>
        <color theme="1"/>
        <rFont val="宋体"/>
        <family val="3"/>
        <charset val="134"/>
      </rPr>
      <t>免税收入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税后补</t>
    </r>
    <r>
      <rPr>
        <sz val="10"/>
        <color theme="1"/>
        <rFont val="Arial"/>
        <family val="2"/>
      </rPr>
      <t>)-</t>
    </r>
    <r>
      <rPr>
        <sz val="10"/>
        <color theme="1"/>
        <rFont val="宋体"/>
        <family val="3"/>
        <charset val="134"/>
      </rPr>
      <t>税后扣</t>
    </r>
    <r>
      <rPr>
        <sz val="10"/>
        <color theme="1"/>
        <rFont val="Arial"/>
        <family val="2"/>
      </rPr>
      <t xml:space="preserve">   W(Other) = (Fixed Deduction+Reissue)+(Duty-free Income+Reissue After-tax)-Deducton After-tax</t>
    </r>
    <phoneticPr fontId="5" type="noConversion"/>
  </si>
  <si>
    <r>
      <rPr>
        <sz val="10"/>
        <color theme="1"/>
        <rFont val="Arial"/>
        <family val="2"/>
      </rPr>
      <t>X</t>
    </r>
    <r>
      <rPr>
        <sz val="10"/>
        <color theme="1"/>
        <rFont val="宋体"/>
        <family val="3"/>
        <charset val="134"/>
      </rPr>
      <t>（个税）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应纳税所得额</t>
    </r>
    <r>
      <rPr>
        <sz val="10"/>
        <color theme="1"/>
        <rFont val="Arial"/>
        <family val="2"/>
      </rPr>
      <t>*</t>
    </r>
    <r>
      <rPr>
        <sz val="10"/>
        <color theme="1"/>
        <rFont val="宋体"/>
        <family val="3"/>
        <charset val="134"/>
      </rPr>
      <t>所得额税率（</t>
    </r>
    <r>
      <rPr>
        <sz val="10"/>
        <color theme="1"/>
        <rFont val="Arial"/>
        <family val="2"/>
      </rPr>
      <t>%</t>
    </r>
    <r>
      <rPr>
        <sz val="10"/>
        <color theme="1"/>
        <rFont val="宋体"/>
        <family val="3"/>
        <charset val="134"/>
      </rPr>
      <t>）－速算扣除数</t>
    </r>
    <r>
      <rPr>
        <sz val="10"/>
        <color theme="1"/>
        <rFont val="Arial"/>
        <family val="2"/>
      </rPr>
      <t xml:space="preserve">    X(IIT) = Taxable Income*Income Tax rate(%) - Deduction for Fast Calculation</t>
    </r>
  </si>
  <si>
    <r>
      <rPr>
        <sz val="10"/>
        <color theme="1"/>
        <rFont val="Arial"/>
        <family val="2"/>
      </rPr>
      <t>Y</t>
    </r>
    <r>
      <rPr>
        <sz val="10"/>
        <color theme="1"/>
        <rFont val="宋体"/>
        <family val="3"/>
        <charset val="134"/>
      </rPr>
      <t>（代缴费用补差）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个人社保调整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个人公积金调整</t>
    </r>
    <r>
      <rPr>
        <sz val="10"/>
        <color theme="1"/>
        <rFont val="Arial"/>
        <family val="2"/>
      </rPr>
      <t xml:space="preserve">  Y(Balance For Charge On Behalf) = Adjusted Individual Social Insurance+Adjusted Individual Housing Fund</t>
    </r>
    <phoneticPr fontId="5" type="noConversion"/>
  </si>
  <si>
    <r>
      <t>Z</t>
    </r>
    <r>
      <rPr>
        <sz val="10"/>
        <color theme="1"/>
        <rFont val="宋体"/>
        <family val="3"/>
        <charset val="134"/>
      </rPr>
      <t>（报销款）</t>
    </r>
    <r>
      <rPr>
        <sz val="10"/>
        <color theme="1"/>
        <rFont val="Arial"/>
        <family val="2"/>
      </rPr>
      <t>(Expenses)</t>
    </r>
  </si>
  <si>
    <r>
      <t>AA</t>
    </r>
    <r>
      <rPr>
        <sz val="10"/>
        <color theme="1"/>
        <rFont val="宋体"/>
        <family val="3"/>
        <charset val="134"/>
      </rPr>
      <t>（外籍生活津贴）</t>
    </r>
    <phoneticPr fontId="5" type="noConversion"/>
  </si>
  <si>
    <t>(Subsistence Allowance for Foreigners)</t>
    <phoneticPr fontId="5" type="noConversion"/>
  </si>
  <si>
    <r>
      <rPr>
        <sz val="10"/>
        <color theme="1"/>
        <rFont val="Arial"/>
        <family val="2"/>
      </rPr>
      <t>AB</t>
    </r>
    <r>
      <rPr>
        <sz val="10"/>
        <color theme="1"/>
        <rFont val="宋体"/>
        <family val="3"/>
        <charset val="134"/>
      </rPr>
      <t>（实发）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加项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减项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个税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代缴费用补差</t>
    </r>
    <r>
      <rPr>
        <sz val="10"/>
        <color theme="1"/>
        <rFont val="Arial"/>
        <family val="2"/>
      </rPr>
      <t xml:space="preserve">  AB(Net Income) = Plus Item-Minus Item+Other+Balance For Charge On Behalf</t>
    </r>
    <phoneticPr fontId="5" type="noConversion"/>
  </si>
  <si>
    <t>社保缴纳地 
Socil Benefit Location</t>
    <phoneticPr fontId="5" type="noConversion"/>
  </si>
  <si>
    <t>个人养老%
Individual Pension</t>
    <phoneticPr fontId="5" type="noConversion"/>
  </si>
  <si>
    <t>个人医疗% 
Individual Medical</t>
    <phoneticPr fontId="5" type="noConversion"/>
  </si>
  <si>
    <t>个人失业% 
Individual Unemployment</t>
    <phoneticPr fontId="5" type="noConversion"/>
  </si>
  <si>
    <t>个人公积金%
Individual Housing Fund</t>
    <phoneticPr fontId="5" type="noConversion"/>
  </si>
  <si>
    <t>个人医疗固定数 
Individual Medical Fixed Amount</t>
    <phoneticPr fontId="5" type="noConversion"/>
  </si>
  <si>
    <t>公司养老%
Employer Pension</t>
    <phoneticPr fontId="5" type="noConversion"/>
  </si>
  <si>
    <t>公司医疗%
Employer  Medical</t>
    <phoneticPr fontId="5" type="noConversion"/>
  </si>
  <si>
    <t>公司失业% 
Employer Unemployment</t>
    <phoneticPr fontId="5" type="noConversion"/>
  </si>
  <si>
    <t>公司生育%
Employer Maternity</t>
    <phoneticPr fontId="5" type="noConversion"/>
  </si>
  <si>
    <t>公司工伤%
Employer Work-Related-Injury</t>
    <phoneticPr fontId="5" type="noConversion"/>
  </si>
  <si>
    <t>公司残保金% 
Employer Disability</t>
    <phoneticPr fontId="5" type="noConversion"/>
  </si>
  <si>
    <t>公司公积金% 
Employer Housing Fund</t>
    <phoneticPr fontId="5" type="noConversion"/>
  </si>
  <si>
    <t>公司医疗固定数 
Employer Medical Fixed Amount</t>
    <phoneticPr fontId="5" type="noConversion"/>
  </si>
  <si>
    <t>公司残保固定数  
Employer Disability Fixed Amount</t>
    <phoneticPr fontId="5" type="noConversion"/>
  </si>
  <si>
    <t>s</t>
    <phoneticPr fontId="5" type="noConversion"/>
  </si>
  <si>
    <t>上海</t>
  </si>
  <si>
    <t>成都</t>
  </si>
  <si>
    <t>北京</t>
  </si>
  <si>
    <t>济南</t>
  </si>
  <si>
    <t>南京</t>
  </si>
  <si>
    <t>哈尔滨</t>
  </si>
  <si>
    <t>广州</t>
  </si>
  <si>
    <r>
      <t xml:space="preserve">S-Payroll Report </t>
    </r>
    <r>
      <rPr>
        <b/>
        <sz val="10"/>
        <color theme="1"/>
        <rFont val="宋体"/>
        <family val="3"/>
        <charset val="134"/>
      </rPr>
      <t>公式说明</t>
    </r>
    <phoneticPr fontId="5" type="noConversion"/>
  </si>
  <si>
    <t>Net Income
员工实得</t>
    <phoneticPr fontId="5" type="noConversion"/>
  </si>
  <si>
    <t>Expenses+Subsistence Allowance for Foreigners
外籍生活津贴</t>
  </si>
  <si>
    <t>Individual Portion 个人部分</t>
    <phoneticPr fontId="5" type="noConversion"/>
  </si>
  <si>
    <t>Employer Portion 雇主部分</t>
    <phoneticPr fontId="5" type="noConversion"/>
  </si>
  <si>
    <t>Total Cost
总成本</t>
    <phoneticPr fontId="5" type="noConversion"/>
  </si>
  <si>
    <t>Remark
备注</t>
    <phoneticPr fontId="5" type="noConversion"/>
  </si>
  <si>
    <t>Pension
养老</t>
    <phoneticPr fontId="5" type="noConversion"/>
  </si>
  <si>
    <t>Medical
医疗</t>
    <phoneticPr fontId="5" type="noConversion"/>
  </si>
  <si>
    <t>Unemployment
失业</t>
    <phoneticPr fontId="5" type="noConversion"/>
  </si>
  <si>
    <t>Housing Fund
公积金</t>
    <phoneticPr fontId="5" type="noConversion"/>
  </si>
  <si>
    <t>Annuity
年金</t>
    <phoneticPr fontId="5" type="noConversion"/>
  </si>
  <si>
    <t>Balance For Charge On Behalf
代缴费用补差</t>
  </si>
  <si>
    <t>Maternity
生育</t>
    <phoneticPr fontId="5" type="noConversion"/>
  </si>
  <si>
    <t>Work-Related-Injury
工伤</t>
    <phoneticPr fontId="5" type="noConversion"/>
  </si>
  <si>
    <t>Disability
残保金</t>
    <phoneticPr fontId="5" type="noConversion"/>
  </si>
  <si>
    <t>Commercial Insurance
商业保险</t>
    <phoneticPr fontId="5" type="noConversion"/>
  </si>
  <si>
    <t>Other Benefits
其他福利</t>
    <phoneticPr fontId="5" type="noConversion"/>
  </si>
  <si>
    <t>Service Fee
服务费</t>
    <phoneticPr fontId="5" type="noConversion"/>
  </si>
  <si>
    <t>Deposit
押金</t>
    <phoneticPr fontId="5" type="noConversion"/>
  </si>
  <si>
    <t>Others
其他</t>
    <phoneticPr fontId="5" type="noConversion"/>
  </si>
  <si>
    <t>AC</t>
    <phoneticPr fontId="5" type="noConversion"/>
  </si>
  <si>
    <t>AD</t>
    <phoneticPr fontId="5" type="noConversion"/>
  </si>
  <si>
    <t>AE</t>
    <phoneticPr fontId="5" type="noConversion"/>
  </si>
  <si>
    <t>AF</t>
    <phoneticPr fontId="5" type="noConversion"/>
  </si>
  <si>
    <t>AG</t>
    <phoneticPr fontId="5" type="noConversion"/>
  </si>
  <si>
    <t>AH</t>
    <phoneticPr fontId="5" type="noConversion"/>
  </si>
  <si>
    <t>AJ</t>
    <phoneticPr fontId="5" type="noConversion"/>
  </si>
  <si>
    <t>AK</t>
    <phoneticPr fontId="5" type="noConversion"/>
  </si>
  <si>
    <t>AL</t>
    <phoneticPr fontId="5" type="noConversion"/>
  </si>
  <si>
    <t>AM</t>
    <phoneticPr fontId="5" type="noConversion"/>
  </si>
  <si>
    <t>AN</t>
    <phoneticPr fontId="5" type="noConversion"/>
  </si>
  <si>
    <t>AO</t>
    <phoneticPr fontId="5" type="noConversion"/>
  </si>
  <si>
    <t>AP</t>
    <phoneticPr fontId="5" type="noConversion"/>
  </si>
  <si>
    <t>AQ</t>
    <phoneticPr fontId="5" type="noConversion"/>
  </si>
  <si>
    <t>AR</t>
    <phoneticPr fontId="5" type="noConversion"/>
  </si>
  <si>
    <t>AS</t>
    <phoneticPr fontId="5" type="noConversion"/>
  </si>
  <si>
    <r>
      <rPr>
        <sz val="10"/>
        <color theme="1"/>
        <rFont val="Arial"/>
        <family val="2"/>
      </rPr>
      <t>AC</t>
    </r>
    <r>
      <rPr>
        <sz val="10"/>
        <color theme="1"/>
        <rFont val="宋体"/>
        <family val="3"/>
        <charset val="134"/>
      </rPr>
      <t>（养老）</t>
    </r>
    <r>
      <rPr>
        <sz val="10"/>
        <color theme="1"/>
        <rFont val="Arial"/>
        <family val="2"/>
      </rPr>
      <t>=K*</t>
    </r>
    <r>
      <rPr>
        <sz val="10"/>
        <color theme="1"/>
        <rFont val="宋体"/>
        <family val="3"/>
        <charset val="134"/>
      </rPr>
      <t>单位养老保险比例</t>
    </r>
    <r>
      <rPr>
        <sz val="10"/>
        <color theme="1"/>
        <rFont val="Arial"/>
        <family val="2"/>
      </rPr>
      <t xml:space="preserve">    AC(Pension) = K*Rate of Employer Pension Insurance </t>
    </r>
    <phoneticPr fontId="5" type="noConversion"/>
  </si>
  <si>
    <r>
      <rPr>
        <sz val="10"/>
        <color theme="1"/>
        <rFont val="Arial"/>
        <family val="2"/>
      </rPr>
      <t>AD</t>
    </r>
    <r>
      <rPr>
        <sz val="10"/>
        <color theme="1"/>
        <rFont val="宋体"/>
        <family val="3"/>
        <charset val="134"/>
      </rPr>
      <t>（医疗）</t>
    </r>
    <r>
      <rPr>
        <sz val="10"/>
        <color theme="1"/>
        <rFont val="Arial"/>
        <family val="2"/>
      </rPr>
      <t>=K*</t>
    </r>
    <r>
      <rPr>
        <sz val="10"/>
        <color theme="1"/>
        <rFont val="宋体"/>
        <family val="3"/>
        <charset val="134"/>
      </rPr>
      <t>单位医疗保险比例</t>
    </r>
    <r>
      <rPr>
        <sz val="10"/>
        <color theme="1"/>
        <rFont val="Arial"/>
        <family val="2"/>
      </rPr>
      <t xml:space="preserve">    AD(Medical) = K*Rate of Employer Medical Insurance</t>
    </r>
    <phoneticPr fontId="5" type="noConversion"/>
  </si>
  <si>
    <r>
      <rPr>
        <sz val="10"/>
        <color theme="1"/>
        <rFont val="Arial"/>
        <family val="2"/>
      </rPr>
      <t>AE</t>
    </r>
    <r>
      <rPr>
        <sz val="10"/>
        <color theme="1"/>
        <rFont val="宋体"/>
        <family val="3"/>
        <charset val="134"/>
      </rPr>
      <t>（失业）</t>
    </r>
    <r>
      <rPr>
        <sz val="10"/>
        <color theme="1"/>
        <rFont val="Arial"/>
        <family val="2"/>
      </rPr>
      <t>=K*</t>
    </r>
    <r>
      <rPr>
        <sz val="10"/>
        <color theme="1"/>
        <rFont val="宋体"/>
        <family val="3"/>
        <charset val="134"/>
      </rPr>
      <t>单位失业保险比例</t>
    </r>
    <r>
      <rPr>
        <sz val="10"/>
        <color theme="1"/>
        <rFont val="Arial"/>
        <family val="2"/>
      </rPr>
      <t xml:space="preserve">    AE(Unemplyment) = K*Rate of Employer Unemployment Insurance</t>
    </r>
    <phoneticPr fontId="5" type="noConversion"/>
  </si>
  <si>
    <r>
      <rPr>
        <sz val="10"/>
        <color theme="1"/>
        <rFont val="Arial"/>
        <family val="2"/>
      </rPr>
      <t>AF</t>
    </r>
    <r>
      <rPr>
        <sz val="10"/>
        <color theme="1"/>
        <rFont val="宋体"/>
        <family val="3"/>
        <charset val="134"/>
      </rPr>
      <t>（生育）</t>
    </r>
    <r>
      <rPr>
        <sz val="10"/>
        <color theme="1"/>
        <rFont val="Arial"/>
        <family val="2"/>
      </rPr>
      <t>=K*</t>
    </r>
    <r>
      <rPr>
        <sz val="10"/>
        <color theme="1"/>
        <rFont val="宋体"/>
        <family val="3"/>
        <charset val="134"/>
      </rPr>
      <t>单位生育保险比例</t>
    </r>
    <r>
      <rPr>
        <sz val="10"/>
        <color theme="1"/>
        <rFont val="Arial"/>
        <family val="2"/>
      </rPr>
      <t xml:space="preserve">    AF(Maternity) = K*Rate of Employer Maternity Insurance</t>
    </r>
    <phoneticPr fontId="5" type="noConversion"/>
  </si>
  <si>
    <r>
      <rPr>
        <sz val="10"/>
        <color theme="1"/>
        <rFont val="Arial"/>
        <family val="2"/>
      </rPr>
      <t>AG</t>
    </r>
    <r>
      <rPr>
        <sz val="10"/>
        <color theme="1"/>
        <rFont val="宋体"/>
        <family val="3"/>
        <charset val="134"/>
      </rPr>
      <t>（工伤）</t>
    </r>
    <r>
      <rPr>
        <sz val="10"/>
        <color theme="1"/>
        <rFont val="Arial"/>
        <family val="2"/>
      </rPr>
      <t>=K*</t>
    </r>
    <r>
      <rPr>
        <sz val="10"/>
        <color theme="1"/>
        <rFont val="宋体"/>
        <family val="3"/>
        <charset val="134"/>
      </rPr>
      <t>单位工伤保险比例</t>
    </r>
    <r>
      <rPr>
        <sz val="10"/>
        <color theme="1"/>
        <rFont val="Arial"/>
        <family val="2"/>
      </rPr>
      <t xml:space="preserve">   AG(Work-Related-Injury) = K*Rate of Employer Work-Related-Injury Insurance</t>
    </r>
    <phoneticPr fontId="5" type="noConversion"/>
  </si>
  <si>
    <r>
      <rPr>
        <sz val="10"/>
        <color theme="1"/>
        <rFont val="Arial"/>
        <family val="2"/>
      </rPr>
      <t>AH</t>
    </r>
    <r>
      <rPr>
        <sz val="10"/>
        <color theme="1"/>
        <rFont val="宋体"/>
        <family val="3"/>
        <charset val="134"/>
      </rPr>
      <t>（残保金）</t>
    </r>
    <r>
      <rPr>
        <sz val="10"/>
        <color theme="1"/>
        <rFont val="Arial"/>
        <family val="2"/>
      </rPr>
      <t>=(</t>
    </r>
    <r>
      <rPr>
        <sz val="10"/>
        <color theme="1"/>
        <rFont val="宋体"/>
        <family val="3"/>
        <charset val="134"/>
      </rPr>
      <t>单位上年度在职职工总数</t>
    </r>
    <r>
      <rPr>
        <sz val="10"/>
        <color theme="1"/>
        <rFont val="Arial"/>
        <family val="2"/>
      </rPr>
      <t>*1.5%(</t>
    </r>
    <r>
      <rPr>
        <sz val="10"/>
        <color theme="1"/>
        <rFont val="宋体"/>
        <family val="3"/>
        <charset val="134"/>
      </rPr>
      <t>上海市为</t>
    </r>
    <r>
      <rPr>
        <sz val="10"/>
        <color theme="1"/>
        <rFont val="Arial"/>
        <family val="2"/>
      </rPr>
      <t>1.6%)</t>
    </r>
    <r>
      <rPr>
        <sz val="10"/>
        <color theme="1"/>
        <rFont val="宋体"/>
        <family val="3"/>
        <charset val="134"/>
      </rPr>
      <t>－已安排残疾职工人数</t>
    </r>
    <r>
      <rPr>
        <sz val="10"/>
        <color theme="1"/>
        <rFont val="Arial"/>
        <family val="2"/>
      </rPr>
      <t>)*</t>
    </r>
    <r>
      <rPr>
        <sz val="10"/>
        <color theme="1"/>
        <rFont val="宋体"/>
        <family val="3"/>
        <charset val="134"/>
      </rPr>
      <t>本地区上年度职工年平均工资</t>
    </r>
    <r>
      <rPr>
        <sz val="10"/>
        <color theme="1"/>
        <rFont val="Arial"/>
        <family val="2"/>
      </rPr>
      <t xml:space="preserve">   AH(Disability) = (Total of Staff of the Last Year *1.5%(1.6% for Shanghai)- Number of Arranged Disabled Staff)*Average Salary of the Local Staff Last Year </t>
    </r>
  </si>
  <si>
    <r>
      <rPr>
        <sz val="10"/>
        <color theme="1"/>
        <rFont val="Arial"/>
        <family val="2"/>
      </rPr>
      <t>AJ</t>
    </r>
    <r>
      <rPr>
        <sz val="10"/>
        <color theme="1"/>
        <rFont val="宋体"/>
        <family val="3"/>
        <charset val="134"/>
      </rPr>
      <t>（公积金）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单位基本公积金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单位补充公积金（免税）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单位补充公积金（不免税）</t>
    </r>
    <r>
      <rPr>
        <sz val="10"/>
        <color theme="1"/>
        <rFont val="Arial"/>
        <family val="2"/>
      </rPr>
      <t>AJ(Housing Fund)=Employer Basic Housing Fund + Employer Supplementary  Housing Fund(duty free) + Supplementary Housing Fund(not duty freee)</t>
    </r>
    <phoneticPr fontId="5" type="noConversion"/>
  </si>
  <si>
    <r>
      <rPr>
        <sz val="10"/>
        <color theme="1"/>
        <rFont val="Arial"/>
        <family val="2"/>
      </rPr>
      <t>AK</t>
    </r>
    <r>
      <rPr>
        <sz val="10"/>
        <color theme="1"/>
        <rFont val="宋体"/>
        <family val="3"/>
        <charset val="134"/>
      </rPr>
      <t>（年金）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年金</t>
    </r>
    <r>
      <rPr>
        <sz val="10"/>
        <color theme="1"/>
        <rFont val="Arial"/>
        <family val="2"/>
      </rPr>
      <t xml:space="preserve">  Annuity</t>
    </r>
    <phoneticPr fontId="5" type="noConversion"/>
  </si>
  <si>
    <r>
      <rPr>
        <sz val="10"/>
        <color theme="1"/>
        <rFont val="Arial"/>
        <family val="2"/>
      </rPr>
      <t>AL</t>
    </r>
    <r>
      <rPr>
        <sz val="10"/>
        <color theme="1"/>
        <rFont val="宋体"/>
        <family val="3"/>
        <charset val="134"/>
      </rPr>
      <t>（工会费）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工会费</t>
    </r>
    <r>
      <rPr>
        <sz val="10"/>
        <color theme="1"/>
        <rFont val="Arial"/>
        <family val="2"/>
      </rPr>
      <t xml:space="preserve">   Union Fee</t>
    </r>
    <phoneticPr fontId="5" type="noConversion"/>
  </si>
  <si>
    <r>
      <rPr>
        <sz val="10"/>
        <color theme="1"/>
        <rFont val="Arial"/>
        <family val="2"/>
      </rPr>
      <t>AM</t>
    </r>
    <r>
      <rPr>
        <sz val="10"/>
        <color theme="1"/>
        <rFont val="宋体"/>
        <family val="3"/>
        <charset val="134"/>
      </rPr>
      <t>（商业保险）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商业保险总费用</t>
    </r>
    <r>
      <rPr>
        <sz val="10"/>
        <color theme="1"/>
        <rFont val="Arial"/>
        <family val="2"/>
      </rPr>
      <t xml:space="preserve"> Commercial Insurance</t>
    </r>
    <phoneticPr fontId="5" type="noConversion"/>
  </si>
  <si>
    <r>
      <rPr>
        <sz val="10"/>
        <color theme="1"/>
        <rFont val="Arial"/>
        <family val="2"/>
      </rPr>
      <t>AN</t>
    </r>
    <r>
      <rPr>
        <sz val="10"/>
        <color theme="1"/>
        <rFont val="宋体"/>
        <family val="3"/>
        <charset val="134"/>
      </rPr>
      <t>（其他福利）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单位社保调整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单位公积金调整</t>
    </r>
    <r>
      <rPr>
        <sz val="10"/>
        <color theme="1"/>
        <rFont val="Arial"/>
        <family val="2"/>
      </rPr>
      <t xml:space="preserve">  AN(Other Benefits) = Adjusted Employer Social Insurance+Adjusted Employer Housing Fund</t>
    </r>
    <phoneticPr fontId="5" type="noConversion"/>
  </si>
  <si>
    <r>
      <rPr>
        <sz val="10"/>
        <color theme="1"/>
        <rFont val="Arial"/>
        <family val="2"/>
      </rPr>
      <t>AO</t>
    </r>
    <r>
      <rPr>
        <sz val="10"/>
        <color theme="1"/>
        <rFont val="宋体"/>
        <family val="3"/>
        <charset val="134"/>
      </rPr>
      <t>（服务费）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服务费</t>
    </r>
    <r>
      <rPr>
        <sz val="10"/>
        <color theme="1"/>
        <rFont val="Arial"/>
        <family val="2"/>
      </rPr>
      <t xml:space="preserve">   Service Fee</t>
    </r>
    <phoneticPr fontId="5" type="noConversion"/>
  </si>
  <si>
    <r>
      <rPr>
        <sz val="10"/>
        <color theme="1"/>
        <rFont val="Arial"/>
        <family val="2"/>
      </rPr>
      <t>AP</t>
    </r>
    <r>
      <rPr>
        <sz val="10"/>
        <color theme="1"/>
        <rFont val="宋体"/>
        <family val="3"/>
        <charset val="134"/>
      </rPr>
      <t>（押金）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押金</t>
    </r>
    <r>
      <rPr>
        <sz val="10"/>
        <color theme="1"/>
        <rFont val="Arial"/>
        <family val="2"/>
      </rPr>
      <t xml:space="preserve">  Deposit</t>
    </r>
    <phoneticPr fontId="5" type="noConversion"/>
  </si>
  <si>
    <r>
      <rPr>
        <sz val="10"/>
        <color theme="1"/>
        <rFont val="Arial"/>
        <family val="2"/>
      </rPr>
      <t>AQ</t>
    </r>
    <r>
      <rPr>
        <sz val="10"/>
        <color theme="1"/>
        <rFont val="宋体"/>
        <family val="3"/>
        <charset val="134"/>
      </rPr>
      <t>（其他）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Arial"/>
        <family val="2"/>
      </rPr>
      <t xml:space="preserve"> Others</t>
    </r>
    <phoneticPr fontId="5" type="noConversion"/>
  </si>
  <si>
    <r>
      <rPr>
        <sz val="10"/>
        <color theme="1"/>
        <rFont val="Arial"/>
        <family val="2"/>
      </rPr>
      <t>AR</t>
    </r>
    <r>
      <rPr>
        <sz val="10"/>
        <color theme="1"/>
        <rFont val="宋体"/>
        <family val="3"/>
        <charset val="134"/>
      </rPr>
      <t>（总成本）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个人部分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雇主部分</t>
    </r>
    <r>
      <rPr>
        <sz val="10"/>
        <color theme="1"/>
        <rFont val="Arial"/>
        <family val="2"/>
      </rPr>
      <t xml:space="preserve"> AR(total cost)=Individual cost+Employer cost</t>
    </r>
    <phoneticPr fontId="29" type="noConversion"/>
  </si>
  <si>
    <r>
      <rPr>
        <sz val="10"/>
        <color theme="1"/>
        <rFont val="Arial"/>
        <family val="2"/>
      </rPr>
      <t>AS</t>
    </r>
    <r>
      <rPr>
        <sz val="10"/>
        <color theme="1"/>
        <rFont val="宋体"/>
        <family val="3"/>
        <charset val="134"/>
      </rPr>
      <t>（备注）</t>
    </r>
    <r>
      <rPr>
        <sz val="10"/>
        <color theme="1"/>
        <rFont val="Arial"/>
        <family val="2"/>
      </rPr>
      <t>=</t>
    </r>
    <r>
      <rPr>
        <sz val="10"/>
        <color theme="1"/>
        <rFont val="宋体"/>
        <family val="3"/>
        <charset val="134"/>
      </rPr>
      <t>当月特殊说明</t>
    </r>
    <r>
      <rPr>
        <sz val="10"/>
        <color theme="1"/>
        <rFont val="Arial"/>
        <family val="2"/>
      </rPr>
      <t xml:space="preserve">  AS(Remark) = Special Enquiries of the month</t>
    </r>
  </si>
  <si>
    <t>Individual</t>
    <phoneticPr fontId="5" type="noConversion"/>
  </si>
  <si>
    <t>Employer</t>
    <phoneticPr fontId="5" type="noConversion"/>
  </si>
  <si>
    <t>Social Insurance</t>
    <phoneticPr fontId="5" type="noConversion"/>
  </si>
  <si>
    <t>Housing Fund</t>
    <phoneticPr fontId="5" type="noConversion"/>
  </si>
  <si>
    <t>城市</t>
    <phoneticPr fontId="5" type="noConversion"/>
  </si>
  <si>
    <t>养老%</t>
    <phoneticPr fontId="5" type="noConversion"/>
  </si>
  <si>
    <t>医疗%</t>
    <phoneticPr fontId="5" type="noConversion"/>
  </si>
  <si>
    <t>失业%</t>
    <phoneticPr fontId="5" type="noConversion"/>
  </si>
  <si>
    <t>公积金%</t>
    <phoneticPr fontId="5" type="noConversion"/>
  </si>
  <si>
    <t>医疗固定数</t>
    <phoneticPr fontId="5" type="noConversion"/>
  </si>
  <si>
    <t>工伤固定数</t>
    <phoneticPr fontId="5" type="noConversion"/>
  </si>
  <si>
    <t>保留小数位</t>
    <phoneticPr fontId="5" type="noConversion"/>
  </si>
  <si>
    <t>末尾后处理</t>
    <phoneticPr fontId="5" type="noConversion"/>
  </si>
  <si>
    <t>离职补偿金免税额</t>
  </si>
  <si>
    <t>北京</t>
    <phoneticPr fontId="5" type="noConversion"/>
  </si>
  <si>
    <t>四舍五入</t>
  </si>
  <si>
    <t>常州</t>
    <phoneticPr fontId="5" type="noConversion"/>
  </si>
  <si>
    <t>四舍五入</t>
    <phoneticPr fontId="5" type="noConversion"/>
  </si>
  <si>
    <t>大连</t>
    <phoneticPr fontId="5" type="noConversion"/>
  </si>
  <si>
    <t>佛山</t>
    <phoneticPr fontId="5" type="noConversion"/>
  </si>
  <si>
    <t>广州</t>
    <phoneticPr fontId="5" type="noConversion"/>
  </si>
  <si>
    <t>哈尔滨</t>
    <phoneticPr fontId="5" type="noConversion"/>
  </si>
  <si>
    <t>海宁</t>
  </si>
  <si>
    <t>杭州</t>
    <phoneticPr fontId="5" type="noConversion"/>
  </si>
  <si>
    <t>惠州</t>
  </si>
  <si>
    <t>吉林</t>
    <phoneticPr fontId="5" type="noConversion"/>
  </si>
  <si>
    <t>济南</t>
    <phoneticPr fontId="5" type="noConversion"/>
  </si>
  <si>
    <t>嘉兴</t>
  </si>
  <si>
    <t>金华</t>
  </si>
  <si>
    <t>昆山</t>
  </si>
  <si>
    <t>柳州</t>
    <phoneticPr fontId="5" type="noConversion"/>
  </si>
  <si>
    <t>南通</t>
    <phoneticPr fontId="5" type="noConversion"/>
  </si>
  <si>
    <t>进位</t>
  </si>
  <si>
    <t>青岛</t>
  </si>
  <si>
    <t>泉州</t>
    <phoneticPr fontId="5" type="noConversion"/>
  </si>
  <si>
    <t>瑞安</t>
    <phoneticPr fontId="5" type="noConversion"/>
  </si>
  <si>
    <t>汕头</t>
    <phoneticPr fontId="5" type="noConversion"/>
  </si>
  <si>
    <t>上海</t>
    <phoneticPr fontId="5" type="noConversion"/>
  </si>
  <si>
    <t>上海过渡</t>
    <phoneticPr fontId="5" type="noConversion"/>
  </si>
  <si>
    <t>石家庄</t>
    <phoneticPr fontId="5" type="noConversion"/>
  </si>
  <si>
    <t>顺德</t>
    <phoneticPr fontId="5" type="noConversion"/>
  </si>
  <si>
    <t>苏州</t>
  </si>
  <si>
    <t>苏州工业园</t>
    <phoneticPr fontId="5" type="noConversion"/>
  </si>
  <si>
    <t>太仓</t>
  </si>
  <si>
    <t>泰安</t>
    <phoneticPr fontId="5" type="noConversion"/>
  </si>
  <si>
    <t>泰州</t>
    <phoneticPr fontId="5" type="noConversion"/>
  </si>
  <si>
    <t>天津</t>
    <phoneticPr fontId="5" type="noConversion"/>
  </si>
  <si>
    <t>潍坊</t>
    <phoneticPr fontId="5" type="noConversion"/>
  </si>
  <si>
    <t>温州</t>
    <phoneticPr fontId="5" type="noConversion"/>
  </si>
  <si>
    <t>无锡</t>
    <phoneticPr fontId="5" type="noConversion"/>
  </si>
  <si>
    <t>吴江</t>
    <phoneticPr fontId="5" type="noConversion"/>
  </si>
  <si>
    <t>武汉</t>
    <phoneticPr fontId="5" type="noConversion"/>
  </si>
  <si>
    <t>萧山</t>
    <phoneticPr fontId="5" type="noConversion"/>
  </si>
  <si>
    <t>扬州</t>
  </si>
  <si>
    <t>义乌</t>
    <phoneticPr fontId="5" type="noConversion"/>
  </si>
  <si>
    <t>张家港</t>
    <phoneticPr fontId="5" type="noConversion"/>
  </si>
  <si>
    <t>长沙</t>
  </si>
  <si>
    <t>东莞</t>
  </si>
  <si>
    <t>阜阳</t>
  </si>
  <si>
    <t>宁波</t>
  </si>
  <si>
    <t>福州</t>
    <phoneticPr fontId="5" type="noConversion"/>
  </si>
  <si>
    <t>重庆</t>
  </si>
  <si>
    <t>基本信息</t>
    <phoneticPr fontId="28" type="noConversion"/>
  </si>
  <si>
    <t>国家代码</t>
    <phoneticPr fontId="28" type="noConversion"/>
  </si>
  <si>
    <t>阿富汗</t>
  </si>
  <si>
    <t>004</t>
  </si>
  <si>
    <t>用工性质</t>
    <phoneticPr fontId="5" type="noConversion"/>
  </si>
  <si>
    <r>
      <t>1-</t>
    </r>
    <r>
      <rPr>
        <sz val="10"/>
        <rFont val="宋体"/>
        <family val="3"/>
        <charset val="134"/>
      </rPr>
      <t>中国大陆籍正式</t>
    </r>
  </si>
  <si>
    <t>阿尔巴尼亚</t>
  </si>
  <si>
    <t>008</t>
  </si>
  <si>
    <r>
      <t>2-</t>
    </r>
    <r>
      <rPr>
        <sz val="10"/>
        <rFont val="宋体"/>
        <family val="3"/>
        <charset val="134"/>
      </rPr>
      <t>外籍及港澳台非居民</t>
    </r>
    <phoneticPr fontId="5" type="noConversion"/>
  </si>
  <si>
    <t>南极洲</t>
  </si>
  <si>
    <t>010</t>
  </si>
  <si>
    <r>
      <t>3-</t>
    </r>
    <r>
      <rPr>
        <sz val="10"/>
        <rFont val="宋体"/>
        <family val="3"/>
        <charset val="134"/>
      </rPr>
      <t>实习、退休、临时</t>
    </r>
  </si>
  <si>
    <t>阿尔及利亚</t>
  </si>
  <si>
    <t>012</t>
  </si>
  <si>
    <r>
      <t>4-</t>
    </r>
    <r>
      <rPr>
        <sz val="10"/>
        <rFont val="宋体"/>
        <family val="2"/>
        <charset val="134"/>
      </rPr>
      <t>实习学生（全日制学历教育）</t>
    </r>
    <phoneticPr fontId="5" type="noConversion"/>
  </si>
  <si>
    <t>美属萨摩亚</t>
  </si>
  <si>
    <t>016</t>
  </si>
  <si>
    <t>安道尔</t>
  </si>
  <si>
    <t>020</t>
  </si>
  <si>
    <t>税前/税后</t>
    <phoneticPr fontId="5" type="noConversion"/>
  </si>
  <si>
    <r>
      <t>1-</t>
    </r>
    <r>
      <rPr>
        <sz val="10"/>
        <rFont val="宋体"/>
        <family val="3"/>
        <charset val="134"/>
      </rPr>
      <t>税前</t>
    </r>
  </si>
  <si>
    <t>安哥拉</t>
  </si>
  <si>
    <t>024</t>
  </si>
  <si>
    <r>
      <t>2-</t>
    </r>
    <r>
      <rPr>
        <sz val="10"/>
        <rFont val="宋体"/>
        <family val="3"/>
        <charset val="134"/>
      </rPr>
      <t>税后</t>
    </r>
  </si>
  <si>
    <t>安提瓜和巴布达</t>
  </si>
  <si>
    <t>028</t>
  </si>
  <si>
    <t>阿塞拜疆</t>
  </si>
  <si>
    <t>031</t>
  </si>
  <si>
    <t>不享受，不输入</t>
    <phoneticPr fontId="5" type="noConversion"/>
  </si>
  <si>
    <t>阿根廷</t>
  </si>
  <si>
    <t>032</t>
  </si>
  <si>
    <t>澳大利亚</t>
  </si>
  <si>
    <t>036</t>
  </si>
  <si>
    <t>证件类型</t>
    <phoneticPr fontId="5" type="noConversion"/>
  </si>
  <si>
    <t>1-居民身份证</t>
  </si>
  <si>
    <t>奥地利</t>
  </si>
  <si>
    <t>040</t>
  </si>
  <si>
    <t>2-外国护照</t>
  </si>
  <si>
    <t>巴哈马</t>
  </si>
  <si>
    <t>044</t>
  </si>
  <si>
    <t>3-港澳居民居住证</t>
  </si>
  <si>
    <t>巴林</t>
  </si>
  <si>
    <t>048</t>
  </si>
  <si>
    <t>4-台湾居民居住证</t>
  </si>
  <si>
    <t>孟加拉国</t>
  </si>
  <si>
    <t>050</t>
  </si>
  <si>
    <t>5-台湾居民来往大陆通行证</t>
  </si>
  <si>
    <t>亚美尼亚</t>
  </si>
  <si>
    <t>051</t>
  </si>
  <si>
    <t>6-港澳居民来往内地通行证</t>
  </si>
  <si>
    <t>巴巴多斯</t>
  </si>
  <si>
    <t>052</t>
  </si>
  <si>
    <t>7-中国护照</t>
  </si>
  <si>
    <t>比利时</t>
  </si>
  <si>
    <t>056</t>
  </si>
  <si>
    <t>8-外国人永久居留身份证</t>
  </si>
  <si>
    <t>百慕大</t>
  </si>
  <si>
    <t>060</t>
  </si>
  <si>
    <t>9-外国人工作许可证（A类）</t>
  </si>
  <si>
    <t>不丹</t>
  </si>
  <si>
    <t>064</t>
  </si>
  <si>
    <t>10-外国人工作许可证（B类）</t>
  </si>
  <si>
    <t>玻利维亚</t>
  </si>
  <si>
    <t>068</t>
  </si>
  <si>
    <t>11-外国人工作许可证（C类）</t>
  </si>
  <si>
    <t>波斯尼亚和黑塞哥维那</t>
  </si>
  <si>
    <t>070</t>
  </si>
  <si>
    <t>12-其他个人证件</t>
  </si>
  <si>
    <t>博茨瓦纳</t>
  </si>
  <si>
    <t>072</t>
  </si>
  <si>
    <t>布维岛</t>
  </si>
  <si>
    <t>074</t>
  </si>
  <si>
    <t>巴西</t>
  </si>
  <si>
    <t>076</t>
  </si>
  <si>
    <t>伯利兹</t>
  </si>
  <si>
    <t>084</t>
  </si>
  <si>
    <t>英属印度洋领土</t>
  </si>
  <si>
    <t>086</t>
  </si>
  <si>
    <t>所罗门群岛</t>
  </si>
  <si>
    <t>090</t>
  </si>
  <si>
    <t>英属维尔京群岛</t>
  </si>
  <si>
    <t>092</t>
  </si>
  <si>
    <t>文莱</t>
  </si>
  <si>
    <t>096</t>
  </si>
  <si>
    <t>保加利亚</t>
  </si>
  <si>
    <t>100</t>
  </si>
  <si>
    <t>缅甸</t>
  </si>
  <si>
    <t>104</t>
  </si>
  <si>
    <t>布隆迪</t>
  </si>
  <si>
    <t>108</t>
  </si>
  <si>
    <t>白俄罗斯</t>
  </si>
  <si>
    <t>112</t>
  </si>
  <si>
    <t>柬埔寨</t>
  </si>
  <si>
    <t>116</t>
  </si>
  <si>
    <t>喀麦隆</t>
  </si>
  <si>
    <t>120</t>
  </si>
  <si>
    <t>加拿大</t>
  </si>
  <si>
    <t>124</t>
  </si>
  <si>
    <t>佛得角</t>
  </si>
  <si>
    <t>132</t>
  </si>
  <si>
    <t>开曼群岛</t>
  </si>
  <si>
    <t>136</t>
  </si>
  <si>
    <t>中非共和国</t>
  </si>
  <si>
    <t>140</t>
  </si>
  <si>
    <t>斯里兰卡</t>
  </si>
  <si>
    <t>144</t>
  </si>
  <si>
    <t>乍得</t>
  </si>
  <si>
    <t>148</t>
  </si>
  <si>
    <t>智利</t>
  </si>
  <si>
    <t>152</t>
  </si>
  <si>
    <t>156</t>
  </si>
  <si>
    <t>中国台湾</t>
  </si>
  <si>
    <t>158</t>
  </si>
  <si>
    <t>圣诞岛</t>
  </si>
  <si>
    <t>162</t>
  </si>
  <si>
    <t>科科斯(基林)群岛</t>
  </si>
  <si>
    <t>166</t>
  </si>
  <si>
    <t>哥伦比亚</t>
  </si>
  <si>
    <t>170</t>
  </si>
  <si>
    <t>科摩罗</t>
  </si>
  <si>
    <t>174</t>
  </si>
  <si>
    <t>马约特</t>
  </si>
  <si>
    <t>175</t>
  </si>
  <si>
    <t>刚果</t>
  </si>
  <si>
    <t>178</t>
  </si>
  <si>
    <t>扎伊尔</t>
  </si>
  <si>
    <t>180</t>
  </si>
  <si>
    <t>库克群岛</t>
  </si>
  <si>
    <t>184</t>
  </si>
  <si>
    <t>哥斯达黎加</t>
  </si>
  <si>
    <t>188</t>
  </si>
  <si>
    <t>克罗地亚</t>
  </si>
  <si>
    <t>191</t>
  </si>
  <si>
    <t>古巴</t>
  </si>
  <si>
    <t>192</t>
  </si>
  <si>
    <t>塞浦路斯</t>
  </si>
  <si>
    <t>196</t>
  </si>
  <si>
    <t>捷克</t>
  </si>
  <si>
    <t>203</t>
  </si>
  <si>
    <t>贝宁</t>
  </si>
  <si>
    <t>204</t>
  </si>
  <si>
    <t>丹麦</t>
  </si>
  <si>
    <t>208</t>
  </si>
  <si>
    <t>多米尼克</t>
  </si>
  <si>
    <t>212</t>
  </si>
  <si>
    <t>多米尼加共和国</t>
  </si>
  <si>
    <t>214</t>
  </si>
  <si>
    <t>厄瓜多尔</t>
  </si>
  <si>
    <t>218</t>
  </si>
  <si>
    <t>萨尔瓦多</t>
  </si>
  <si>
    <t>222</t>
  </si>
  <si>
    <t>赤道几内亚</t>
  </si>
  <si>
    <t>226</t>
  </si>
  <si>
    <t>埃塞俄比亚</t>
  </si>
  <si>
    <t>231</t>
  </si>
  <si>
    <t>厄立特里亚</t>
  </si>
  <si>
    <t>232</t>
  </si>
  <si>
    <t>爱沙尼亚</t>
  </si>
  <si>
    <t>233</t>
  </si>
  <si>
    <t>法罗群岛</t>
  </si>
  <si>
    <t>234</t>
  </si>
  <si>
    <t>Malvinas</t>
  </si>
  <si>
    <t>238</t>
  </si>
  <si>
    <t>南乔治亚岛和南桑德韦奇岛</t>
  </si>
  <si>
    <t>斐济</t>
  </si>
  <si>
    <t>242</t>
  </si>
  <si>
    <t>芬兰</t>
  </si>
  <si>
    <t>246</t>
  </si>
  <si>
    <t>法国</t>
  </si>
  <si>
    <t>250</t>
  </si>
  <si>
    <t>法属圭亚那</t>
  </si>
  <si>
    <t>254</t>
  </si>
  <si>
    <t>法属波利尼西亚</t>
  </si>
  <si>
    <t>258</t>
  </si>
  <si>
    <t>法属南部领土</t>
  </si>
  <si>
    <t>260</t>
  </si>
  <si>
    <t>吉布提</t>
  </si>
  <si>
    <t>262</t>
  </si>
  <si>
    <t>加蓬</t>
  </si>
  <si>
    <t>266</t>
  </si>
  <si>
    <t>格鲁吉亚</t>
  </si>
  <si>
    <t>268</t>
  </si>
  <si>
    <t>冈比亚</t>
  </si>
  <si>
    <t>270</t>
  </si>
  <si>
    <t>德国</t>
  </si>
  <si>
    <t>276</t>
  </si>
  <si>
    <t>加纳</t>
  </si>
  <si>
    <t>288</t>
  </si>
  <si>
    <t>直布罗陀</t>
  </si>
  <si>
    <t>292</t>
  </si>
  <si>
    <t>基里巴斯</t>
  </si>
  <si>
    <t>296</t>
  </si>
  <si>
    <t>希腊</t>
  </si>
  <si>
    <t>300</t>
  </si>
  <si>
    <t>格陵兰</t>
  </si>
  <si>
    <t>304</t>
  </si>
  <si>
    <t>格林纳达</t>
  </si>
  <si>
    <t>308</t>
  </si>
  <si>
    <t>瓜德罗普</t>
  </si>
  <si>
    <t>312</t>
  </si>
  <si>
    <t>关岛</t>
  </si>
  <si>
    <t>316</t>
  </si>
  <si>
    <t>危地马拉</t>
  </si>
  <si>
    <t>320</t>
  </si>
  <si>
    <t>几内亚</t>
  </si>
  <si>
    <t>324</t>
  </si>
  <si>
    <t>圭亚那</t>
  </si>
  <si>
    <t>328</t>
  </si>
  <si>
    <t>海地</t>
  </si>
  <si>
    <t>332</t>
  </si>
  <si>
    <t>赫德岛和麦克唐纳岛</t>
  </si>
  <si>
    <t>334</t>
  </si>
  <si>
    <t>梵蒂冈</t>
  </si>
  <si>
    <t>336</t>
  </si>
  <si>
    <t>洪都拉斯</t>
  </si>
  <si>
    <t>340</t>
  </si>
  <si>
    <t>乌克兰</t>
  </si>
  <si>
    <t>344</t>
  </si>
  <si>
    <t>香港</t>
  </si>
  <si>
    <t>匈牙利</t>
  </si>
  <si>
    <t>348</t>
  </si>
  <si>
    <t>冰岛</t>
  </si>
  <si>
    <t>352</t>
  </si>
  <si>
    <t>印度</t>
  </si>
  <si>
    <t>356</t>
  </si>
  <si>
    <t>印度尼西亚</t>
  </si>
  <si>
    <t>360</t>
  </si>
  <si>
    <t>伊朗</t>
  </si>
  <si>
    <t>364</t>
  </si>
  <si>
    <t>伊拉克</t>
  </si>
  <si>
    <t>368</t>
  </si>
  <si>
    <t>爱尔兰</t>
  </si>
  <si>
    <t>372</t>
  </si>
  <si>
    <t>巴勒斯坦</t>
  </si>
  <si>
    <t>374</t>
  </si>
  <si>
    <t>以色列</t>
  </si>
  <si>
    <t>376</t>
  </si>
  <si>
    <t>意大利</t>
  </si>
  <si>
    <t>380</t>
  </si>
  <si>
    <t>科特迪瓦</t>
  </si>
  <si>
    <t>384</t>
  </si>
  <si>
    <t>牙买加</t>
  </si>
  <si>
    <t>388</t>
  </si>
  <si>
    <t>日本</t>
  </si>
  <si>
    <t>392</t>
  </si>
  <si>
    <t>哈萨克斯坦</t>
  </si>
  <si>
    <t>398</t>
  </si>
  <si>
    <t>约旦</t>
  </si>
  <si>
    <t>400</t>
  </si>
  <si>
    <t>肯尼亚</t>
  </si>
  <si>
    <t>404</t>
  </si>
  <si>
    <t>朝鲜</t>
  </si>
  <si>
    <t>408</t>
  </si>
  <si>
    <t>韩国</t>
  </si>
  <si>
    <t>410</t>
  </si>
  <si>
    <t>科威特</t>
  </si>
  <si>
    <t>414</t>
  </si>
  <si>
    <t>吉尔吉斯斯坦</t>
  </si>
  <si>
    <t>417</t>
  </si>
  <si>
    <t>老挝</t>
  </si>
  <si>
    <t>418</t>
  </si>
  <si>
    <t>黎巴嫩</t>
  </si>
  <si>
    <t>422</t>
  </si>
  <si>
    <t>莱索托</t>
  </si>
  <si>
    <t>426</t>
  </si>
  <si>
    <t>拉脱维亚</t>
  </si>
  <si>
    <t>428</t>
  </si>
  <si>
    <t>利比里亚</t>
  </si>
  <si>
    <t>430</t>
  </si>
  <si>
    <t>利比亚</t>
  </si>
  <si>
    <t>434</t>
  </si>
  <si>
    <t>列支敦士登</t>
  </si>
  <si>
    <t>438</t>
  </si>
  <si>
    <t>立陶宛</t>
  </si>
  <si>
    <t>440</t>
  </si>
  <si>
    <t>卢森堡</t>
  </si>
  <si>
    <t>442</t>
  </si>
  <si>
    <t>澳门</t>
  </si>
  <si>
    <t>446</t>
  </si>
  <si>
    <t>马达加斯加</t>
  </si>
  <si>
    <t>450</t>
  </si>
  <si>
    <t>马拉维</t>
  </si>
  <si>
    <t>454</t>
  </si>
  <si>
    <t>马来西亚</t>
  </si>
  <si>
    <t>458</t>
  </si>
  <si>
    <t>马尔代夫</t>
  </si>
  <si>
    <t>462</t>
  </si>
  <si>
    <t>马里</t>
  </si>
  <si>
    <t>466</t>
  </si>
  <si>
    <t>马耳他</t>
  </si>
  <si>
    <t>470</t>
  </si>
  <si>
    <t>马提尼克</t>
  </si>
  <si>
    <t>474</t>
  </si>
  <si>
    <t>毛里塔尼亚</t>
  </si>
  <si>
    <t>478</t>
  </si>
  <si>
    <t>毛里求斯</t>
  </si>
  <si>
    <t>480</t>
  </si>
  <si>
    <t>墨西哥</t>
  </si>
  <si>
    <t>484</t>
  </si>
  <si>
    <t>摩纳哥</t>
  </si>
  <si>
    <t>492</t>
  </si>
  <si>
    <t>蒙古</t>
  </si>
  <si>
    <t>496</t>
  </si>
  <si>
    <t>摩尔多瓦</t>
  </si>
  <si>
    <t>498</t>
  </si>
  <si>
    <t>蒙特塞拉特</t>
  </si>
  <si>
    <t>500</t>
  </si>
  <si>
    <t>摩洛哥</t>
  </si>
  <si>
    <t>504</t>
  </si>
  <si>
    <t>莫桑比克</t>
  </si>
  <si>
    <t>508</t>
  </si>
  <si>
    <t>阿曼</t>
  </si>
  <si>
    <t>512</t>
  </si>
  <si>
    <t>纳米比亚</t>
  </si>
  <si>
    <t>516</t>
  </si>
  <si>
    <t>瑙鲁</t>
  </si>
  <si>
    <t>520</t>
  </si>
  <si>
    <t>尼泊尔</t>
  </si>
  <si>
    <t>524</t>
  </si>
  <si>
    <t>荷兰</t>
  </si>
  <si>
    <t>528</t>
  </si>
  <si>
    <t>荷属安的列斯</t>
  </si>
  <si>
    <t>530</t>
  </si>
  <si>
    <t>阿鲁巴</t>
  </si>
  <si>
    <t>533</t>
  </si>
  <si>
    <t>乌拉圭</t>
  </si>
  <si>
    <t>540</t>
  </si>
  <si>
    <t>新喀里多尼亚</t>
  </si>
  <si>
    <t>瓦努阿图</t>
  </si>
  <si>
    <t>548</t>
  </si>
  <si>
    <t>新西兰</t>
  </si>
  <si>
    <t>554</t>
  </si>
  <si>
    <t>尼加拉瓜</t>
  </si>
  <si>
    <t>558</t>
  </si>
  <si>
    <t>尼日尔</t>
  </si>
  <si>
    <t>562</t>
  </si>
  <si>
    <t>尼日利亚</t>
  </si>
  <si>
    <t>566</t>
  </si>
  <si>
    <t>纽埃</t>
  </si>
  <si>
    <t>570</t>
  </si>
  <si>
    <t>诺福克岛</t>
  </si>
  <si>
    <t>574</t>
  </si>
  <si>
    <t>挪威</t>
  </si>
  <si>
    <t>578</t>
  </si>
  <si>
    <t>北马里亚纳</t>
  </si>
  <si>
    <t>580</t>
  </si>
  <si>
    <t>美属太平洋各群岛(包括:中途岛、约翰斯顿岛、豪兰岛、贝克岛和威克岛等)</t>
  </si>
  <si>
    <t>密克罗尼西亚</t>
  </si>
  <si>
    <t>583</t>
  </si>
  <si>
    <t>马绍尔群岛</t>
  </si>
  <si>
    <t>584</t>
  </si>
  <si>
    <t>贝劳</t>
  </si>
  <si>
    <t>585</t>
  </si>
  <si>
    <t>巴基斯坦</t>
  </si>
  <si>
    <t>586</t>
  </si>
  <si>
    <t>巴拿马</t>
  </si>
  <si>
    <t>591</t>
  </si>
  <si>
    <t>巴布亚新几内亚</t>
  </si>
  <si>
    <t>598</t>
  </si>
  <si>
    <t>巴拉圭</t>
  </si>
  <si>
    <t>600</t>
  </si>
  <si>
    <t>秘鲁</t>
  </si>
  <si>
    <t>604</t>
  </si>
  <si>
    <t>菲律宾</t>
  </si>
  <si>
    <t>608</t>
  </si>
  <si>
    <t>皮特凯恩群岛</t>
  </si>
  <si>
    <t>612</t>
  </si>
  <si>
    <t>波兰</t>
  </si>
  <si>
    <t>616</t>
  </si>
  <si>
    <t>葡萄牙</t>
  </si>
  <si>
    <t>620</t>
  </si>
  <si>
    <t>几内亚比绍</t>
  </si>
  <si>
    <t>624</t>
  </si>
  <si>
    <t>东帝汶</t>
  </si>
  <si>
    <t>626</t>
  </si>
  <si>
    <t>波多黎各</t>
  </si>
  <si>
    <t>630</t>
  </si>
  <si>
    <t>卡塔尔</t>
  </si>
  <si>
    <t>634</t>
  </si>
  <si>
    <t>留尼汪</t>
  </si>
  <si>
    <t>638</t>
  </si>
  <si>
    <t>罗马尼亚</t>
  </si>
  <si>
    <t>642</t>
  </si>
  <si>
    <t>俄罗斯</t>
  </si>
  <si>
    <t>643</t>
  </si>
  <si>
    <t>卢旺达</t>
  </si>
  <si>
    <t>646</t>
  </si>
  <si>
    <t>圣赫勒拿</t>
  </si>
  <si>
    <t>654</t>
  </si>
  <si>
    <t>圣基茨和尼维斯</t>
  </si>
  <si>
    <t>659</t>
  </si>
  <si>
    <t>安圭拉</t>
  </si>
  <si>
    <t>660</t>
  </si>
  <si>
    <t>圣卢西亚</t>
  </si>
  <si>
    <t>662</t>
  </si>
  <si>
    <t>圣皮埃尔和密克隆</t>
  </si>
  <si>
    <t>666</t>
  </si>
  <si>
    <t>圣文森特和格林纳丁斯</t>
  </si>
  <si>
    <t>圣马力诺</t>
  </si>
  <si>
    <t>674</t>
  </si>
  <si>
    <t>圣多美和普林西比</t>
  </si>
  <si>
    <t>沙竺阿拉伯</t>
  </si>
  <si>
    <t>682</t>
  </si>
  <si>
    <t>塞内加尔</t>
  </si>
  <si>
    <t>686</t>
  </si>
  <si>
    <t>塞舌尔</t>
  </si>
  <si>
    <t>690</t>
  </si>
  <si>
    <t>塞拉利昂</t>
  </si>
  <si>
    <t>694</t>
  </si>
  <si>
    <t>新加坡</t>
  </si>
  <si>
    <t>702</t>
  </si>
  <si>
    <t>斯洛伐克</t>
  </si>
  <si>
    <t>703</t>
  </si>
  <si>
    <t>越南</t>
  </si>
  <si>
    <t>704</t>
  </si>
  <si>
    <t>斯洛文尼亚</t>
  </si>
  <si>
    <t>705</t>
  </si>
  <si>
    <t>索马里</t>
  </si>
  <si>
    <t>706</t>
  </si>
  <si>
    <t>南非</t>
  </si>
  <si>
    <t>710</t>
  </si>
  <si>
    <t>津巴布韦</t>
  </si>
  <si>
    <t>716</t>
  </si>
  <si>
    <t>西班牙</t>
  </si>
  <si>
    <t>724</t>
  </si>
  <si>
    <t>乌干达</t>
  </si>
  <si>
    <t>732</t>
  </si>
  <si>
    <t>西撒哈拉</t>
  </si>
  <si>
    <t>苏丹</t>
  </si>
  <si>
    <t>736</t>
  </si>
  <si>
    <t>苏里南</t>
  </si>
  <si>
    <t>740</t>
  </si>
  <si>
    <t>斯瓦尔巴群岛</t>
  </si>
  <si>
    <t>744</t>
  </si>
  <si>
    <t>斯威士兰</t>
  </si>
  <si>
    <t>748</t>
  </si>
  <si>
    <t>瑞典</t>
  </si>
  <si>
    <t>752</t>
  </si>
  <si>
    <t>瑞士</t>
  </si>
  <si>
    <t>756</t>
  </si>
  <si>
    <t>叙利亚</t>
  </si>
  <si>
    <t>760</t>
  </si>
  <si>
    <t>塔吉克斯坦</t>
  </si>
  <si>
    <t>762</t>
  </si>
  <si>
    <t>泰国</t>
  </si>
  <si>
    <t>764</t>
  </si>
  <si>
    <t>多哥</t>
  </si>
  <si>
    <t>768</t>
  </si>
  <si>
    <t>托克劳</t>
  </si>
  <si>
    <t>772</t>
  </si>
  <si>
    <t>汤加</t>
  </si>
  <si>
    <t>776</t>
  </si>
  <si>
    <t>特立尼达和多巴哥</t>
  </si>
  <si>
    <t>780</t>
  </si>
  <si>
    <t>阿闻酋</t>
  </si>
  <si>
    <t>784</t>
  </si>
  <si>
    <t>突尼斯</t>
  </si>
  <si>
    <t>788</t>
  </si>
  <si>
    <t>土耳其</t>
  </si>
  <si>
    <t>792</t>
  </si>
  <si>
    <t>土库曼斯坦</t>
  </si>
  <si>
    <t>795</t>
  </si>
  <si>
    <t>特克斯科斯群岛</t>
  </si>
  <si>
    <t>796</t>
  </si>
  <si>
    <t>图瓦卢</t>
  </si>
  <si>
    <t>798</t>
  </si>
  <si>
    <t>马斯顿</t>
  </si>
  <si>
    <t>807</t>
  </si>
  <si>
    <t>埃及</t>
  </si>
  <si>
    <t>818</t>
  </si>
  <si>
    <t>乌兹别克斯坦</t>
  </si>
  <si>
    <t>826</t>
  </si>
  <si>
    <t>英国</t>
  </si>
  <si>
    <t>坦桑尼亚</t>
  </si>
  <si>
    <t>834</t>
  </si>
  <si>
    <t>美国</t>
  </si>
  <si>
    <t>840</t>
  </si>
  <si>
    <t>美属维尔京群岛</t>
  </si>
  <si>
    <t>850</t>
  </si>
  <si>
    <t>布基纳法索</t>
  </si>
  <si>
    <t>854</t>
  </si>
  <si>
    <t>委内瑞拉</t>
  </si>
  <si>
    <t>862</t>
  </si>
  <si>
    <t>瓦利斯和富图纳群岛</t>
  </si>
  <si>
    <t>876</t>
  </si>
  <si>
    <t>西萨摩亚</t>
  </si>
  <si>
    <t>882</t>
  </si>
  <si>
    <t>也门</t>
  </si>
  <si>
    <t>887</t>
  </si>
  <si>
    <t>南斯拉夫</t>
  </si>
  <si>
    <t>891</t>
  </si>
  <si>
    <t>赞比亚</t>
  </si>
  <si>
    <t>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</si>
</sst>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#,##0.00_ "/>
    <numFmt numFmtId="167" formatCode="yyyy/m/d;@"/>
    <numFmt numFmtId="168" formatCode="#,##0.0_);[Red]\(#,##0.0\)"/>
    <numFmt numFmtId="169" formatCode="#,##0.0_ "/>
    <numFmt numFmtId="170" formatCode="#,##0_ "/>
    <numFmt numFmtId="171" formatCode="#,##0.00_ ;[Red]\-#,##0.00\ "/>
    <numFmt numFmtId="172" formatCode="yyyy&quot;年&quot;m&quot;月&quot;;@"/>
    <numFmt numFmtId="173" formatCode="[$-409]dd/mmm/yy;@"/>
    <numFmt numFmtId="174" formatCode="0.00_);[Red]\(0.00\)"/>
    <numFmt numFmtId="175" formatCode="[$-F800]dddd\,\ mmmm\ dd\,\ yyyy"/>
    <numFmt numFmtId="176" formatCode="0.00_);\(0.00\)"/>
    <numFmt numFmtId="177" formatCode="yyyymmddhhmm"/>
    <numFmt numFmtId="178" formatCode="yyyymm"/>
  </numFmts>
  <fonts count="55">
    <font>
      <sz val="10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u/>
      <sz val="10"/>
      <color indexed="12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6"/>
      <name val="宋体"/>
      <family val="3"/>
      <charset val="134"/>
    </font>
    <font>
      <b/>
      <sz val="18"/>
      <name val="宋体"/>
      <family val="3"/>
      <charset val="134"/>
    </font>
    <font>
      <sz val="18"/>
      <name val="宋体"/>
      <family val="3"/>
      <charset val="134"/>
    </font>
    <font>
      <u/>
      <sz val="10"/>
      <color indexed="12"/>
      <name val="宋体"/>
      <family val="3"/>
      <charset val="134"/>
    </font>
    <font>
      <b/>
      <sz val="10"/>
      <color indexed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8"/>
      <name val="宋体"/>
      <family val="3"/>
      <charset val="134"/>
    </font>
    <font>
      <b/>
      <i/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Arial Unicode MS"/>
      <family val="2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b/>
      <sz val="10"/>
      <color theme="0"/>
      <name val="宋体"/>
      <family val="3"/>
      <charset val="134"/>
    </font>
    <font>
      <sz val="10"/>
      <color theme="1"/>
      <name val="Arial Unicode MS"/>
      <family val="2"/>
      <charset val="134"/>
    </font>
    <font>
      <sz val="9"/>
      <name val="宋体"/>
      <family val="3"/>
      <charset val="134"/>
    </font>
    <font>
      <sz val="9"/>
      <name val="Calibri"/>
      <family val="2"/>
      <charset val="134"/>
      <scheme val="minor"/>
    </font>
    <font>
      <sz val="10"/>
      <color rgb="FFFF0000"/>
      <name val="Arial Unicode MS"/>
      <family val="2"/>
      <charset val="134"/>
    </font>
    <font>
      <sz val="10"/>
      <color theme="1"/>
      <name val="宋体"/>
      <family val="3"/>
      <charset val="134"/>
    </font>
    <font>
      <b/>
      <sz val="12"/>
      <color theme="1"/>
      <name val="Arial Unicode MS"/>
      <family val="2"/>
      <charset val="134"/>
    </font>
    <font>
      <b/>
      <sz val="10"/>
      <color theme="1"/>
      <name val="Arial Unicode MS"/>
      <family val="2"/>
      <charset val="134"/>
    </font>
    <font>
      <b/>
      <u/>
      <sz val="10"/>
      <color theme="1"/>
      <name val="Arial Unicode MS"/>
      <family val="2"/>
      <charset val="134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11"/>
      <color indexed="8"/>
      <name val="宋体"/>
      <family val="3"/>
      <charset val="134"/>
    </font>
    <font>
      <u/>
      <sz val="10.199999999999999"/>
      <color indexed="12"/>
      <name val="宋体"/>
      <family val="3"/>
      <charset val="134"/>
    </font>
    <font>
      <sz val="10"/>
      <name val="Helv"/>
      <family val="2"/>
    </font>
    <font>
      <b/>
      <sz val="10"/>
      <color rgb="FFFF0000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indexed="8"/>
      <name val="Arial"/>
      <family val="2"/>
    </font>
    <font>
      <b/>
      <sz val="10"/>
      <color rgb="FFFF0000"/>
      <name val="Arial Unicode MS"/>
      <family val="2"/>
      <charset val="134"/>
    </font>
    <font>
      <sz val="10"/>
      <name val="宋体"/>
      <family val="2"/>
      <charset val="134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9">
    <xf numFmtId="173" fontId="0" fillId="0" borderId="0"/>
    <xf numFmtId="43" fontId="6" fillId="0" borderId="0" applyFont="0" applyFill="0" applyBorder="0" applyAlignment="0" applyProtection="0"/>
    <xf numFmtId="173" fontId="6" fillId="0" borderId="0"/>
    <xf numFmtId="173" fontId="24" fillId="0" borderId="0"/>
    <xf numFmtId="173" fontId="4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73" fontId="24" fillId="0" borderId="0"/>
    <xf numFmtId="173" fontId="3" fillId="0" borderId="0">
      <alignment vertical="center"/>
    </xf>
    <xf numFmtId="173" fontId="38" fillId="0" borderId="0"/>
    <xf numFmtId="173" fontId="38" fillId="0" borderId="0"/>
    <xf numFmtId="9" fontId="24" fillId="0" borderId="0" applyFont="0" applyFill="0" applyBorder="0" applyAlignment="0" applyProtection="0"/>
    <xf numFmtId="173" fontId="24" fillId="0" borderId="0"/>
    <xf numFmtId="173" fontId="24" fillId="0" borderId="0"/>
    <xf numFmtId="173" fontId="24" fillId="0" borderId="0"/>
    <xf numFmtId="173" fontId="25" fillId="0" borderId="0">
      <alignment vertical="center"/>
    </xf>
    <xf numFmtId="173" fontId="24" fillId="0" borderId="0"/>
    <xf numFmtId="173" fontId="24" fillId="0" borderId="0"/>
    <xf numFmtId="173" fontId="24" fillId="0" borderId="0"/>
    <xf numFmtId="173" fontId="25" fillId="0" borderId="0">
      <alignment vertical="center"/>
    </xf>
    <xf numFmtId="173" fontId="25" fillId="0" borderId="0">
      <alignment vertical="center"/>
    </xf>
    <xf numFmtId="173" fontId="24" fillId="0" borderId="0"/>
    <xf numFmtId="173" fontId="24" fillId="0" borderId="0"/>
    <xf numFmtId="173" fontId="24" fillId="0" borderId="0"/>
    <xf numFmtId="173" fontId="24" fillId="0" borderId="0"/>
    <xf numFmtId="173" fontId="25" fillId="0" borderId="0">
      <alignment vertical="center"/>
    </xf>
    <xf numFmtId="173" fontId="24" fillId="0" borderId="0">
      <alignment vertical="center"/>
    </xf>
    <xf numFmtId="173" fontId="25" fillId="0" borderId="0">
      <alignment vertical="center"/>
    </xf>
    <xf numFmtId="173" fontId="24" fillId="0" borderId="0"/>
    <xf numFmtId="173" fontId="24" fillId="0" borderId="0"/>
    <xf numFmtId="173" fontId="25" fillId="0" borderId="0">
      <alignment vertical="center"/>
    </xf>
    <xf numFmtId="173" fontId="25" fillId="0" borderId="0">
      <alignment vertical="center"/>
    </xf>
    <xf numFmtId="173" fontId="24" fillId="0" borderId="0"/>
    <xf numFmtId="173" fontId="24" fillId="0" borderId="0"/>
    <xf numFmtId="173" fontId="24" fillId="0" borderId="0"/>
    <xf numFmtId="173" fontId="25" fillId="0" borderId="0">
      <alignment vertical="center"/>
    </xf>
    <xf numFmtId="173" fontId="25" fillId="0" borderId="0">
      <alignment vertical="center"/>
    </xf>
    <xf numFmtId="173" fontId="6" fillId="0" borderId="0"/>
    <xf numFmtId="173" fontId="39" fillId="0" borderId="0" applyNumberFormat="0" applyFill="0" applyBorder="0" applyAlignment="0" applyProtection="0">
      <alignment vertical="top"/>
      <protection locked="0"/>
    </xf>
    <xf numFmtId="173" fontId="39" fillId="0" borderId="0" applyNumberFormat="0" applyFill="0" applyBorder="0" applyAlignment="0" applyProtection="0">
      <alignment vertical="top"/>
      <protection locked="0"/>
    </xf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5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164" fontId="25" fillId="0" borderId="0" applyFont="0" applyFill="0" applyBorder="0" applyAlignment="0" applyProtection="0">
      <alignment vertical="center"/>
    </xf>
    <xf numFmtId="164" fontId="25" fillId="0" borderId="0" applyFont="0" applyFill="0" applyBorder="0" applyAlignment="0" applyProtection="0">
      <alignment vertical="center"/>
    </xf>
    <xf numFmtId="164" fontId="25" fillId="0" borderId="0" applyFont="0" applyFill="0" applyBorder="0" applyAlignment="0" applyProtection="0">
      <alignment vertical="center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73" fontId="40" fillId="0" borderId="0"/>
    <xf numFmtId="173" fontId="40" fillId="0" borderId="0"/>
    <xf numFmtId="175" fontId="24" fillId="0" borderId="0">
      <alignment vertical="center"/>
    </xf>
    <xf numFmtId="0" fontId="43" fillId="0" borderId="0"/>
  </cellStyleXfs>
  <cellXfs count="404">
    <xf numFmtId="173" fontId="0" fillId="0" borderId="0" xfId="0"/>
    <xf numFmtId="173" fontId="14" fillId="0" borderId="0" xfId="4" applyFont="1" applyAlignment="1" applyProtection="1">
      <alignment wrapText="1" readingOrder="1"/>
    </xf>
    <xf numFmtId="173" fontId="9" fillId="0" borderId="0" xfId="2" applyFont="1" applyAlignment="1">
      <alignment wrapText="1" readingOrder="1"/>
    </xf>
    <xf numFmtId="173" fontId="11" fillId="0" borderId="0" xfId="2" applyFont="1" applyAlignment="1">
      <alignment wrapText="1" readingOrder="1"/>
    </xf>
    <xf numFmtId="173" fontId="13" fillId="0" borderId="0" xfId="2" applyFont="1" applyAlignment="1">
      <alignment wrapText="1" readingOrder="1"/>
    </xf>
    <xf numFmtId="173" fontId="9" fillId="0" borderId="0" xfId="2" quotePrefix="1" applyFont="1" applyAlignment="1">
      <alignment horizontal="left" wrapText="1" readingOrder="1"/>
    </xf>
    <xf numFmtId="173" fontId="9" fillId="0" borderId="0" xfId="2" applyFont="1" applyAlignment="1">
      <alignment horizontal="left" wrapText="1" readingOrder="1"/>
    </xf>
    <xf numFmtId="173" fontId="9" fillId="0" borderId="0" xfId="0" applyFont="1" applyAlignment="1">
      <alignment wrapText="1" readingOrder="1"/>
    </xf>
    <xf numFmtId="43" fontId="9" fillId="0" borderId="0" xfId="2" applyNumberFormat="1" applyFont="1" applyAlignment="1">
      <alignment wrapText="1" readingOrder="1"/>
    </xf>
    <xf numFmtId="173" fontId="9" fillId="0" borderId="1" xfId="2" applyFont="1" applyBorder="1" applyAlignment="1">
      <alignment wrapText="1" readingOrder="1"/>
    </xf>
    <xf numFmtId="173" fontId="8" fillId="0" borderId="0" xfId="2" applyFont="1" applyAlignment="1">
      <alignment horizontal="center" wrapText="1" readingOrder="1"/>
    </xf>
    <xf numFmtId="173" fontId="9" fillId="2" borderId="0" xfId="0" applyFont="1" applyFill="1" applyAlignment="1">
      <alignment horizontal="left" vertical="top" wrapText="1" readingOrder="1"/>
    </xf>
    <xf numFmtId="173" fontId="9" fillId="2" borderId="4" xfId="0" applyFont="1" applyFill="1" applyBorder="1" applyAlignment="1">
      <alignment horizontal="left" vertical="top" wrapText="1" readingOrder="1"/>
    </xf>
    <xf numFmtId="173" fontId="9" fillId="2" borderId="5" xfId="0" applyFont="1" applyFill="1" applyBorder="1" applyAlignment="1">
      <alignment horizontal="left" vertical="top" wrapText="1" readingOrder="1"/>
    </xf>
    <xf numFmtId="173" fontId="10" fillId="0" borderId="0" xfId="2" applyFont="1" applyAlignment="1">
      <alignment horizontal="center" wrapText="1" readingOrder="1"/>
    </xf>
    <xf numFmtId="173" fontId="9" fillId="0" borderId="1" xfId="0" applyFont="1" applyBorder="1" applyAlignment="1">
      <alignment wrapText="1" readingOrder="1"/>
    </xf>
    <xf numFmtId="173" fontId="9" fillId="0" borderId="1" xfId="2" applyFont="1" applyBorder="1" applyAlignment="1">
      <alignment horizontal="left" wrapText="1" readingOrder="1"/>
    </xf>
    <xf numFmtId="173" fontId="26" fillId="0" borderId="4" xfId="2" applyFont="1" applyBorder="1" applyAlignment="1">
      <alignment wrapText="1" readingOrder="1"/>
    </xf>
    <xf numFmtId="173" fontId="17" fillId="0" borderId="0" xfId="2" applyFont="1" applyAlignment="1">
      <alignment wrapText="1" readingOrder="1"/>
    </xf>
    <xf numFmtId="173" fontId="9" fillId="0" borderId="8" xfId="2" applyFont="1" applyBorder="1" applyAlignment="1">
      <alignment wrapText="1" readingOrder="1"/>
    </xf>
    <xf numFmtId="173" fontId="9" fillId="0" borderId="9" xfId="2" applyFont="1" applyBorder="1" applyAlignment="1">
      <alignment wrapText="1" readingOrder="1"/>
    </xf>
    <xf numFmtId="40" fontId="9" fillId="0" borderId="5" xfId="2" applyNumberFormat="1" applyFont="1" applyBorder="1" applyAlignment="1">
      <alignment wrapText="1" readingOrder="1"/>
    </xf>
    <xf numFmtId="40" fontId="9" fillId="0" borderId="5" xfId="5" applyNumberFormat="1" applyFont="1" applyBorder="1" applyAlignment="1">
      <alignment wrapText="1" readingOrder="1"/>
    </xf>
    <xf numFmtId="173" fontId="9" fillId="0" borderId="17" xfId="0" applyFont="1" applyBorder="1" applyAlignment="1">
      <alignment wrapText="1" readingOrder="1"/>
    </xf>
    <xf numFmtId="40" fontId="9" fillId="0" borderId="17" xfId="5" applyNumberFormat="1" applyFont="1" applyBorder="1" applyAlignment="1">
      <alignment wrapText="1" readingOrder="1"/>
    </xf>
    <xf numFmtId="173" fontId="9" fillId="0" borderId="5" xfId="2" applyFont="1" applyBorder="1" applyAlignment="1">
      <alignment wrapText="1" readingOrder="1"/>
    </xf>
    <xf numFmtId="40" fontId="9" fillId="0" borderId="17" xfId="2" applyNumberFormat="1" applyFont="1" applyBorder="1" applyAlignment="1">
      <alignment wrapText="1" readingOrder="1"/>
    </xf>
    <xf numFmtId="40" fontId="9" fillId="0" borderId="17" xfId="0" applyNumberFormat="1" applyFont="1" applyBorder="1" applyAlignment="1">
      <alignment wrapText="1" readingOrder="1"/>
    </xf>
    <xf numFmtId="167" fontId="9" fillId="0" borderId="0" xfId="2" applyNumberFormat="1" applyFont="1" applyAlignment="1">
      <alignment horizontal="left" wrapText="1" readingOrder="1"/>
    </xf>
    <xf numFmtId="49" fontId="27" fillId="4" borderId="0" xfId="0" applyNumberFormat="1" applyFont="1" applyFill="1" applyAlignment="1">
      <alignment horizontal="right" vertical="center"/>
    </xf>
    <xf numFmtId="38" fontId="27" fillId="4" borderId="0" xfId="0" applyNumberFormat="1" applyFont="1" applyFill="1" applyAlignment="1">
      <alignment horizontal="right" vertical="center"/>
    </xf>
    <xf numFmtId="10" fontId="27" fillId="4" borderId="0" xfId="0" applyNumberFormat="1" applyFont="1" applyFill="1" applyAlignment="1">
      <alignment horizontal="right" vertical="center"/>
    </xf>
    <xf numFmtId="173" fontId="27" fillId="4" borderId="0" xfId="0" applyFont="1" applyFill="1" applyAlignment="1">
      <alignment vertical="center"/>
    </xf>
    <xf numFmtId="10" fontId="27" fillId="4" borderId="0" xfId="0" applyNumberFormat="1" applyFont="1" applyFill="1" applyAlignment="1">
      <alignment vertical="center"/>
    </xf>
    <xf numFmtId="173" fontId="23" fillId="0" borderId="0" xfId="0" applyFont="1"/>
    <xf numFmtId="173" fontId="23" fillId="0" borderId="0" xfId="0" applyFont="1" applyAlignment="1">
      <alignment horizontal="center"/>
    </xf>
    <xf numFmtId="173" fontId="23" fillId="0" borderId="46" xfId="0" applyFont="1" applyBorder="1"/>
    <xf numFmtId="173" fontId="23" fillId="0" borderId="48" xfId="0" applyFont="1" applyBorder="1"/>
    <xf numFmtId="49" fontId="23" fillId="0" borderId="47" xfId="0" applyNumberFormat="1" applyFont="1" applyBorder="1" applyAlignment="1">
      <alignment horizontal="right"/>
    </xf>
    <xf numFmtId="49" fontId="23" fillId="0" borderId="49" xfId="0" applyNumberFormat="1" applyFont="1" applyBorder="1" applyAlignment="1">
      <alignment horizontal="right"/>
    </xf>
    <xf numFmtId="49" fontId="23" fillId="0" borderId="0" xfId="0" applyNumberFormat="1" applyFont="1" applyAlignment="1">
      <alignment horizontal="right"/>
    </xf>
    <xf numFmtId="173" fontId="23" fillId="0" borderId="0" xfId="0" applyFont="1" applyAlignment="1">
      <alignment horizontal="right"/>
    </xf>
    <xf numFmtId="40" fontId="27" fillId="4" borderId="0" xfId="0" applyNumberFormat="1" applyFont="1" applyFill="1" applyAlignment="1">
      <alignment horizontal="right" vertical="center"/>
    </xf>
    <xf numFmtId="40" fontId="27" fillId="4" borderId="0" xfId="0" applyNumberFormat="1" applyFont="1" applyFill="1" applyAlignment="1">
      <alignment vertical="center"/>
    </xf>
    <xf numFmtId="173" fontId="23" fillId="4" borderId="0" xfId="0" applyFont="1" applyFill="1" applyAlignment="1">
      <alignment horizontal="right" vertical="center"/>
    </xf>
    <xf numFmtId="173" fontId="23" fillId="0" borderId="0" xfId="0" applyFont="1" applyAlignment="1">
      <alignment horizontal="right" vertical="center"/>
    </xf>
    <xf numFmtId="40" fontId="27" fillId="4" borderId="0" xfId="0" applyNumberFormat="1" applyFont="1" applyFill="1" applyAlignment="1">
      <alignment horizontal="center" vertical="center"/>
    </xf>
    <xf numFmtId="38" fontId="27" fillId="4" borderId="0" xfId="0" applyNumberFormat="1" applyFont="1" applyFill="1" applyAlignment="1">
      <alignment vertical="center"/>
    </xf>
    <xf numFmtId="49" fontId="27" fillId="4" borderId="0" xfId="0" applyNumberFormat="1" applyFont="1" applyFill="1" applyAlignment="1">
      <alignment vertical="center"/>
    </xf>
    <xf numFmtId="49" fontId="23" fillId="4" borderId="0" xfId="0" applyNumberFormat="1" applyFont="1" applyFill="1" applyAlignment="1">
      <alignment horizontal="right" vertical="center"/>
    </xf>
    <xf numFmtId="40" fontId="23" fillId="0" borderId="0" xfId="0" applyNumberFormat="1" applyFont="1" applyAlignment="1">
      <alignment horizontal="right"/>
    </xf>
    <xf numFmtId="10" fontId="23" fillId="4" borderId="0" xfId="0" applyNumberFormat="1" applyFont="1" applyFill="1" applyAlignment="1">
      <alignment horizontal="center" vertical="center" wrapText="1"/>
    </xf>
    <xf numFmtId="40" fontId="23" fillId="4" borderId="0" xfId="0" applyNumberFormat="1" applyFont="1" applyFill="1" applyAlignment="1">
      <alignment horizontal="center" vertical="center" wrapText="1"/>
    </xf>
    <xf numFmtId="10" fontId="23" fillId="4" borderId="0" xfId="0" applyNumberFormat="1" applyFont="1" applyFill="1" applyAlignment="1">
      <alignment horizontal="center" vertical="center"/>
    </xf>
    <xf numFmtId="40" fontId="23" fillId="4" borderId="0" xfId="0" applyNumberFormat="1" applyFont="1" applyFill="1" applyAlignment="1">
      <alignment horizontal="center" vertical="center"/>
    </xf>
    <xf numFmtId="40" fontId="23" fillId="4" borderId="0" xfId="0" applyNumberFormat="1" applyFont="1" applyFill="1" applyAlignment="1">
      <alignment horizontal="right" vertical="center"/>
    </xf>
    <xf numFmtId="49" fontId="27" fillId="0" borderId="0" xfId="0" applyNumberFormat="1" applyFont="1" applyAlignment="1">
      <alignment horizontal="right" vertical="center"/>
    </xf>
    <xf numFmtId="173" fontId="23" fillId="6" borderId="0" xfId="0" applyFont="1" applyFill="1" applyAlignment="1">
      <alignment horizontal="right"/>
    </xf>
    <xf numFmtId="40" fontId="23" fillId="6" borderId="0" xfId="0" applyNumberFormat="1" applyFont="1" applyFill="1" applyAlignment="1">
      <alignment horizontal="right"/>
    </xf>
    <xf numFmtId="166" fontId="27" fillId="2" borderId="0" xfId="0" applyNumberFormat="1" applyFont="1" applyFill="1" applyAlignment="1">
      <alignment horizontal="right" vertical="center"/>
    </xf>
    <xf numFmtId="49" fontId="23" fillId="0" borderId="0" xfId="0" applyNumberFormat="1" applyFont="1" applyAlignment="1">
      <alignment horizontal="center"/>
    </xf>
    <xf numFmtId="173" fontId="27" fillId="0" borderId="0" xfId="0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173" fontId="33" fillId="0" borderId="0" xfId="0" applyFont="1" applyAlignment="1">
      <alignment horizontal="center" vertical="center"/>
    </xf>
    <xf numFmtId="173" fontId="27" fillId="0" borderId="0" xfId="0" applyFont="1" applyAlignment="1">
      <alignment horizontal="left" vertical="center"/>
    </xf>
    <xf numFmtId="40" fontId="27" fillId="0" borderId="0" xfId="0" applyNumberFormat="1" applyFont="1" applyAlignment="1">
      <alignment horizontal="center" vertical="center"/>
    </xf>
    <xf numFmtId="40" fontId="33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72" fontId="27" fillId="0" borderId="0" xfId="0" applyNumberFormat="1" applyFont="1" applyAlignment="1">
      <alignment horizontal="center" vertical="center"/>
    </xf>
    <xf numFmtId="40" fontId="27" fillId="0" borderId="0" xfId="0" applyNumberFormat="1" applyFont="1" applyAlignment="1">
      <alignment horizontal="left" vertical="center"/>
    </xf>
    <xf numFmtId="40" fontId="33" fillId="0" borderId="11" xfId="0" applyNumberFormat="1" applyFont="1" applyBorder="1" applyAlignment="1">
      <alignment horizontal="center" vertical="center" wrapText="1"/>
    </xf>
    <xf numFmtId="40" fontId="33" fillId="0" borderId="0" xfId="0" applyNumberFormat="1" applyFont="1" applyAlignment="1">
      <alignment horizontal="center" vertical="center" wrapText="1"/>
    </xf>
    <xf numFmtId="49" fontId="27" fillId="0" borderId="12" xfId="0" applyNumberFormat="1" applyFont="1" applyBorder="1" applyAlignment="1">
      <alignment horizontal="center" vertical="center"/>
    </xf>
    <xf numFmtId="49" fontId="27" fillId="0" borderId="11" xfId="0" applyNumberFormat="1" applyFont="1" applyBorder="1" applyAlignment="1">
      <alignment horizontal="center" vertical="center"/>
    </xf>
    <xf numFmtId="173" fontId="27" fillId="0" borderId="11" xfId="0" applyFont="1" applyBorder="1" applyAlignment="1">
      <alignment horizontal="left" vertical="center"/>
    </xf>
    <xf numFmtId="40" fontId="27" fillId="0" borderId="11" xfId="0" applyNumberFormat="1" applyFont="1" applyBorder="1" applyAlignment="1">
      <alignment horizontal="center" vertical="center"/>
    </xf>
    <xf numFmtId="40" fontId="27" fillId="4" borderId="11" xfId="0" applyNumberFormat="1" applyFont="1" applyFill="1" applyBorder="1" applyAlignment="1">
      <alignment horizontal="center" vertical="center"/>
    </xf>
    <xf numFmtId="49" fontId="34" fillId="0" borderId="14" xfId="0" applyNumberFormat="1" applyFont="1" applyBorder="1" applyAlignment="1">
      <alignment horizontal="center" vertical="center" wrapText="1"/>
    </xf>
    <xf numFmtId="173" fontId="34" fillId="0" borderId="15" xfId="0" applyFont="1" applyBorder="1" applyAlignment="1">
      <alignment horizontal="center" vertical="center"/>
    </xf>
    <xf numFmtId="49" fontId="34" fillId="0" borderId="15" xfId="0" applyNumberFormat="1" applyFont="1" applyBorder="1" applyAlignment="1">
      <alignment horizontal="center" vertical="center"/>
    </xf>
    <xf numFmtId="173" fontId="34" fillId="0" borderId="15" xfId="0" applyFont="1" applyBorder="1" applyAlignment="1">
      <alignment horizontal="left" vertical="center"/>
    </xf>
    <xf numFmtId="40" fontId="34" fillId="0" borderId="15" xfId="0" applyNumberFormat="1" applyFont="1" applyBorder="1" applyAlignment="1">
      <alignment horizontal="center" vertical="center"/>
    </xf>
    <xf numFmtId="172" fontId="27" fillId="5" borderId="0" xfId="0" applyNumberFormat="1" applyFont="1" applyFill="1" applyAlignment="1">
      <alignment horizontal="left" vertical="center"/>
    </xf>
    <xf numFmtId="40" fontId="27" fillId="5" borderId="0" xfId="0" applyNumberFormat="1" applyFont="1" applyFill="1" applyAlignment="1">
      <alignment horizontal="left" vertical="center"/>
    </xf>
    <xf numFmtId="166" fontId="33" fillId="0" borderId="0" xfId="0" applyNumberFormat="1" applyFont="1" applyAlignment="1">
      <alignment horizontal="center" vertical="center" wrapText="1"/>
    </xf>
    <xf numFmtId="173" fontId="27" fillId="0" borderId="11" xfId="0" applyFont="1" applyBorder="1" applyAlignment="1">
      <alignment horizontal="center" vertical="center"/>
    </xf>
    <xf numFmtId="40" fontId="27" fillId="0" borderId="16" xfId="0" applyNumberFormat="1" applyFont="1" applyBorder="1" applyAlignment="1">
      <alignment horizontal="center" vertical="center"/>
    </xf>
    <xf numFmtId="40" fontId="27" fillId="0" borderId="13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73" fontId="27" fillId="0" borderId="0" xfId="0" applyFont="1" applyAlignment="1">
      <alignment horizontal="right" vertical="center"/>
    </xf>
    <xf numFmtId="166" fontId="27" fillId="0" borderId="0" xfId="0" applyNumberFormat="1" applyFont="1" applyAlignment="1">
      <alignment horizontal="right" vertical="center"/>
    </xf>
    <xf numFmtId="49" fontId="27" fillId="0" borderId="12" xfId="7" applyNumberFormat="1" applyFont="1" applyBorder="1" applyAlignment="1">
      <alignment horizontal="center" vertical="center"/>
    </xf>
    <xf numFmtId="10" fontId="27" fillId="0" borderId="11" xfId="7" applyNumberFormat="1" applyFont="1" applyBorder="1" applyAlignment="1">
      <alignment horizontal="center" vertical="center"/>
    </xf>
    <xf numFmtId="49" fontId="27" fillId="0" borderId="52" xfId="7" applyNumberFormat="1" applyFont="1" applyBorder="1" applyAlignment="1">
      <alignment horizontal="center" vertical="center"/>
    </xf>
    <xf numFmtId="10" fontId="27" fillId="0" borderId="53" xfId="7" applyNumberFormat="1" applyFont="1" applyBorder="1" applyAlignment="1">
      <alignment horizontal="center" vertical="center"/>
    </xf>
    <xf numFmtId="173" fontId="2" fillId="0" borderId="0" xfId="7" applyFont="1" applyAlignment="1"/>
    <xf numFmtId="40" fontId="33" fillId="0" borderId="11" xfId="7" applyNumberFormat="1" applyFont="1" applyBorder="1" applyAlignment="1">
      <alignment horizontal="center" vertical="center" wrapText="1"/>
    </xf>
    <xf numFmtId="173" fontId="27" fillId="0" borderId="11" xfId="7" applyFont="1" applyBorder="1" applyAlignment="1">
      <alignment horizontal="center" vertical="center"/>
    </xf>
    <xf numFmtId="49" fontId="27" fillId="0" borderId="11" xfId="7" applyNumberFormat="1" applyFont="1" applyBorder="1" applyAlignment="1">
      <alignment horizontal="center" vertical="center"/>
    </xf>
    <xf numFmtId="173" fontId="27" fillId="0" borderId="11" xfId="7" applyFont="1" applyBorder="1" applyAlignment="1">
      <alignment horizontal="left" vertical="center"/>
    </xf>
    <xf numFmtId="40" fontId="27" fillId="0" borderId="11" xfId="7" applyNumberFormat="1" applyFont="1" applyBorder="1" applyAlignment="1">
      <alignment horizontal="center" vertical="center"/>
    </xf>
    <xf numFmtId="40" fontId="27" fillId="0" borderId="16" xfId="7" applyNumberFormat="1" applyFont="1" applyBorder="1" applyAlignment="1">
      <alignment horizontal="center" vertical="center"/>
    </xf>
    <xf numFmtId="40" fontId="27" fillId="0" borderId="13" xfId="7" applyNumberFormat="1" applyFont="1" applyBorder="1" applyAlignment="1">
      <alignment horizontal="center" vertical="center"/>
    </xf>
    <xf numFmtId="173" fontId="27" fillId="0" borderId="0" xfId="7" applyFont="1" applyAlignment="1">
      <alignment horizontal="center" vertical="center"/>
    </xf>
    <xf numFmtId="173" fontId="2" fillId="0" borderId="0" xfId="7" applyFont="1" applyAlignment="1">
      <alignment horizontal="center"/>
    </xf>
    <xf numFmtId="173" fontId="37" fillId="0" borderId="0" xfId="7" applyFont="1" applyAlignment="1">
      <alignment horizontal="center"/>
    </xf>
    <xf numFmtId="173" fontId="37" fillId="0" borderId="0" xfId="7" applyFont="1" applyAlignment="1">
      <alignment horizontal="left"/>
    </xf>
    <xf numFmtId="40" fontId="27" fillId="0" borderId="53" xfId="7" applyNumberFormat="1" applyFont="1" applyBorder="1" applyAlignment="1">
      <alignment horizontal="center" vertical="center"/>
    </xf>
    <xf numFmtId="40" fontId="27" fillId="0" borderId="54" xfId="7" applyNumberFormat="1" applyFont="1" applyBorder="1" applyAlignment="1">
      <alignment horizontal="center" vertical="center"/>
    </xf>
    <xf numFmtId="173" fontId="33" fillId="0" borderId="0" xfId="7" applyFont="1" applyAlignment="1">
      <alignment horizontal="center" vertical="center"/>
    </xf>
    <xf numFmtId="40" fontId="33" fillId="0" borderId="0" xfId="7" applyNumberFormat="1" applyFont="1" applyAlignment="1">
      <alignment horizontal="center" vertical="center" wrapText="1"/>
    </xf>
    <xf numFmtId="40" fontId="27" fillId="4" borderId="11" xfId="7" applyNumberFormat="1" applyFont="1" applyFill="1" applyBorder="1" applyAlignment="1">
      <alignment horizontal="center" vertical="center"/>
    </xf>
    <xf numFmtId="173" fontId="37" fillId="0" borderId="0" xfId="7" applyFont="1" applyAlignment="1">
      <alignment horizontal="center" wrapText="1"/>
    </xf>
    <xf numFmtId="173" fontId="23" fillId="5" borderId="0" xfId="0" applyFont="1" applyFill="1" applyAlignment="1">
      <alignment horizontal="right"/>
    </xf>
    <xf numFmtId="173" fontId="30" fillId="5" borderId="0" xfId="0" applyFont="1" applyFill="1" applyAlignment="1">
      <alignment horizontal="right" vertical="center"/>
    </xf>
    <xf numFmtId="171" fontId="23" fillId="4" borderId="0" xfId="0" applyNumberFormat="1" applyFont="1" applyFill="1" applyAlignment="1">
      <alignment horizontal="right" vertical="center"/>
    </xf>
    <xf numFmtId="40" fontId="23" fillId="4" borderId="11" xfId="0" applyNumberFormat="1" applyFont="1" applyFill="1" applyBorder="1" applyAlignment="1">
      <alignment horizontal="center" vertical="center"/>
    </xf>
    <xf numFmtId="174" fontId="27" fillId="0" borderId="11" xfId="0" applyNumberFormat="1" applyFont="1" applyBorder="1" applyAlignment="1">
      <alignment horizontal="center" vertical="center"/>
    </xf>
    <xf numFmtId="40" fontId="30" fillId="4" borderId="11" xfId="0" applyNumberFormat="1" applyFont="1" applyFill="1" applyBorder="1" applyAlignment="1">
      <alignment horizontal="center" vertical="center"/>
    </xf>
    <xf numFmtId="40" fontId="33" fillId="2" borderId="11" xfId="0" applyNumberFormat="1" applyFont="1" applyFill="1" applyBorder="1" applyAlignment="1">
      <alignment horizontal="center" vertical="center" wrapText="1"/>
    </xf>
    <xf numFmtId="40" fontId="34" fillId="0" borderId="55" xfId="0" applyNumberFormat="1" applyFont="1" applyBorder="1" applyAlignment="1">
      <alignment horizontal="center" vertical="center"/>
    </xf>
    <xf numFmtId="38" fontId="23" fillId="4" borderId="0" xfId="0" applyNumberFormat="1" applyFont="1" applyFill="1" applyAlignment="1">
      <alignment horizontal="right" vertical="center"/>
    </xf>
    <xf numFmtId="14" fontId="23" fillId="4" borderId="0" xfId="0" applyNumberFormat="1" applyFont="1" applyFill="1" applyAlignment="1">
      <alignment horizontal="right" vertical="center"/>
    </xf>
    <xf numFmtId="10" fontId="23" fillId="4" borderId="0" xfId="0" applyNumberFormat="1" applyFont="1" applyFill="1" applyAlignment="1">
      <alignment horizontal="right" vertical="center"/>
    </xf>
    <xf numFmtId="166" fontId="23" fillId="4" borderId="0" xfId="0" applyNumberFormat="1" applyFont="1" applyFill="1" applyAlignment="1">
      <alignment vertical="center"/>
    </xf>
    <xf numFmtId="174" fontId="23" fillId="0" borderId="0" xfId="0" applyNumberFormat="1" applyFont="1" applyAlignment="1">
      <alignment horizontal="right"/>
    </xf>
    <xf numFmtId="174" fontId="0" fillId="0" borderId="0" xfId="0" applyNumberFormat="1"/>
    <xf numFmtId="173" fontId="27" fillId="4" borderId="0" xfId="0" applyFont="1" applyFill="1" applyAlignment="1">
      <alignment horizontal="right" vertical="center"/>
    </xf>
    <xf numFmtId="174" fontId="9" fillId="0" borderId="0" xfId="2" applyNumberFormat="1" applyFont="1" applyAlignment="1">
      <alignment wrapText="1" readingOrder="1"/>
    </xf>
    <xf numFmtId="174" fontId="10" fillId="0" borderId="0" xfId="2" applyNumberFormat="1" applyFont="1" applyAlignment="1">
      <alignment horizontal="center" wrapText="1" readingOrder="1"/>
    </xf>
    <xf numFmtId="174" fontId="9" fillId="0" borderId="0" xfId="2" applyNumberFormat="1" applyFont="1" applyAlignment="1">
      <alignment horizontal="left" wrapText="1" readingOrder="1"/>
    </xf>
    <xf numFmtId="174" fontId="9" fillId="0" borderId="1" xfId="2" applyNumberFormat="1" applyFont="1" applyBorder="1" applyAlignment="1">
      <alignment horizontal="left" wrapText="1" readingOrder="1"/>
    </xf>
    <xf numFmtId="174" fontId="9" fillId="0" borderId="0" xfId="0" applyNumberFormat="1" applyFont="1" applyAlignment="1">
      <alignment wrapText="1" readingOrder="1"/>
    </xf>
    <xf numFmtId="174" fontId="9" fillId="0" borderId="17" xfId="5" applyNumberFormat="1" applyFont="1" applyBorder="1" applyAlignment="1">
      <alignment wrapText="1" readingOrder="1"/>
    </xf>
    <xf numFmtId="174" fontId="9" fillId="0" borderId="17" xfId="0" applyNumberFormat="1" applyFont="1" applyBorder="1" applyAlignment="1">
      <alignment wrapText="1" readingOrder="1"/>
    </xf>
    <xf numFmtId="40" fontId="23" fillId="2" borderId="11" xfId="0" applyNumberFormat="1" applyFont="1" applyFill="1" applyBorder="1" applyAlignment="1">
      <alignment horizontal="center" vertical="center"/>
    </xf>
    <xf numFmtId="49" fontId="0" fillId="0" borderId="0" xfId="0" applyNumberFormat="1"/>
    <xf numFmtId="175" fontId="27" fillId="4" borderId="0" xfId="0" applyNumberFormat="1" applyFont="1" applyFill="1" applyAlignment="1">
      <alignment vertical="center"/>
    </xf>
    <xf numFmtId="173" fontId="33" fillId="0" borderId="43" xfId="0" applyFont="1" applyBorder="1" applyAlignment="1">
      <alignment horizontal="center" vertical="center"/>
    </xf>
    <xf numFmtId="38" fontId="23" fillId="4" borderId="0" xfId="0" applyNumberFormat="1" applyFont="1" applyFill="1" applyAlignment="1">
      <alignment horizontal="center" vertical="center"/>
    </xf>
    <xf numFmtId="166" fontId="27" fillId="0" borderId="0" xfId="0" applyNumberFormat="1" applyFont="1" applyAlignment="1">
      <alignment horizontal="center" vertical="center" wrapText="1"/>
    </xf>
    <xf numFmtId="166" fontId="27" fillId="5" borderId="0" xfId="0" applyNumberFormat="1" applyFont="1" applyFill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/>
    </xf>
    <xf numFmtId="166" fontId="27" fillId="7" borderId="0" xfId="0" applyNumberFormat="1" applyFont="1" applyFill="1" applyAlignment="1">
      <alignment horizontal="center" vertical="center" wrapText="1"/>
    </xf>
    <xf numFmtId="166" fontId="27" fillId="2" borderId="0" xfId="0" applyNumberFormat="1" applyFont="1" applyFill="1" applyAlignment="1">
      <alignment horizontal="center" vertical="center"/>
    </xf>
    <xf numFmtId="0" fontId="23" fillId="4" borderId="0" xfId="0" applyNumberFormat="1" applyFont="1" applyFill="1" applyAlignment="1">
      <alignment horizontal="right" vertical="center" wrapText="1"/>
    </xf>
    <xf numFmtId="0" fontId="23" fillId="4" borderId="0" xfId="0" applyNumberFormat="1" applyFont="1" applyFill="1" applyAlignment="1">
      <alignment horizontal="center" vertical="center" wrapText="1"/>
    </xf>
    <xf numFmtId="174" fontId="30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174" fontId="23" fillId="0" borderId="0" xfId="0" applyNumberFormat="1" applyFont="1" applyAlignment="1">
      <alignment horizontal="center" vertical="center" wrapText="1"/>
    </xf>
    <xf numFmtId="174" fontId="23" fillId="0" borderId="0" xfId="0" applyNumberFormat="1" applyFont="1" applyAlignment="1">
      <alignment horizontal="center" vertical="center"/>
    </xf>
    <xf numFmtId="174" fontId="23" fillId="0" borderId="0" xfId="0" applyNumberFormat="1" applyFont="1" applyAlignment="1">
      <alignment horizontal="right" vertical="center"/>
    </xf>
    <xf numFmtId="173" fontId="23" fillId="6" borderId="0" xfId="0" applyFont="1" applyFill="1" applyAlignment="1">
      <alignment horizontal="right" vertical="center"/>
    </xf>
    <xf numFmtId="49" fontId="30" fillId="0" borderId="0" xfId="0" applyNumberFormat="1" applyFont="1" applyAlignment="1">
      <alignment horizontal="center" vertical="center"/>
    </xf>
    <xf numFmtId="174" fontId="30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vertical="center" wrapText="1"/>
    </xf>
    <xf numFmtId="171" fontId="23" fillId="4" borderId="0" xfId="0" applyNumberFormat="1" applyFont="1" applyFill="1" applyAlignment="1">
      <alignment horizontal="center" vertical="center"/>
    </xf>
    <xf numFmtId="49" fontId="23" fillId="4" borderId="0" xfId="0" applyNumberFormat="1" applyFont="1" applyFill="1" applyAlignment="1">
      <alignment horizontal="left" vertical="center"/>
    </xf>
    <xf numFmtId="0" fontId="27" fillId="0" borderId="11" xfId="0" applyNumberFormat="1" applyFont="1" applyBorder="1" applyAlignment="1">
      <alignment horizontal="center" vertical="center"/>
    </xf>
    <xf numFmtId="173" fontId="27" fillId="0" borderId="0" xfId="0" applyFont="1" applyAlignment="1">
      <alignment horizontal="center" vertical="center" wrapText="1"/>
    </xf>
    <xf numFmtId="169" fontId="27" fillId="0" borderId="0" xfId="0" applyNumberFormat="1" applyFont="1" applyAlignment="1">
      <alignment horizontal="center" vertical="center" wrapText="1"/>
    </xf>
    <xf numFmtId="166" fontId="27" fillId="6" borderId="0" xfId="0" applyNumberFormat="1" applyFont="1" applyFill="1" applyAlignment="1">
      <alignment horizontal="center" vertical="center" wrapText="1"/>
    </xf>
    <xf numFmtId="166" fontId="27" fillId="2" borderId="0" xfId="0" applyNumberFormat="1" applyFont="1" applyFill="1" applyAlignment="1">
      <alignment horizontal="center" vertical="center" wrapText="1"/>
    </xf>
    <xf numFmtId="0" fontId="30" fillId="4" borderId="0" xfId="0" applyNumberFormat="1" applyFont="1" applyFill="1" applyAlignment="1">
      <alignment horizontal="center" vertical="center" wrapText="1"/>
    </xf>
    <xf numFmtId="0" fontId="30" fillId="4" borderId="0" xfId="0" applyNumberFormat="1" applyFont="1" applyFill="1" applyAlignment="1">
      <alignment horizontal="right" vertical="center" wrapText="1"/>
    </xf>
    <xf numFmtId="40" fontId="30" fillId="4" borderId="0" xfId="0" applyNumberFormat="1" applyFont="1" applyFill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 wrapText="1"/>
    </xf>
    <xf numFmtId="173" fontId="30" fillId="6" borderId="0" xfId="0" applyFont="1" applyFill="1" applyAlignment="1">
      <alignment horizontal="center" vertical="center"/>
    </xf>
    <xf numFmtId="166" fontId="23" fillId="0" borderId="0" xfId="0" applyNumberFormat="1" applyFont="1" applyAlignment="1">
      <alignment horizontal="right" vertical="center" wrapText="1"/>
    </xf>
    <xf numFmtId="169" fontId="23" fillId="0" borderId="0" xfId="0" applyNumberFormat="1" applyFont="1" applyAlignment="1">
      <alignment horizontal="right" vertical="center" wrapText="1"/>
    </xf>
    <xf numFmtId="168" fontId="23" fillId="0" borderId="0" xfId="0" applyNumberFormat="1" applyFont="1" applyAlignment="1">
      <alignment horizontal="right" vertical="center" wrapText="1"/>
    </xf>
    <xf numFmtId="170" fontId="23" fillId="0" borderId="0" xfId="0" applyNumberFormat="1" applyFont="1" applyAlignment="1">
      <alignment horizontal="right" vertical="center" wrapText="1"/>
    </xf>
    <xf numFmtId="166" fontId="23" fillId="0" borderId="0" xfId="0" applyNumberFormat="1" applyFont="1" applyAlignment="1">
      <alignment horizontal="center" vertical="center" wrapText="1"/>
    </xf>
    <xf numFmtId="173" fontId="23" fillId="0" borderId="0" xfId="0" applyFont="1" applyAlignment="1">
      <alignment horizontal="right" vertical="center" wrapText="1"/>
    </xf>
    <xf numFmtId="14" fontId="23" fillId="4" borderId="0" xfId="0" applyNumberFormat="1" applyFont="1" applyFill="1" applyAlignment="1">
      <alignment horizontal="right" vertical="center" wrapText="1"/>
    </xf>
    <xf numFmtId="49" fontId="23" fillId="4" borderId="0" xfId="0" applyNumberFormat="1" applyFont="1" applyFill="1" applyAlignment="1">
      <alignment horizontal="right" vertical="center" wrapText="1"/>
    </xf>
    <xf numFmtId="49" fontId="23" fillId="4" borderId="0" xfId="0" applyNumberFormat="1" applyFont="1" applyFill="1" applyAlignment="1">
      <alignment horizontal="center" vertical="center" wrapText="1"/>
    </xf>
    <xf numFmtId="0" fontId="43" fillId="0" borderId="0" xfId="58"/>
    <xf numFmtId="49" fontId="27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center"/>
    </xf>
    <xf numFmtId="0" fontId="23" fillId="4" borderId="0" xfId="0" applyNumberFormat="1" applyFont="1" applyFill="1" applyAlignment="1">
      <alignment horizontal="right" vertical="center"/>
    </xf>
    <xf numFmtId="173" fontId="27" fillId="5" borderId="0" xfId="0" applyFont="1" applyFill="1" applyAlignment="1">
      <alignment horizontal="center" vertical="center" wrapText="1"/>
    </xf>
    <xf numFmtId="177" fontId="9" fillId="0" borderId="0" xfId="2" applyNumberFormat="1" applyFont="1" applyAlignment="1">
      <alignment horizontal="left" vertical="center" wrapText="1" readingOrder="1"/>
    </xf>
    <xf numFmtId="2" fontId="27" fillId="0" borderId="0" xfId="0" applyNumberFormat="1" applyFont="1" applyAlignment="1">
      <alignment horizontal="right" vertical="center"/>
    </xf>
    <xf numFmtId="0" fontId="23" fillId="0" borderId="0" xfId="0" applyNumberFormat="1" applyFont="1" applyAlignment="1">
      <alignment horizontal="right" vertical="center"/>
    </xf>
    <xf numFmtId="0" fontId="23" fillId="0" borderId="0" xfId="0" applyNumberFormat="1" applyFont="1" applyAlignment="1">
      <alignment horizontal="right" vertical="center" wrapText="1"/>
    </xf>
    <xf numFmtId="2" fontId="27" fillId="0" borderId="0" xfId="0" applyNumberFormat="1" applyFont="1" applyAlignment="1">
      <alignment horizontal="center" vertical="center"/>
    </xf>
    <xf numFmtId="0" fontId="9" fillId="0" borderId="2" xfId="44" applyNumberFormat="1" applyFont="1" applyBorder="1" applyAlignment="1">
      <alignment wrapText="1" readingOrder="1"/>
    </xf>
    <xf numFmtId="174" fontId="9" fillId="0" borderId="1" xfId="2" applyNumberFormat="1" applyFont="1" applyBorder="1" applyAlignment="1">
      <alignment wrapText="1" readingOrder="1"/>
    </xf>
    <xf numFmtId="40" fontId="44" fillId="0" borderId="11" xfId="0" applyNumberFormat="1" applyFont="1" applyBorder="1" applyAlignment="1">
      <alignment horizontal="center" vertical="center" wrapText="1"/>
    </xf>
    <xf numFmtId="2" fontId="9" fillId="0" borderId="0" xfId="2" applyNumberFormat="1" applyFont="1" applyAlignment="1">
      <alignment wrapText="1" readingOrder="1"/>
    </xf>
    <xf numFmtId="0" fontId="23" fillId="0" borderId="0" xfId="0" applyNumberFormat="1" applyFont="1" applyAlignment="1">
      <alignment horizontal="right"/>
    </xf>
    <xf numFmtId="40" fontId="23" fillId="8" borderId="0" xfId="0" applyNumberFormat="1" applyFont="1" applyFill="1" applyAlignment="1">
      <alignment horizontal="right" vertical="center"/>
    </xf>
    <xf numFmtId="173" fontId="23" fillId="5" borderId="0" xfId="0" applyFont="1" applyFill="1" applyAlignment="1">
      <alignment horizontal="center" vertical="center" wrapText="1"/>
    </xf>
    <xf numFmtId="175" fontId="9" fillId="0" borderId="4" xfId="0" quotePrefix="1" applyNumberFormat="1" applyFont="1" applyBorder="1" applyAlignment="1">
      <alignment wrapText="1" readingOrder="1"/>
    </xf>
    <xf numFmtId="40" fontId="23" fillId="4" borderId="0" xfId="0" applyNumberFormat="1" applyFont="1" applyFill="1" applyAlignment="1">
      <alignment horizontal="right" vertical="center" wrapText="1"/>
    </xf>
    <xf numFmtId="177" fontId="9" fillId="0" borderId="0" xfId="2" applyNumberFormat="1" applyFont="1" applyAlignment="1">
      <alignment horizontal="left" wrapText="1" readingOrder="1"/>
    </xf>
    <xf numFmtId="173" fontId="9" fillId="0" borderId="0" xfId="0" applyFont="1"/>
    <xf numFmtId="40" fontId="33" fillId="0" borderId="43" xfId="0" applyNumberFormat="1" applyFont="1" applyBorder="1" applyAlignment="1">
      <alignment horizontal="center" vertical="center"/>
    </xf>
    <xf numFmtId="166" fontId="23" fillId="5" borderId="0" xfId="0" applyNumberFormat="1" applyFont="1" applyFill="1" applyAlignment="1">
      <alignment horizontal="right" vertical="center" wrapText="1"/>
    </xf>
    <xf numFmtId="2" fontId="27" fillId="4" borderId="0" xfId="0" applyNumberFormat="1" applyFont="1" applyFill="1" applyAlignment="1">
      <alignment vertical="center"/>
    </xf>
    <xf numFmtId="0" fontId="23" fillId="0" borderId="0" xfId="0" applyNumberFormat="1" applyFont="1" applyAlignment="1">
      <alignment horizontal="center"/>
    </xf>
    <xf numFmtId="40" fontId="18" fillId="0" borderId="0" xfId="2" applyNumberFormat="1" applyFont="1" applyAlignment="1">
      <alignment horizontal="left" wrapText="1" readingOrder="1"/>
    </xf>
    <xf numFmtId="173" fontId="8" fillId="0" borderId="6" xfId="2" applyFont="1" applyBorder="1" applyAlignment="1">
      <alignment vertical="center" wrapText="1" readingOrder="1"/>
    </xf>
    <xf numFmtId="173" fontId="19" fillId="0" borderId="8" xfId="2" applyFont="1" applyBorder="1" applyAlignment="1">
      <alignment horizontal="center" wrapText="1" readingOrder="1"/>
    </xf>
    <xf numFmtId="173" fontId="27" fillId="4" borderId="0" xfId="0" applyFont="1" applyFill="1" applyAlignment="1">
      <alignment horizontal="left" vertical="center"/>
    </xf>
    <xf numFmtId="2" fontId="0" fillId="0" borderId="0" xfId="0" applyNumberFormat="1"/>
    <xf numFmtId="40" fontId="46" fillId="0" borderId="0" xfId="58" applyNumberFormat="1" applyFont="1" applyAlignment="1">
      <alignment horizontal="left" vertical="top"/>
    </xf>
    <xf numFmtId="40" fontId="46" fillId="0" borderId="0" xfId="58" applyNumberFormat="1" applyFont="1" applyAlignment="1">
      <alignment horizontal="center" vertical="top"/>
    </xf>
    <xf numFmtId="0" fontId="46" fillId="0" borderId="0" xfId="58" applyFont="1" applyAlignment="1">
      <alignment horizontal="center" vertical="top"/>
    </xf>
    <xf numFmtId="0" fontId="46" fillId="0" borderId="0" xfId="58" applyFont="1" applyAlignment="1">
      <alignment horizontal="left" vertical="top"/>
    </xf>
    <xf numFmtId="17" fontId="46" fillId="0" borderId="0" xfId="58" applyNumberFormat="1" applyFont="1" applyAlignment="1">
      <alignment horizontal="left" vertical="top"/>
    </xf>
    <xf numFmtId="49" fontId="46" fillId="0" borderId="0" xfId="58" applyNumberFormat="1" applyFont="1" applyAlignment="1">
      <alignment horizontal="center" vertical="top"/>
    </xf>
    <xf numFmtId="49" fontId="46" fillId="0" borderId="64" xfId="58" quotePrefix="1" applyNumberFormat="1" applyFont="1" applyBorder="1" applyAlignment="1">
      <alignment horizontal="center" vertical="top" wrapText="1"/>
    </xf>
    <xf numFmtId="40" fontId="46" fillId="0" borderId="64" xfId="58" applyNumberFormat="1" applyFont="1" applyBorder="1" applyAlignment="1">
      <alignment horizontal="center" vertical="top" wrapText="1"/>
    </xf>
    <xf numFmtId="49" fontId="46" fillId="0" borderId="67" xfId="58" applyNumberFormat="1" applyFont="1" applyBorder="1" applyAlignment="1">
      <alignment horizontal="center" vertical="top"/>
    </xf>
    <xf numFmtId="40" fontId="46" fillId="0" borderId="64" xfId="58" applyNumberFormat="1" applyFont="1" applyBorder="1" applyAlignment="1">
      <alignment horizontal="center" vertical="top"/>
    </xf>
    <xf numFmtId="40" fontId="49" fillId="0" borderId="64" xfId="58" applyNumberFormat="1" applyFont="1" applyBorder="1" applyAlignment="1">
      <alignment horizontal="center" vertical="top"/>
    </xf>
    <xf numFmtId="0" fontId="46" fillId="0" borderId="68" xfId="58" applyFont="1" applyBorder="1" applyAlignment="1">
      <alignment horizontal="left" vertical="top"/>
    </xf>
    <xf numFmtId="40" fontId="50" fillId="0" borderId="72" xfId="58" applyNumberFormat="1" applyFont="1" applyBorder="1" applyAlignment="1">
      <alignment horizontal="center" vertical="top"/>
    </xf>
    <xf numFmtId="40" fontId="46" fillId="0" borderId="72" xfId="58" applyNumberFormat="1" applyFont="1" applyBorder="1" applyAlignment="1">
      <alignment horizontal="center" vertical="top"/>
    </xf>
    <xf numFmtId="40" fontId="50" fillId="0" borderId="73" xfId="58" applyNumberFormat="1" applyFont="1" applyBorder="1" applyAlignment="1">
      <alignment horizontal="center" vertical="top"/>
    </xf>
    <xf numFmtId="0" fontId="51" fillId="0" borderId="0" xfId="58" applyFont="1" applyAlignment="1">
      <alignment horizontal="center" vertical="top"/>
    </xf>
    <xf numFmtId="40" fontId="50" fillId="0" borderId="77" xfId="58" applyNumberFormat="1" applyFont="1" applyBorder="1" applyAlignment="1">
      <alignment horizontal="center" vertical="top"/>
    </xf>
    <xf numFmtId="40" fontId="50" fillId="0" borderId="78" xfId="58" applyNumberFormat="1" applyFont="1" applyBorder="1" applyAlignment="1">
      <alignment horizontal="center" vertical="top"/>
    </xf>
    <xf numFmtId="40" fontId="43" fillId="0" borderId="0" xfId="58" applyNumberFormat="1"/>
    <xf numFmtId="178" fontId="46" fillId="0" borderId="0" xfId="58" applyNumberFormat="1" applyFont="1" applyAlignment="1">
      <alignment horizontal="left" vertical="top"/>
    </xf>
    <xf numFmtId="166" fontId="27" fillId="9" borderId="0" xfId="0" applyNumberFormat="1" applyFont="1" applyFill="1" applyAlignment="1">
      <alignment horizontal="center" vertical="center" wrapText="1"/>
    </xf>
    <xf numFmtId="173" fontId="27" fillId="9" borderId="0" xfId="0" applyFont="1" applyFill="1" applyAlignment="1">
      <alignment horizontal="center" vertical="center" wrapText="1"/>
    </xf>
    <xf numFmtId="0" fontId="30" fillId="10" borderId="0" xfId="0" applyNumberFormat="1" applyFont="1" applyFill="1" applyAlignment="1">
      <alignment horizontal="right" vertical="center" wrapText="1"/>
    </xf>
    <xf numFmtId="173" fontId="27" fillId="10" borderId="0" xfId="0" applyFont="1" applyFill="1" applyAlignment="1">
      <alignment horizontal="center" vertical="center" wrapText="1"/>
    </xf>
    <xf numFmtId="166" fontId="27" fillId="10" borderId="0" xfId="0" applyNumberFormat="1" applyFont="1" applyFill="1" applyAlignment="1">
      <alignment horizontal="right" vertical="center"/>
    </xf>
    <xf numFmtId="166" fontId="27" fillId="10" borderId="0" xfId="0" applyNumberFormat="1" applyFont="1" applyFill="1" applyAlignment="1">
      <alignment horizontal="center" vertical="center"/>
    </xf>
    <xf numFmtId="173" fontId="27" fillId="4" borderId="0" xfId="0" applyFont="1" applyFill="1" applyAlignment="1">
      <alignment horizontal="center" vertical="center"/>
    </xf>
    <xf numFmtId="173" fontId="23" fillId="4" borderId="0" xfId="0" applyFont="1" applyFill="1" applyAlignment="1">
      <alignment horizontal="center" vertical="center"/>
    </xf>
    <xf numFmtId="2" fontId="23" fillId="0" borderId="0" xfId="0" applyNumberFormat="1" applyFont="1" applyAlignment="1">
      <alignment horizontal="right" vertical="center"/>
    </xf>
    <xf numFmtId="40" fontId="23" fillId="5" borderId="11" xfId="0" applyNumberFormat="1" applyFont="1" applyFill="1" applyBorder="1" applyAlignment="1">
      <alignment horizontal="center" vertical="center"/>
    </xf>
    <xf numFmtId="40" fontId="30" fillId="5" borderId="11" xfId="0" applyNumberFormat="1" applyFont="1" applyFill="1" applyBorder="1" applyAlignment="1">
      <alignment horizontal="center" vertical="center"/>
    </xf>
    <xf numFmtId="173" fontId="1" fillId="0" borderId="0" xfId="7" applyFont="1" applyAlignment="1">
      <alignment horizontal="left"/>
    </xf>
    <xf numFmtId="173" fontId="9" fillId="0" borderId="0" xfId="0" applyFont="1" applyAlignment="1">
      <alignment vertical="top" wrapText="1" readingOrder="1"/>
    </xf>
    <xf numFmtId="40" fontId="8" fillId="0" borderId="7" xfId="1" applyNumberFormat="1" applyFont="1" applyBorder="1" applyAlignment="1">
      <alignment vertical="center" wrapText="1" readingOrder="1"/>
    </xf>
    <xf numFmtId="173" fontId="18" fillId="3" borderId="0" xfId="2" applyFont="1" applyFill="1" applyAlignment="1">
      <alignment horizontal="left" wrapText="1" readingOrder="1"/>
    </xf>
    <xf numFmtId="173" fontId="9" fillId="0" borderId="10" xfId="2" applyFont="1" applyBorder="1" applyAlignment="1">
      <alignment horizontal="center" wrapText="1" readingOrder="1"/>
    </xf>
    <xf numFmtId="173" fontId="1" fillId="0" borderId="0" xfId="7" applyFont="1" applyAlignment="1"/>
    <xf numFmtId="173" fontId="1" fillId="0" borderId="0" xfId="7" applyFont="1" applyAlignment="1">
      <alignment horizontal="center"/>
    </xf>
    <xf numFmtId="173" fontId="1" fillId="0" borderId="0" xfId="7" applyFont="1" applyAlignment="1">
      <alignment horizontal="center" wrapText="1"/>
    </xf>
    <xf numFmtId="173" fontId="1" fillId="0" borderId="11" xfId="7" applyFont="1" applyBorder="1" applyAlignment="1">
      <alignment horizontal="center"/>
    </xf>
    <xf numFmtId="173" fontId="1" fillId="0" borderId="13" xfId="7" applyFont="1" applyBorder="1" applyAlignment="1">
      <alignment horizontal="center"/>
    </xf>
    <xf numFmtId="2" fontId="23" fillId="11" borderId="0" xfId="0" applyNumberFormat="1" applyFont="1" applyFill="1" applyAlignment="1">
      <alignment horizontal="right" vertical="center"/>
    </xf>
    <xf numFmtId="174" fontId="27" fillId="0" borderId="0" xfId="0" applyNumberFormat="1" applyFont="1" applyAlignment="1">
      <alignment horizontal="right" vertical="center"/>
    </xf>
    <xf numFmtId="173" fontId="9" fillId="0" borderId="3" xfId="2" applyFont="1" applyBorder="1" applyAlignment="1">
      <alignment horizontal="center" wrapText="1" readingOrder="1"/>
    </xf>
    <xf numFmtId="173" fontId="9" fillId="0" borderId="1" xfId="2" applyFont="1" applyBorder="1" applyAlignment="1">
      <alignment horizontal="center" wrapText="1" readingOrder="1"/>
    </xf>
    <xf numFmtId="173" fontId="9" fillId="0" borderId="2" xfId="2" applyFont="1" applyBorder="1" applyAlignment="1">
      <alignment horizontal="center" wrapText="1" readingOrder="1"/>
    </xf>
    <xf numFmtId="173" fontId="9" fillId="0" borderId="4" xfId="0" quotePrefix="1" applyFont="1" applyBorder="1" applyAlignment="1">
      <alignment horizontal="left" wrapText="1" readingOrder="1"/>
    </xf>
    <xf numFmtId="173" fontId="9" fillId="0" borderId="0" xfId="0" quotePrefix="1" applyFont="1" applyAlignment="1">
      <alignment horizontal="left" wrapText="1" readingOrder="1"/>
    </xf>
    <xf numFmtId="173" fontId="9" fillId="0" borderId="21" xfId="0" quotePrefix="1" applyFont="1" applyBorder="1" applyAlignment="1">
      <alignment horizontal="left" wrapText="1" readingOrder="1"/>
    </xf>
    <xf numFmtId="173" fontId="26" fillId="3" borderId="10" xfId="0" applyFont="1" applyFill="1" applyBorder="1" applyAlignment="1">
      <alignment horizontal="center" vertical="top" wrapText="1" readingOrder="1"/>
    </xf>
    <xf numFmtId="173" fontId="26" fillId="3" borderId="25" xfId="0" applyFont="1" applyFill="1" applyBorder="1" applyAlignment="1">
      <alignment horizontal="center" vertical="top" wrapText="1" readingOrder="1"/>
    </xf>
    <xf numFmtId="173" fontId="26" fillId="3" borderId="27" xfId="0" applyFont="1" applyFill="1" applyBorder="1" applyAlignment="1">
      <alignment horizontal="center" vertical="top" wrapText="1" readingOrder="1"/>
    </xf>
    <xf numFmtId="173" fontId="9" fillId="2" borderId="9" xfId="0" applyFont="1" applyFill="1" applyBorder="1" applyAlignment="1">
      <alignment horizontal="left" vertical="top" wrapText="1" readingOrder="1"/>
    </xf>
    <xf numFmtId="173" fontId="9" fillId="2" borderId="26" xfId="0" applyFont="1" applyFill="1" applyBorder="1" applyAlignment="1">
      <alignment horizontal="left" vertical="top" wrapText="1" readingOrder="1"/>
    </xf>
    <xf numFmtId="173" fontId="9" fillId="2" borderId="28" xfId="0" applyFont="1" applyFill="1" applyBorder="1" applyAlignment="1">
      <alignment horizontal="left" vertical="top" wrapText="1" readingOrder="1"/>
    </xf>
    <xf numFmtId="173" fontId="9" fillId="0" borderId="18" xfId="2" applyFont="1" applyBorder="1" applyAlignment="1">
      <alignment horizontal="center" wrapText="1" readingOrder="1"/>
    </xf>
    <xf numFmtId="173" fontId="9" fillId="0" borderId="20" xfId="2" applyFont="1" applyBorder="1" applyAlignment="1">
      <alignment horizontal="center" wrapText="1" readingOrder="1"/>
    </xf>
    <xf numFmtId="173" fontId="9" fillId="0" borderId="17" xfId="2" applyFont="1" applyBorder="1" applyAlignment="1">
      <alignment horizontal="center" wrapText="1" readingOrder="1"/>
    </xf>
    <xf numFmtId="173" fontId="9" fillId="0" borderId="21" xfId="2" applyFont="1" applyBorder="1" applyAlignment="1">
      <alignment horizontal="center" wrapText="1" readingOrder="1"/>
    </xf>
    <xf numFmtId="173" fontId="19" fillId="0" borderId="17" xfId="2" applyFont="1" applyBorder="1" applyAlignment="1">
      <alignment horizontal="center" vertical="center" wrapText="1" readingOrder="1"/>
    </xf>
    <xf numFmtId="173" fontId="19" fillId="0" borderId="21" xfId="2" applyFont="1" applyBorder="1" applyAlignment="1">
      <alignment horizontal="center" vertical="center" wrapText="1" readingOrder="1"/>
    </xf>
    <xf numFmtId="173" fontId="9" fillId="0" borderId="22" xfId="2" applyFont="1" applyBorder="1" applyAlignment="1">
      <alignment horizontal="center" wrapText="1" readingOrder="1"/>
    </xf>
    <xf numFmtId="173" fontId="9" fillId="0" borderId="24" xfId="2" applyFont="1" applyBorder="1" applyAlignment="1">
      <alignment horizontal="center" wrapText="1" readingOrder="1"/>
    </xf>
    <xf numFmtId="173" fontId="9" fillId="0" borderId="5" xfId="2" applyFont="1" applyBorder="1" applyAlignment="1">
      <alignment horizontal="center" wrapText="1" readingOrder="1"/>
    </xf>
    <xf numFmtId="173" fontId="9" fillId="0" borderId="29" xfId="2" applyFont="1" applyBorder="1" applyAlignment="1">
      <alignment horizontal="center" wrapText="1" readingOrder="1"/>
    </xf>
    <xf numFmtId="173" fontId="19" fillId="0" borderId="5" xfId="2" applyFont="1" applyBorder="1" applyAlignment="1">
      <alignment horizontal="center" vertical="center" wrapText="1" readingOrder="1"/>
    </xf>
    <xf numFmtId="173" fontId="9" fillId="0" borderId="30" xfId="2" applyFont="1" applyBorder="1" applyAlignment="1">
      <alignment horizontal="left" vertical="top" wrapText="1" readingOrder="1"/>
    </xf>
    <xf numFmtId="173" fontId="9" fillId="0" borderId="19" xfId="2" applyFont="1" applyBorder="1" applyAlignment="1">
      <alignment horizontal="left" vertical="top" wrapText="1" readingOrder="1"/>
    </xf>
    <xf numFmtId="173" fontId="9" fillId="0" borderId="31" xfId="2" applyFont="1" applyBorder="1" applyAlignment="1">
      <alignment horizontal="left" vertical="top" wrapText="1" readingOrder="1"/>
    </xf>
    <xf numFmtId="173" fontId="9" fillId="0" borderId="32" xfId="2" applyFont="1" applyBorder="1" applyAlignment="1">
      <alignment horizontal="left" vertical="top" wrapText="1" readingOrder="1"/>
    </xf>
    <xf numFmtId="173" fontId="9" fillId="0" borderId="23" xfId="2" applyFont="1" applyBorder="1" applyAlignment="1">
      <alignment horizontal="left" vertical="top" wrapText="1" readingOrder="1"/>
    </xf>
    <xf numFmtId="173" fontId="9" fillId="0" borderId="29" xfId="2" applyFont="1" applyBorder="1" applyAlignment="1">
      <alignment horizontal="left" vertical="top" wrapText="1" readingOrder="1"/>
    </xf>
    <xf numFmtId="173" fontId="9" fillId="0" borderId="4" xfId="2" applyFont="1" applyBorder="1" applyAlignment="1">
      <alignment horizontal="left" wrapText="1" readingOrder="1"/>
    </xf>
    <xf numFmtId="173" fontId="9" fillId="0" borderId="0" xfId="2" applyFont="1" applyAlignment="1">
      <alignment horizontal="left" wrapText="1" readingOrder="1"/>
    </xf>
    <xf numFmtId="173" fontId="9" fillId="0" borderId="21" xfId="2" applyFont="1" applyBorder="1" applyAlignment="1">
      <alignment horizontal="left" wrapText="1" readingOrder="1"/>
    </xf>
    <xf numFmtId="173" fontId="9" fillId="0" borderId="31" xfId="2" applyFont="1" applyBorder="1" applyAlignment="1">
      <alignment horizontal="center" wrapText="1" readingOrder="1"/>
    </xf>
    <xf numFmtId="173" fontId="26" fillId="3" borderId="0" xfId="2" applyFont="1" applyFill="1" applyAlignment="1">
      <alignment horizontal="right" wrapText="1" readingOrder="1"/>
    </xf>
    <xf numFmtId="173" fontId="26" fillId="3" borderId="21" xfId="2" applyFont="1" applyFill="1" applyBorder="1" applyAlignment="1">
      <alignment horizontal="right" wrapText="1" readingOrder="1"/>
    </xf>
    <xf numFmtId="173" fontId="31" fillId="0" borderId="4" xfId="2" applyFont="1" applyBorder="1" applyAlignment="1">
      <alignment horizontal="left" wrapText="1" readingOrder="1"/>
    </xf>
    <xf numFmtId="173" fontId="31" fillId="0" borderId="0" xfId="2" applyFont="1" applyAlignment="1">
      <alignment horizontal="left" wrapText="1" readingOrder="1"/>
    </xf>
    <xf numFmtId="173" fontId="31" fillId="0" borderId="21" xfId="2" applyFont="1" applyBorder="1" applyAlignment="1">
      <alignment horizontal="left" wrapText="1" readingOrder="1"/>
    </xf>
    <xf numFmtId="0" fontId="31" fillId="0" borderId="4" xfId="2" applyNumberFormat="1" applyFont="1" applyBorder="1" applyAlignment="1">
      <alignment horizontal="left" wrapText="1" readingOrder="1"/>
    </xf>
    <xf numFmtId="0" fontId="31" fillId="0" borderId="0" xfId="2" applyNumberFormat="1" applyFont="1" applyAlignment="1">
      <alignment horizontal="left" wrapText="1" readingOrder="1"/>
    </xf>
    <xf numFmtId="0" fontId="31" fillId="0" borderId="21" xfId="2" applyNumberFormat="1" applyFont="1" applyBorder="1" applyAlignment="1">
      <alignment horizontal="left" wrapText="1" readingOrder="1"/>
    </xf>
    <xf numFmtId="173" fontId="9" fillId="0" borderId="4" xfId="0" applyFont="1" applyBorder="1" applyAlignment="1">
      <alignment horizontal="left" wrapText="1" readingOrder="1"/>
    </xf>
    <xf numFmtId="173" fontId="9" fillId="0" borderId="0" xfId="0" applyFont="1" applyAlignment="1">
      <alignment horizontal="left" wrapText="1" readingOrder="1"/>
    </xf>
    <xf numFmtId="173" fontId="9" fillId="0" borderId="21" xfId="0" applyFont="1" applyBorder="1" applyAlignment="1">
      <alignment horizontal="left" wrapText="1" readingOrder="1"/>
    </xf>
    <xf numFmtId="173" fontId="10" fillId="0" borderId="0" xfId="2" applyFont="1" applyAlignment="1">
      <alignment horizontal="center" wrapText="1" readingOrder="1"/>
    </xf>
    <xf numFmtId="173" fontId="12" fillId="0" borderId="0" xfId="2" applyFont="1" applyAlignment="1">
      <alignment horizontal="center" wrapText="1" readingOrder="1"/>
    </xf>
    <xf numFmtId="173" fontId="13" fillId="0" borderId="0" xfId="2" applyFont="1" applyAlignment="1">
      <alignment horizontal="center" wrapText="1" readingOrder="1"/>
    </xf>
    <xf numFmtId="173" fontId="26" fillId="3" borderId="33" xfId="2" applyFont="1" applyFill="1" applyBorder="1" applyAlignment="1">
      <alignment horizontal="left" vertical="center" wrapText="1" readingOrder="1"/>
    </xf>
    <xf numFmtId="173" fontId="26" fillId="3" borderId="34" xfId="2" applyFont="1" applyFill="1" applyBorder="1" applyAlignment="1">
      <alignment horizontal="left" vertical="center" wrapText="1" readingOrder="1"/>
    </xf>
    <xf numFmtId="173" fontId="26" fillId="3" borderId="34" xfId="2" applyFont="1" applyFill="1" applyBorder="1" applyAlignment="1">
      <alignment horizontal="center" vertical="center" wrapText="1" readingOrder="1"/>
    </xf>
    <xf numFmtId="173" fontId="26" fillId="3" borderId="35" xfId="2" applyFont="1" applyFill="1" applyBorder="1" applyAlignment="1">
      <alignment horizontal="center" vertical="center" wrapText="1" readingOrder="1"/>
    </xf>
    <xf numFmtId="172" fontId="9" fillId="0" borderId="0" xfId="0" applyNumberFormat="1" applyFont="1" applyAlignment="1">
      <alignment horizontal="left" vertical="top" wrapText="1" readingOrder="1"/>
    </xf>
    <xf numFmtId="173" fontId="9" fillId="4" borderId="0" xfId="0" applyFont="1" applyFill="1" applyAlignment="1">
      <alignment horizontal="left" vertical="top" wrapText="1" readingOrder="1"/>
    </xf>
    <xf numFmtId="173" fontId="9" fillId="0" borderId="4" xfId="2" applyFont="1" applyBorder="1" applyAlignment="1">
      <alignment horizontal="center" wrapText="1" readingOrder="1"/>
    </xf>
    <xf numFmtId="173" fontId="9" fillId="0" borderId="0" xfId="2" applyFont="1" applyAlignment="1">
      <alignment horizontal="center" wrapText="1" readingOrder="1"/>
    </xf>
    <xf numFmtId="175" fontId="9" fillId="0" borderId="0" xfId="0" quotePrefix="1" applyNumberFormat="1" applyFont="1" applyAlignment="1">
      <alignment horizontal="left" wrapText="1" readingOrder="1"/>
    </xf>
    <xf numFmtId="175" fontId="9" fillId="0" borderId="21" xfId="0" quotePrefix="1" applyNumberFormat="1" applyFont="1" applyBorder="1" applyAlignment="1">
      <alignment horizontal="left" wrapText="1" readingOrder="1"/>
    </xf>
    <xf numFmtId="175" fontId="9" fillId="5" borderId="0" xfId="0" quotePrefix="1" applyNumberFormat="1" applyFont="1" applyFill="1" applyAlignment="1">
      <alignment horizontal="left" wrapText="1" readingOrder="1"/>
    </xf>
    <xf numFmtId="175" fontId="9" fillId="5" borderId="21" xfId="0" quotePrefix="1" applyNumberFormat="1" applyFont="1" applyFill="1" applyBorder="1" applyAlignment="1">
      <alignment horizontal="left" wrapText="1" readingOrder="1"/>
    </xf>
    <xf numFmtId="0" fontId="9" fillId="0" borderId="4" xfId="3" applyNumberFormat="1" applyFont="1" applyBorder="1" applyAlignment="1">
      <alignment horizontal="left" wrapText="1" readingOrder="1"/>
    </xf>
    <xf numFmtId="0" fontId="9" fillId="0" borderId="0" xfId="3" applyNumberFormat="1" applyFont="1" applyAlignment="1">
      <alignment horizontal="left" wrapText="1" readingOrder="1"/>
    </xf>
    <xf numFmtId="0" fontId="9" fillId="0" borderId="21" xfId="3" applyNumberFormat="1" applyFont="1" applyBorder="1" applyAlignment="1">
      <alignment horizontal="left" wrapText="1" readingOrder="1"/>
    </xf>
    <xf numFmtId="0" fontId="9" fillId="0" borderId="3" xfId="2" applyNumberFormat="1" applyFont="1" applyBorder="1" applyAlignment="1">
      <alignment horizontal="right" wrapText="1" readingOrder="1"/>
    </xf>
    <xf numFmtId="0" fontId="9" fillId="0" borderId="1" xfId="2" applyNumberFormat="1" applyFont="1" applyBorder="1" applyAlignment="1">
      <alignment horizontal="right" wrapText="1" readingOrder="1"/>
    </xf>
    <xf numFmtId="0" fontId="9" fillId="0" borderId="56" xfId="2" applyNumberFormat="1" applyFont="1" applyBorder="1" applyAlignment="1">
      <alignment horizontal="right" wrapText="1" readingOrder="1"/>
    </xf>
    <xf numFmtId="40" fontId="46" fillId="0" borderId="0" xfId="58" applyNumberFormat="1" applyFont="1" applyAlignment="1">
      <alignment horizontal="left" vertical="top"/>
    </xf>
    <xf numFmtId="0" fontId="46" fillId="0" borderId="0" xfId="58" applyFont="1" applyAlignment="1">
      <alignment horizontal="left" vertical="top"/>
    </xf>
    <xf numFmtId="49" fontId="46" fillId="0" borderId="57" xfId="58" applyNumberFormat="1" applyFont="1" applyBorder="1" applyAlignment="1">
      <alignment horizontal="center" vertical="top" wrapText="1"/>
    </xf>
    <xf numFmtId="49" fontId="46" fillId="0" borderId="8" xfId="58" applyNumberFormat="1" applyFont="1" applyBorder="1" applyAlignment="1">
      <alignment horizontal="center" vertical="top" wrapText="1"/>
    </xf>
    <xf numFmtId="49" fontId="46" fillId="0" borderId="9" xfId="58" applyNumberFormat="1" applyFont="1" applyBorder="1" applyAlignment="1">
      <alignment horizontal="center" vertical="top" wrapText="1"/>
    </xf>
    <xf numFmtId="49" fontId="46" fillId="0" borderId="58" xfId="58" applyNumberFormat="1" applyFont="1" applyBorder="1" applyAlignment="1">
      <alignment horizontal="center" vertical="top"/>
    </xf>
    <xf numFmtId="49" fontId="46" fillId="0" borderId="63" xfId="58" applyNumberFormat="1" applyFont="1" applyBorder="1" applyAlignment="1">
      <alignment horizontal="center" vertical="top"/>
    </xf>
    <xf numFmtId="49" fontId="46" fillId="0" borderId="26" xfId="58" applyNumberFormat="1" applyFont="1" applyBorder="1" applyAlignment="1">
      <alignment horizontal="center" vertical="top"/>
    </xf>
    <xf numFmtId="0" fontId="46" fillId="0" borderId="58" xfId="58" applyFont="1" applyBorder="1" applyAlignment="1">
      <alignment horizontal="center" vertical="top"/>
    </xf>
    <xf numFmtId="0" fontId="46" fillId="0" borderId="63" xfId="58" applyFont="1" applyBorder="1" applyAlignment="1">
      <alignment horizontal="center" vertical="top"/>
    </xf>
    <xf numFmtId="0" fontId="46" fillId="0" borderId="26" xfId="58" applyFont="1" applyBorder="1" applyAlignment="1">
      <alignment horizontal="center" vertical="top"/>
    </xf>
    <xf numFmtId="173" fontId="47" fillId="0" borderId="64" xfId="0" applyFont="1" applyBorder="1" applyAlignment="1">
      <alignment horizontal="center" vertical="center" wrapText="1"/>
    </xf>
    <xf numFmtId="40" fontId="46" fillId="0" borderId="64" xfId="58" applyNumberFormat="1" applyFont="1" applyBorder="1" applyAlignment="1">
      <alignment horizontal="center" vertical="top" wrapText="1"/>
    </xf>
    <xf numFmtId="40" fontId="46" fillId="0" borderId="6" xfId="58" applyNumberFormat="1" applyFont="1" applyBorder="1" applyAlignment="1">
      <alignment horizontal="center" vertical="top" wrapText="1"/>
    </xf>
    <xf numFmtId="40" fontId="46" fillId="0" borderId="65" xfId="58" applyNumberFormat="1" applyFont="1" applyBorder="1" applyAlignment="1">
      <alignment horizontal="center" vertical="top" wrapText="1"/>
    </xf>
    <xf numFmtId="40" fontId="46" fillId="0" borderId="58" xfId="58" applyNumberFormat="1" applyFont="1" applyBorder="1" applyAlignment="1">
      <alignment horizontal="center" vertical="top" wrapText="1"/>
    </xf>
    <xf numFmtId="40" fontId="46" fillId="0" borderId="63" xfId="58" applyNumberFormat="1" applyFont="1" applyBorder="1" applyAlignment="1">
      <alignment horizontal="center" vertical="top" wrapText="1"/>
    </xf>
    <xf numFmtId="40" fontId="46" fillId="0" borderId="26" xfId="58" applyNumberFormat="1" applyFont="1" applyBorder="1" applyAlignment="1">
      <alignment horizontal="center" vertical="top" wrapText="1"/>
    </xf>
    <xf numFmtId="40" fontId="48" fillId="0" borderId="58" xfId="58" applyNumberFormat="1" applyFont="1" applyBorder="1" applyAlignment="1">
      <alignment horizontal="center" vertical="top" wrapText="1"/>
    </xf>
    <xf numFmtId="40" fontId="48" fillId="0" borderId="63" xfId="58" applyNumberFormat="1" applyFont="1" applyBorder="1" applyAlignment="1">
      <alignment horizontal="center" vertical="top" wrapText="1"/>
    </xf>
    <xf numFmtId="40" fontId="48" fillId="0" borderId="26" xfId="58" applyNumberFormat="1" applyFont="1" applyBorder="1" applyAlignment="1">
      <alignment horizontal="center" vertical="top" wrapText="1"/>
    </xf>
    <xf numFmtId="0" fontId="46" fillId="0" borderId="62" xfId="58" applyFont="1" applyBorder="1" applyAlignment="1">
      <alignment horizontal="center" vertical="top" wrapText="1"/>
    </xf>
    <xf numFmtId="0" fontId="46" fillId="0" borderId="66" xfId="58" applyFont="1" applyBorder="1" applyAlignment="1">
      <alignment horizontal="center" vertical="top" wrapText="1"/>
    </xf>
    <xf numFmtId="0" fontId="46" fillId="0" borderId="28" xfId="58" applyFont="1" applyBorder="1" applyAlignment="1">
      <alignment horizontal="center" vertical="top" wrapText="1"/>
    </xf>
    <xf numFmtId="40" fontId="46" fillId="0" borderId="59" xfId="58" applyNumberFormat="1" applyFont="1" applyBorder="1" applyAlignment="1">
      <alignment horizontal="center" vertical="top"/>
    </xf>
    <xf numFmtId="49" fontId="50" fillId="0" borderId="69" xfId="58" applyNumberFormat="1" applyFont="1" applyBorder="1" applyAlignment="1">
      <alignment horizontal="center" vertical="top" wrapText="1"/>
    </xf>
    <xf numFmtId="49" fontId="50" fillId="0" borderId="70" xfId="58" applyNumberFormat="1" applyFont="1" applyBorder="1" applyAlignment="1">
      <alignment horizontal="center" vertical="top" wrapText="1"/>
    </xf>
    <xf numFmtId="49" fontId="50" fillId="0" borderId="71" xfId="58" applyNumberFormat="1" applyFont="1" applyBorder="1" applyAlignment="1">
      <alignment horizontal="center" vertical="top" wrapText="1"/>
    </xf>
    <xf numFmtId="49" fontId="50" fillId="0" borderId="74" xfId="58" applyNumberFormat="1" applyFont="1" applyBorder="1" applyAlignment="1">
      <alignment horizontal="center" vertical="top" wrapText="1"/>
    </xf>
    <xf numFmtId="49" fontId="50" fillId="0" borderId="75" xfId="58" applyNumberFormat="1" applyFont="1" applyBorder="1" applyAlignment="1">
      <alignment horizontal="center" vertical="top" wrapText="1"/>
    </xf>
    <xf numFmtId="49" fontId="50" fillId="0" borderId="76" xfId="58" applyNumberFormat="1" applyFont="1" applyBorder="1" applyAlignment="1">
      <alignment horizontal="center" vertical="top" wrapText="1"/>
    </xf>
    <xf numFmtId="40" fontId="46" fillId="0" borderId="59" xfId="58" applyNumberFormat="1" applyFont="1" applyBorder="1" applyAlignment="1">
      <alignment horizontal="center" vertical="top" wrapText="1"/>
    </xf>
    <xf numFmtId="173" fontId="47" fillId="0" borderId="59" xfId="0" applyFont="1" applyBorder="1" applyAlignment="1">
      <alignment horizontal="center" vertical="center" wrapText="1"/>
    </xf>
    <xf numFmtId="40" fontId="46" fillId="0" borderId="60" xfId="58" applyNumberFormat="1" applyFont="1" applyBorder="1" applyAlignment="1">
      <alignment horizontal="center" vertical="top" wrapText="1"/>
    </xf>
    <xf numFmtId="40" fontId="46" fillId="0" borderId="34" xfId="58" applyNumberFormat="1" applyFont="1" applyBorder="1" applyAlignment="1">
      <alignment horizontal="center" vertical="top" wrapText="1"/>
    </xf>
    <xf numFmtId="40" fontId="46" fillId="0" borderId="61" xfId="58" applyNumberFormat="1" applyFont="1" applyBorder="1" applyAlignment="1">
      <alignment horizontal="center" vertical="top" wrapText="1"/>
    </xf>
    <xf numFmtId="173" fontId="32" fillId="0" borderId="0" xfId="0" applyFont="1" applyAlignment="1">
      <alignment horizontal="center" vertical="center"/>
    </xf>
    <xf numFmtId="173" fontId="33" fillId="0" borderId="38" xfId="0" applyFont="1" applyBorder="1" applyAlignment="1">
      <alignment horizontal="center" vertical="center" wrapText="1"/>
    </xf>
    <xf numFmtId="173" fontId="33" fillId="0" borderId="13" xfId="0" applyFont="1" applyBorder="1" applyAlignment="1">
      <alignment horizontal="center" vertical="center" wrapText="1"/>
    </xf>
    <xf numFmtId="40" fontId="33" fillId="0" borderId="36" xfId="0" applyNumberFormat="1" applyFont="1" applyBorder="1" applyAlignment="1">
      <alignment horizontal="center" vertical="center" wrapText="1"/>
    </xf>
    <xf numFmtId="40" fontId="33" fillId="0" borderId="11" xfId="0" applyNumberFormat="1" applyFont="1" applyBorder="1" applyAlignment="1">
      <alignment horizontal="center" vertical="center" wrapText="1"/>
    </xf>
    <xf numFmtId="173" fontId="27" fillId="0" borderId="0" xfId="0" applyFont="1" applyAlignment="1">
      <alignment horizontal="left" vertical="center"/>
    </xf>
    <xf numFmtId="49" fontId="33" fillId="0" borderId="37" xfId="0" applyNumberFormat="1" applyFont="1" applyBorder="1" applyAlignment="1">
      <alignment horizontal="center" vertical="center" wrapText="1"/>
    </xf>
    <xf numFmtId="49" fontId="33" fillId="0" borderId="12" xfId="0" applyNumberFormat="1" applyFont="1" applyBorder="1" applyAlignment="1">
      <alignment horizontal="center" vertical="center" wrapText="1"/>
    </xf>
    <xf numFmtId="173" fontId="33" fillId="0" borderId="36" xfId="0" applyFont="1" applyBorder="1" applyAlignment="1">
      <alignment horizontal="center" vertical="center"/>
    </xf>
    <xf numFmtId="173" fontId="33" fillId="0" borderId="11" xfId="0" applyFont="1" applyBorder="1" applyAlignment="1">
      <alignment horizontal="center" vertical="center"/>
    </xf>
    <xf numFmtId="49" fontId="33" fillId="0" borderId="36" xfId="0" applyNumberFormat="1" applyFont="1" applyBorder="1" applyAlignment="1">
      <alignment horizontal="center" vertical="center"/>
    </xf>
    <xf numFmtId="49" fontId="33" fillId="0" borderId="11" xfId="0" applyNumberFormat="1" applyFont="1" applyBorder="1" applyAlignment="1">
      <alignment horizontal="center" vertical="center"/>
    </xf>
    <xf numFmtId="173" fontId="33" fillId="0" borderId="41" xfId="0" applyFont="1" applyBorder="1" applyAlignment="1">
      <alignment horizontal="center" vertical="center"/>
    </xf>
    <xf numFmtId="173" fontId="33" fillId="0" borderId="42" xfId="0" applyFont="1" applyBorder="1" applyAlignment="1">
      <alignment horizontal="center" vertical="center"/>
    </xf>
    <xf numFmtId="173" fontId="33" fillId="0" borderId="43" xfId="0" applyFont="1" applyBorder="1" applyAlignment="1">
      <alignment horizontal="center" vertical="center"/>
    </xf>
    <xf numFmtId="40" fontId="33" fillId="0" borderId="41" xfId="0" applyNumberFormat="1" applyFont="1" applyBorder="1" applyAlignment="1">
      <alignment horizontal="center" vertical="center"/>
    </xf>
    <xf numFmtId="40" fontId="33" fillId="0" borderId="42" xfId="0" applyNumberFormat="1" applyFont="1" applyBorder="1" applyAlignment="1">
      <alignment horizontal="center" vertical="center"/>
    </xf>
    <xf numFmtId="40" fontId="33" fillId="0" borderId="43" xfId="0" applyNumberFormat="1" applyFont="1" applyBorder="1" applyAlignment="1">
      <alignment horizontal="center" vertical="center"/>
    </xf>
    <xf numFmtId="40" fontId="33" fillId="0" borderId="39" xfId="0" applyNumberFormat="1" applyFont="1" applyBorder="1" applyAlignment="1">
      <alignment horizontal="center" vertical="center" wrapText="1"/>
    </xf>
    <xf numFmtId="40" fontId="33" fillId="0" borderId="40" xfId="0" applyNumberFormat="1" applyFont="1" applyBorder="1" applyAlignment="1">
      <alignment horizontal="center" vertical="center" wrapText="1"/>
    </xf>
    <xf numFmtId="40" fontId="33" fillId="0" borderId="38" xfId="0" applyNumberFormat="1" applyFont="1" applyBorder="1" applyAlignment="1">
      <alignment horizontal="center" vertical="center" wrapText="1"/>
    </xf>
    <xf numFmtId="40" fontId="33" fillId="0" borderId="13" xfId="0" applyNumberFormat="1" applyFont="1" applyBorder="1" applyAlignment="1">
      <alignment horizontal="center" vertical="center" wrapText="1"/>
    </xf>
    <xf numFmtId="40" fontId="27" fillId="0" borderId="0" xfId="0" applyNumberFormat="1" applyFont="1" applyAlignment="1">
      <alignment horizontal="left" vertical="center"/>
    </xf>
    <xf numFmtId="173" fontId="35" fillId="0" borderId="1" xfId="7" applyFont="1" applyBorder="1" applyAlignment="1">
      <alignment horizontal="center" vertical="center"/>
    </xf>
    <xf numFmtId="49" fontId="33" fillId="0" borderId="37" xfId="7" applyNumberFormat="1" applyFont="1" applyBorder="1" applyAlignment="1">
      <alignment horizontal="center" vertical="center" wrapText="1"/>
    </xf>
    <xf numFmtId="49" fontId="33" fillId="0" borderId="12" xfId="7" applyNumberFormat="1" applyFont="1" applyBorder="1" applyAlignment="1">
      <alignment horizontal="center" vertical="center" wrapText="1"/>
    </xf>
    <xf numFmtId="173" fontId="33" fillId="0" borderId="36" xfId="7" applyFont="1" applyBorder="1" applyAlignment="1">
      <alignment horizontal="center" vertical="center"/>
    </xf>
    <xf numFmtId="173" fontId="33" fillId="0" borderId="11" xfId="7" applyFont="1" applyBorder="1" applyAlignment="1">
      <alignment horizontal="center" vertical="center"/>
    </xf>
    <xf numFmtId="173" fontId="1" fillId="0" borderId="0" xfId="7" applyFont="1" applyAlignment="1">
      <alignment horizontal="left"/>
    </xf>
    <xf numFmtId="173" fontId="33" fillId="0" borderId="41" xfId="7" applyFont="1" applyBorder="1" applyAlignment="1">
      <alignment horizontal="center" vertical="center"/>
    </xf>
    <xf numFmtId="173" fontId="33" fillId="0" borderId="42" xfId="7" applyFont="1" applyBorder="1" applyAlignment="1">
      <alignment horizontal="center" vertical="center"/>
    </xf>
    <xf numFmtId="40" fontId="33" fillId="0" borderId="36" xfId="7" applyNumberFormat="1" applyFont="1" applyBorder="1" applyAlignment="1">
      <alignment horizontal="center" vertical="center" wrapText="1"/>
    </xf>
    <xf numFmtId="40" fontId="33" fillId="0" borderId="11" xfId="7" applyNumberFormat="1" applyFont="1" applyBorder="1" applyAlignment="1">
      <alignment horizontal="center" vertical="center" wrapText="1"/>
    </xf>
    <xf numFmtId="173" fontId="33" fillId="0" borderId="38" xfId="7" applyFont="1" applyBorder="1" applyAlignment="1">
      <alignment horizontal="center" vertical="center" wrapText="1"/>
    </xf>
    <xf numFmtId="173" fontId="33" fillId="0" borderId="13" xfId="7" applyFont="1" applyBorder="1" applyAlignment="1">
      <alignment horizontal="center" vertical="center" wrapText="1"/>
    </xf>
    <xf numFmtId="49" fontId="33" fillId="0" borderId="36" xfId="7" applyNumberFormat="1" applyFont="1" applyBorder="1" applyAlignment="1">
      <alignment horizontal="center" vertical="center"/>
    </xf>
    <xf numFmtId="49" fontId="33" fillId="0" borderId="11" xfId="7" applyNumberFormat="1" applyFont="1" applyBorder="1" applyAlignment="1">
      <alignment horizontal="center" vertical="center"/>
    </xf>
    <xf numFmtId="40" fontId="33" fillId="0" borderId="39" xfId="7" applyNumberFormat="1" applyFont="1" applyBorder="1" applyAlignment="1">
      <alignment horizontal="center" vertical="center" wrapText="1"/>
    </xf>
    <xf numFmtId="40" fontId="33" fillId="0" borderId="40" xfId="7" applyNumberFormat="1" applyFont="1" applyBorder="1" applyAlignment="1">
      <alignment horizontal="center" vertical="center" wrapText="1"/>
    </xf>
    <xf numFmtId="40" fontId="33" fillId="0" borderId="41" xfId="7" applyNumberFormat="1" applyFont="1" applyBorder="1" applyAlignment="1">
      <alignment horizontal="center" vertical="center"/>
    </xf>
    <xf numFmtId="40" fontId="33" fillId="0" borderId="42" xfId="7" applyNumberFormat="1" applyFont="1" applyBorder="1" applyAlignment="1">
      <alignment horizontal="center" vertical="center"/>
    </xf>
    <xf numFmtId="40" fontId="33" fillId="0" borderId="43" xfId="7" applyNumberFormat="1" applyFont="1" applyBorder="1" applyAlignment="1">
      <alignment horizontal="center" vertical="center"/>
    </xf>
    <xf numFmtId="173" fontId="33" fillId="0" borderId="36" xfId="7" applyFont="1" applyBorder="1" applyAlignment="1">
      <alignment horizontal="center" vertical="center" wrapText="1"/>
    </xf>
    <xf numFmtId="173" fontId="37" fillId="0" borderId="0" xfId="7" applyFont="1" applyAlignment="1">
      <alignment horizontal="left"/>
    </xf>
    <xf numFmtId="173" fontId="31" fillId="0" borderId="0" xfId="7" applyFont="1" applyAlignment="1">
      <alignment horizontal="left"/>
    </xf>
    <xf numFmtId="40" fontId="33" fillId="0" borderId="50" xfId="7" applyNumberFormat="1" applyFont="1" applyBorder="1" applyAlignment="1">
      <alignment horizontal="center" vertical="center" wrapText="1"/>
    </xf>
    <xf numFmtId="40" fontId="33" fillId="0" borderId="51" xfId="7" applyNumberFormat="1" applyFont="1" applyBorder="1" applyAlignment="1">
      <alignment horizontal="center" vertical="center" wrapText="1"/>
    </xf>
    <xf numFmtId="173" fontId="33" fillId="0" borderId="43" xfId="7" applyFont="1" applyBorder="1" applyAlignment="1">
      <alignment horizontal="center" vertical="center"/>
    </xf>
    <xf numFmtId="173" fontId="27" fillId="4" borderId="0" xfId="0" applyFont="1" applyFill="1" applyAlignment="1">
      <alignment horizontal="center" vertical="center"/>
    </xf>
    <xf numFmtId="10" fontId="27" fillId="4" borderId="0" xfId="0" applyNumberFormat="1" applyFont="1" applyFill="1" applyAlignment="1">
      <alignment horizontal="center" vertical="center"/>
    </xf>
    <xf numFmtId="173" fontId="23" fillId="0" borderId="44" xfId="0" applyFont="1" applyBorder="1" applyAlignment="1">
      <alignment horizontal="center"/>
    </xf>
    <xf numFmtId="173" fontId="23" fillId="0" borderId="45" xfId="0" applyFont="1" applyBorder="1" applyAlignment="1">
      <alignment horizontal="center"/>
    </xf>
  </cellXfs>
  <cellStyles count="59">
    <cellStyle name="0,0_x000d__x000a_NA_x000d__x000a_" xfId="8" xr:uid="{00000000-0005-0000-0000-000000000000}"/>
    <cellStyle name="0,0_x000d__x000a_NA_x000d__x000a_ 2" xfId="9" xr:uid="{00000000-0005-0000-0000-000001000000}"/>
    <cellStyle name="Comma" xfId="5" builtinId="3"/>
    <cellStyle name="Comma_SH02020 (2)" xfId="1" xr:uid="{00000000-0005-0000-0000-000002000000}"/>
    <cellStyle name="Hyperlink" xfId="4" builtinId="8"/>
    <cellStyle name="Normal" xfId="0" builtinId="0"/>
    <cellStyle name="Normal 2" xfId="58" xr:uid="{E8B6B827-AA10-47E8-A7D4-0E62903730B7}"/>
    <cellStyle name="Normal_SUMMERY" xfId="2" xr:uid="{00000000-0005-0000-0000-000003000000}"/>
    <cellStyle name="千位分隔 2" xfId="44" xr:uid="{00000000-0005-0000-0000-00002D000000}"/>
    <cellStyle name="千位分隔 2 2" xfId="45" xr:uid="{00000000-0005-0000-0000-00002E000000}"/>
    <cellStyle name="千位分隔 2 2 2" xfId="46" xr:uid="{00000000-0005-0000-0000-00002F000000}"/>
    <cellStyle name="千位分隔 2 3" xfId="47" xr:uid="{00000000-0005-0000-0000-000030000000}"/>
    <cellStyle name="千位分隔 2 3 2" xfId="48" xr:uid="{00000000-0005-0000-0000-000031000000}"/>
    <cellStyle name="千位分隔 2 4" xfId="49" xr:uid="{00000000-0005-0000-0000-000032000000}"/>
    <cellStyle name="千位分隔 2 5" xfId="50" xr:uid="{00000000-0005-0000-0000-000033000000}"/>
    <cellStyle name="千位分隔 3" xfId="51" xr:uid="{00000000-0005-0000-0000-000034000000}"/>
    <cellStyle name="千位分隔 3 2" xfId="52" xr:uid="{00000000-0005-0000-0000-000035000000}"/>
    <cellStyle name="千位分隔 4" xfId="53" xr:uid="{00000000-0005-0000-0000-000036000000}"/>
    <cellStyle name="千位分隔 5" xfId="54" xr:uid="{00000000-0005-0000-0000-000037000000}"/>
    <cellStyle name="常规 2" xfId="3" xr:uid="{00000000-0005-0000-0000-000007000000}"/>
    <cellStyle name="常规 2 2" xfId="6" xr:uid="{00000000-0005-0000-0000-000008000000}"/>
    <cellStyle name="常规 2 2 2" xfId="11" xr:uid="{00000000-0005-0000-0000-000009000000}"/>
    <cellStyle name="常规 2 2 2 2" xfId="12" xr:uid="{00000000-0005-0000-0000-00000A000000}"/>
    <cellStyle name="常规 2 2 3" xfId="13" xr:uid="{00000000-0005-0000-0000-00000B000000}"/>
    <cellStyle name="常规 2 2 3 2" xfId="14" xr:uid="{00000000-0005-0000-0000-00000C000000}"/>
    <cellStyle name="常规 2 2 4" xfId="15" xr:uid="{00000000-0005-0000-0000-00000D000000}"/>
    <cellStyle name="常规 2 3" xfId="16" xr:uid="{00000000-0005-0000-0000-00000E000000}"/>
    <cellStyle name="常规 2 3 2" xfId="17" xr:uid="{00000000-0005-0000-0000-00000F000000}"/>
    <cellStyle name="常规 2 4" xfId="18" xr:uid="{00000000-0005-0000-0000-000010000000}"/>
    <cellStyle name="常规 2 4 2" xfId="19" xr:uid="{00000000-0005-0000-0000-000011000000}"/>
    <cellStyle name="常规 2 5" xfId="20" xr:uid="{00000000-0005-0000-0000-000012000000}"/>
    <cellStyle name="常规 2 5 2" xfId="21" xr:uid="{00000000-0005-0000-0000-000013000000}"/>
    <cellStyle name="常规 2 6" xfId="22" xr:uid="{00000000-0005-0000-0000-000014000000}"/>
    <cellStyle name="常规 2 6 2" xfId="23" xr:uid="{00000000-0005-0000-0000-000015000000}"/>
    <cellStyle name="常规 2 7" xfId="24" xr:uid="{00000000-0005-0000-0000-000016000000}"/>
    <cellStyle name="常规 2 8" xfId="25" xr:uid="{00000000-0005-0000-0000-000017000000}"/>
    <cellStyle name="常规 2 9" xfId="26" xr:uid="{00000000-0005-0000-0000-000018000000}"/>
    <cellStyle name="常规 2_Service Schedule" xfId="57" xr:uid="{AB2BBE90-F165-4574-8C96-A62A177EBCF3}"/>
    <cellStyle name="常规 3" xfId="7" xr:uid="{00000000-0005-0000-0000-000019000000}"/>
    <cellStyle name="常规 3 2" xfId="27" xr:uid="{00000000-0005-0000-0000-00001A000000}"/>
    <cellStyle name="常规 3 2 2" xfId="28" xr:uid="{00000000-0005-0000-0000-00001B000000}"/>
    <cellStyle name="常规 3 3" xfId="29" xr:uid="{00000000-0005-0000-0000-00001C000000}"/>
    <cellStyle name="常规 3 3 2" xfId="30" xr:uid="{00000000-0005-0000-0000-00001D000000}"/>
    <cellStyle name="常规 3 4" xfId="31" xr:uid="{00000000-0005-0000-0000-00001E000000}"/>
    <cellStyle name="常规 3 4 2" xfId="32" xr:uid="{00000000-0005-0000-0000-00001F000000}"/>
    <cellStyle name="常规 3 5" xfId="33" xr:uid="{00000000-0005-0000-0000-000020000000}"/>
    <cellStyle name="常规 4" xfId="34" xr:uid="{00000000-0005-0000-0000-000021000000}"/>
    <cellStyle name="常规 4 2" xfId="35" xr:uid="{00000000-0005-0000-0000-000022000000}"/>
    <cellStyle name="常规 5" xfId="36" xr:uid="{00000000-0005-0000-0000-000023000000}"/>
    <cellStyle name="样式 1" xfId="55" xr:uid="{00000000-0005-0000-0000-000038000000}"/>
    <cellStyle name="样式 1 2" xfId="56" xr:uid="{00000000-0005-0000-0000-000039000000}"/>
    <cellStyle name="百分比 2" xfId="10" xr:uid="{00000000-0005-0000-0000-000005000000}"/>
    <cellStyle name="货币 2" xfId="39" xr:uid="{00000000-0005-0000-0000-000027000000}"/>
    <cellStyle name="货币 2 2" xfId="40" xr:uid="{00000000-0005-0000-0000-000028000000}"/>
    <cellStyle name="货币 2 3" xfId="41" xr:uid="{00000000-0005-0000-0000-000029000000}"/>
    <cellStyle name="货币 3" xfId="42" xr:uid="{00000000-0005-0000-0000-00002A000000}"/>
    <cellStyle name="货币 3 2" xfId="43" xr:uid="{00000000-0005-0000-0000-00002B000000}"/>
    <cellStyle name="超链接 2" xfId="37" xr:uid="{00000000-0005-0000-0000-000025000000}"/>
    <cellStyle name="超链接 2 2" xfId="38" xr:uid="{00000000-0005-0000-0000-00002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0</xdr:row>
      <xdr:rowOff>66675</xdr:rowOff>
    </xdr:from>
    <xdr:to>
      <xdr:col>4</xdr:col>
      <xdr:colOff>904875</xdr:colOff>
      <xdr:row>2</xdr:row>
      <xdr:rowOff>239236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3102486A-C708-4A53-9932-D17FB1C43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76975" y="66675"/>
          <a:ext cx="866775" cy="477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0</xdr:row>
      <xdr:rowOff>104775</xdr:rowOff>
    </xdr:from>
    <xdr:to>
      <xdr:col>4</xdr:col>
      <xdr:colOff>971550</xdr:colOff>
      <xdr:row>3</xdr:row>
      <xdr:rowOff>20161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9C965A6C-FA34-411B-882A-83B9C5CC2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62650" y="104775"/>
          <a:ext cx="923925" cy="4773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57150</xdr:rowOff>
    </xdr:from>
    <xdr:to>
      <xdr:col>1</xdr:col>
      <xdr:colOff>1038225</xdr:colOff>
      <xdr:row>2</xdr:row>
      <xdr:rowOff>191611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772E7FA4-7007-48CC-BDA7-546221CCA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4350" y="57150"/>
          <a:ext cx="923925" cy="5630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28575</xdr:rowOff>
    </xdr:from>
    <xdr:to>
      <xdr:col>1</xdr:col>
      <xdr:colOff>1047749</xdr:colOff>
      <xdr:row>2</xdr:row>
      <xdr:rowOff>182086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6DE6A603-2126-4C5E-A8A4-988D26B8D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6724" y="28575"/>
          <a:ext cx="981075" cy="601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G76"/>
  <sheetViews>
    <sheetView tabSelected="1" workbookViewId="0">
      <selection activeCell="D12" sqref="D12"/>
    </sheetView>
  </sheetViews>
  <sheetFormatPr defaultColWidth="1.42578125" defaultRowHeight="12.95"/>
  <cols>
    <col min="1" max="1" width="31.28515625" style="2" customWidth="1"/>
    <col min="2" max="2" width="27.42578125" style="2" customWidth="1"/>
    <col min="3" max="3" width="17.7109375" style="2" customWidth="1"/>
    <col min="4" max="4" width="17" style="2" customWidth="1"/>
    <col min="5" max="5" width="14.28515625" style="2" customWidth="1"/>
    <col min="6" max="6" width="10.28515625" style="2" customWidth="1"/>
    <col min="7" max="7" width="11.28515625" style="2" bestFit="1" customWidth="1"/>
    <col min="8" max="16384" width="1.42578125" style="2"/>
  </cols>
  <sheetData>
    <row r="2" spans="1:5">
      <c r="A2" s="1"/>
    </row>
    <row r="3" spans="1:5" s="3" customFormat="1" ht="21">
      <c r="A3" s="295"/>
      <c r="B3" s="295"/>
      <c r="C3" s="295"/>
      <c r="D3" s="295"/>
      <c r="E3" s="295"/>
    </row>
    <row r="4" spans="1:5" s="3" customFormat="1" ht="21">
      <c r="A4" s="295" t="s">
        <v>0</v>
      </c>
      <c r="B4" s="295"/>
      <c r="C4" s="295"/>
      <c r="D4" s="295"/>
      <c r="E4" s="295"/>
    </row>
    <row r="5" spans="1:5" s="3" customFormat="1" ht="21">
      <c r="A5" s="14"/>
      <c r="B5" s="14"/>
      <c r="C5" s="14"/>
      <c r="D5" s="14"/>
      <c r="E5" s="14"/>
    </row>
    <row r="6" spans="1:5" s="4" customFormat="1" ht="23.1">
      <c r="A6" s="296" t="s">
        <v>1</v>
      </c>
      <c r="B6" s="296"/>
      <c r="C6" s="296"/>
      <c r="D6" s="296"/>
      <c r="E6" s="296"/>
    </row>
    <row r="7" spans="1:5" s="4" customFormat="1" ht="23.1">
      <c r="A7" s="296" t="s">
        <v>2</v>
      </c>
      <c r="B7" s="297"/>
      <c r="C7" s="297"/>
      <c r="D7" s="297"/>
      <c r="E7" s="297"/>
    </row>
    <row r="8" spans="1:5">
      <c r="A8" s="7"/>
      <c r="D8" s="6"/>
    </row>
    <row r="9" spans="1:5" ht="12" customHeight="1">
      <c r="A9" s="303" t="s">
        <v>3</v>
      </c>
      <c r="B9" s="303"/>
      <c r="C9" s="303"/>
    </row>
    <row r="10" spans="1:5">
      <c r="A10" s="303"/>
      <c r="B10" s="303"/>
      <c r="C10" s="303"/>
      <c r="D10" s="5" t="s">
        <v>4</v>
      </c>
      <c r="E10" s="28">
        <f ca="1">TODAY()</f>
        <v>45855</v>
      </c>
    </row>
    <row r="11" spans="1:5">
      <c r="A11" s="303"/>
      <c r="B11" s="303"/>
      <c r="C11" s="303"/>
      <c r="D11" s="2" t="s">
        <v>5</v>
      </c>
    </row>
    <row r="12" spans="1:5" ht="12">
      <c r="A12" s="303"/>
      <c r="B12" s="303"/>
      <c r="C12" s="303"/>
      <c r="D12" s="2" t="s">
        <v>6</v>
      </c>
      <c r="E12" s="197">
        <v>45820.581076388888</v>
      </c>
    </row>
    <row r="13" spans="1:5">
      <c r="A13" s="240" t="s">
        <v>7</v>
      </c>
      <c r="B13" s="302">
        <f>'S-Payslip'!C4</f>
        <v>45820</v>
      </c>
      <c r="C13" s="302"/>
      <c r="D13" s="6" t="s">
        <v>8</v>
      </c>
      <c r="E13" s="183"/>
    </row>
    <row r="14" spans="1:5" ht="13.5" thickBot="1">
      <c r="A14" s="15"/>
      <c r="B14" s="9"/>
      <c r="C14" s="9"/>
      <c r="D14" s="16"/>
      <c r="E14" s="9"/>
    </row>
    <row r="15" spans="1:5">
      <c r="A15" s="298" t="s">
        <v>9</v>
      </c>
      <c r="B15" s="299"/>
      <c r="C15" s="299"/>
      <c r="D15" s="300" t="s">
        <v>10</v>
      </c>
      <c r="E15" s="301"/>
    </row>
    <row r="16" spans="1:5">
      <c r="A16" s="280"/>
      <c r="B16" s="281"/>
      <c r="C16" s="282"/>
      <c r="E16" s="21"/>
    </row>
    <row r="17" spans="1:6">
      <c r="A17" s="254"/>
      <c r="B17" s="255"/>
      <c r="C17" s="256"/>
      <c r="D17" s="7" t="s">
        <v>11</v>
      </c>
      <c r="E17" s="22"/>
    </row>
    <row r="18" spans="1:6">
      <c r="A18" s="254" t="s">
        <v>12</v>
      </c>
      <c r="B18" s="255"/>
      <c r="C18" s="256"/>
      <c r="D18" s="7"/>
      <c r="E18" s="22">
        <f ca="1">'S-Payroll Report'!E11</f>
        <v>29914.13</v>
      </c>
    </row>
    <row r="19" spans="1:6">
      <c r="A19" s="254" t="s">
        <v>13</v>
      </c>
      <c r="B19" s="255"/>
      <c r="C19" s="256"/>
      <c r="D19" s="23"/>
      <c r="E19" s="22">
        <f ca="1">SUM(D20:D31)</f>
        <v>21150.579999999998</v>
      </c>
    </row>
    <row r="20" spans="1:6">
      <c r="A20" s="254" t="s">
        <v>14</v>
      </c>
      <c r="B20" s="255"/>
      <c r="C20" s="256"/>
      <c r="D20" s="24">
        <f>SUM('S-Payroll Report'!H11:J11)+SUM('S-Payroll Report'!P11:U11)</f>
        <v>10099.630000000001</v>
      </c>
      <c r="E20" s="25"/>
      <c r="F20" s="8"/>
    </row>
    <row r="21" spans="1:6">
      <c r="A21" s="254" t="s">
        <v>15</v>
      </c>
      <c r="B21" s="255"/>
      <c r="C21" s="256"/>
      <c r="D21" s="26">
        <f>'S-Payroll Report'!K11+'S-Payroll Report'!V11</f>
        <v>8731.7999999999993</v>
      </c>
      <c r="E21" s="25"/>
      <c r="F21" s="8"/>
    </row>
    <row r="22" spans="1:6">
      <c r="A22" s="254" t="s">
        <v>16</v>
      </c>
      <c r="B22" s="255"/>
      <c r="C22" s="256"/>
      <c r="D22" s="26">
        <f>'S-Payroll Report'!L11+'S-Payroll Report'!W11</f>
        <v>0</v>
      </c>
      <c r="E22" s="25"/>
      <c r="F22" s="8"/>
    </row>
    <row r="23" spans="1:6">
      <c r="A23" s="292" t="s">
        <v>17</v>
      </c>
      <c r="B23" s="293"/>
      <c r="C23" s="294"/>
      <c r="D23" s="27">
        <f>'S-Payroll Report'!Y11</f>
        <v>0</v>
      </c>
      <c r="E23" s="25"/>
      <c r="F23" s="8"/>
    </row>
    <row r="24" spans="1:6">
      <c r="A24" s="286" t="s">
        <v>18</v>
      </c>
      <c r="B24" s="287"/>
      <c r="C24" s="288"/>
      <c r="D24" s="27">
        <f>'S-Payroll Report'!Z11</f>
        <v>0</v>
      </c>
      <c r="E24" s="25"/>
      <c r="F24" s="8"/>
    </row>
    <row r="25" spans="1:6">
      <c r="A25" s="286" t="s">
        <v>19</v>
      </c>
      <c r="B25" s="287"/>
      <c r="C25" s="288"/>
      <c r="D25" s="24">
        <f ca="1">'S-Payroll Report'!M11+'S-Payroll Report'!X11</f>
        <v>0</v>
      </c>
      <c r="E25" s="25"/>
      <c r="F25" s="8"/>
    </row>
    <row r="26" spans="1:6">
      <c r="A26" s="286" t="s">
        <v>20</v>
      </c>
      <c r="B26" s="287"/>
      <c r="C26" s="288"/>
      <c r="D26" s="24">
        <f>'S-Payroll Report'!AD11</f>
        <v>0</v>
      </c>
      <c r="E26" s="25"/>
      <c r="F26" s="8"/>
    </row>
    <row r="27" spans="1:6">
      <c r="A27" s="286" t="s">
        <v>21</v>
      </c>
      <c r="B27" s="287"/>
      <c r="C27" s="288"/>
      <c r="D27" s="24">
        <f>'S-Payroll Report'!N11</f>
        <v>1879.35</v>
      </c>
      <c r="E27" s="25"/>
      <c r="F27" s="8"/>
    </row>
    <row r="28" spans="1:6">
      <c r="A28" s="286" t="s">
        <v>22</v>
      </c>
      <c r="B28" s="287"/>
      <c r="C28" s="288"/>
      <c r="D28" s="24">
        <f>'S-Payroll Report'!F11</f>
        <v>439.8</v>
      </c>
      <c r="E28" s="25"/>
      <c r="F28" s="8"/>
    </row>
    <row r="29" spans="1:6">
      <c r="A29" s="286" t="s">
        <v>23</v>
      </c>
      <c r="B29" s="287"/>
      <c r="C29" s="288"/>
      <c r="D29" s="24">
        <f>'S-Payroll Report'!G11</f>
        <v>0</v>
      </c>
      <c r="E29" s="25"/>
      <c r="F29" s="8"/>
    </row>
    <row r="30" spans="1:6">
      <c r="A30" s="286" t="s">
        <v>24</v>
      </c>
      <c r="B30" s="287"/>
      <c r="C30" s="288"/>
      <c r="D30" s="24">
        <f>'S-Payroll Report'!AB11</f>
        <v>0</v>
      </c>
      <c r="E30" s="25"/>
      <c r="F30" s="8"/>
    </row>
    <row r="31" spans="1:6">
      <c r="A31" s="286" t="s">
        <v>25</v>
      </c>
      <c r="B31" s="287"/>
      <c r="C31" s="288"/>
      <c r="D31" s="24">
        <f>'S-Payroll Report'!O11+'S-Payroll Report'!AE11</f>
        <v>0</v>
      </c>
      <c r="E31" s="25"/>
      <c r="F31" s="8"/>
    </row>
    <row r="32" spans="1:6">
      <c r="A32" s="289" t="s">
        <v>26</v>
      </c>
      <c r="B32" s="290"/>
      <c r="C32" s="291"/>
      <c r="E32" s="22">
        <f>'S-Payroll Report'!AA11</f>
        <v>450</v>
      </c>
      <c r="F32" s="8"/>
    </row>
    <row r="33" spans="1:7" ht="12" customHeight="1">
      <c r="A33" s="289" t="s">
        <v>27</v>
      </c>
      <c r="B33" s="290"/>
      <c r="C33" s="291"/>
      <c r="E33" s="22">
        <f>SUM(D34:D35)</f>
        <v>200</v>
      </c>
      <c r="F33" s="8"/>
    </row>
    <row r="34" spans="1:7">
      <c r="A34" s="289" t="s">
        <v>28</v>
      </c>
      <c r="B34" s="290"/>
      <c r="C34" s="291"/>
      <c r="D34" s="191">
        <f>'Other Fee'!E14</f>
        <v>200</v>
      </c>
      <c r="E34" s="22"/>
      <c r="F34" s="8"/>
    </row>
    <row r="35" spans="1:7">
      <c r="A35" s="289" t="s">
        <v>29</v>
      </c>
      <c r="B35" s="290"/>
      <c r="C35" s="291"/>
      <c r="D35" s="191">
        <f>'Other Fee'!E26</f>
        <v>0</v>
      </c>
      <c r="E35" s="22"/>
      <c r="F35" s="8"/>
    </row>
    <row r="36" spans="1:7">
      <c r="A36" s="286" t="s">
        <v>30</v>
      </c>
      <c r="B36" s="287"/>
      <c r="C36" s="288"/>
      <c r="E36" s="22">
        <f>'S-Payroll Report'!AC11</f>
        <v>0</v>
      </c>
      <c r="F36" s="8"/>
    </row>
    <row r="37" spans="1:7">
      <c r="A37" s="286" t="s">
        <v>31</v>
      </c>
      <c r="B37" s="287"/>
      <c r="C37" s="288"/>
      <c r="E37" s="22">
        <v>0</v>
      </c>
      <c r="F37" s="8"/>
    </row>
    <row r="38" spans="1:7">
      <c r="A38" s="280" t="s">
        <v>32</v>
      </c>
      <c r="B38" s="281"/>
      <c r="C38" s="282"/>
      <c r="E38" s="22">
        <v>0</v>
      </c>
      <c r="F38" s="8"/>
    </row>
    <row r="39" spans="1:7">
      <c r="A39" s="280" t="s">
        <v>33</v>
      </c>
      <c r="B39" s="281"/>
      <c r="C39" s="282"/>
      <c r="E39" s="22">
        <f>ROUND(E32*0.0677,2)</f>
        <v>30.47</v>
      </c>
      <c r="F39" s="8"/>
    </row>
    <row r="40" spans="1:7">
      <c r="A40" s="280"/>
      <c r="B40" s="281"/>
      <c r="C40" s="282"/>
      <c r="E40" s="22"/>
    </row>
    <row r="41" spans="1:7">
      <c r="A41" s="280"/>
      <c r="B41" s="281"/>
      <c r="C41" s="282"/>
      <c r="E41" s="22"/>
    </row>
    <row r="42" spans="1:7">
      <c r="A42" s="280"/>
      <c r="B42" s="281"/>
      <c r="C42" s="282"/>
      <c r="E42" s="22"/>
    </row>
    <row r="43" spans="1:7">
      <c r="A43" s="280"/>
      <c r="B43" s="281"/>
      <c r="C43" s="282"/>
      <c r="E43" s="22"/>
      <c r="F43" s="8"/>
      <c r="G43" s="8"/>
    </row>
    <row r="44" spans="1:7">
      <c r="A44" s="280"/>
      <c r="B44" s="281"/>
      <c r="C44" s="282"/>
      <c r="E44" s="22"/>
      <c r="F44" s="8"/>
    </row>
    <row r="45" spans="1:7">
      <c r="A45" s="280"/>
      <c r="B45" s="281"/>
      <c r="C45" s="282"/>
      <c r="E45" s="22"/>
    </row>
    <row r="46" spans="1:7">
      <c r="A46" s="280"/>
      <c r="B46" s="281"/>
      <c r="C46" s="282"/>
      <c r="E46" s="22"/>
    </row>
    <row r="47" spans="1:7">
      <c r="A47" s="280"/>
      <c r="B47" s="281"/>
      <c r="C47" s="282"/>
      <c r="E47" s="22"/>
    </row>
    <row r="48" spans="1:7" s="18" customFormat="1" ht="12.75" customHeight="1">
      <c r="A48" s="17"/>
      <c r="B48" s="284" t="s">
        <v>34</v>
      </c>
      <c r="C48" s="285"/>
      <c r="D48" s="204" t="s">
        <v>35</v>
      </c>
      <c r="E48" s="241">
        <f ca="1">SUM(E16:E47)</f>
        <v>51745.18</v>
      </c>
      <c r="F48" s="8"/>
      <c r="G48" s="8"/>
    </row>
    <row r="49" spans="1:7" s="18" customFormat="1" ht="12.75" customHeight="1">
      <c r="A49" s="17"/>
      <c r="B49" s="242" t="s">
        <v>36</v>
      </c>
      <c r="C49" s="203">
        <v>7.16</v>
      </c>
      <c r="D49" s="204"/>
      <c r="E49" s="241"/>
      <c r="F49" s="8"/>
      <c r="G49" s="8"/>
    </row>
    <row r="50" spans="1:7" s="18" customFormat="1">
      <c r="A50" s="17"/>
      <c r="B50" s="284"/>
      <c r="C50" s="285"/>
      <c r="D50" s="204" t="s">
        <v>37</v>
      </c>
      <c r="E50" s="241">
        <f ca="1">E48/C49</f>
        <v>7226.980446927374</v>
      </c>
      <c r="F50" s="8"/>
      <c r="G50" s="8"/>
    </row>
    <row r="51" spans="1:7" s="18" customFormat="1">
      <c r="A51" s="274" t="s">
        <v>38</v>
      </c>
      <c r="B51" s="275"/>
      <c r="C51" s="275"/>
      <c r="D51" s="275"/>
      <c r="E51" s="276"/>
      <c r="F51" s="8"/>
      <c r="G51" s="8"/>
    </row>
    <row r="52" spans="1:7" s="18" customFormat="1" ht="26.25" customHeight="1">
      <c r="A52" s="277"/>
      <c r="B52" s="278"/>
      <c r="C52" s="278"/>
      <c r="D52" s="278"/>
      <c r="E52" s="279"/>
      <c r="F52" s="8"/>
      <c r="G52" s="8"/>
    </row>
    <row r="53" spans="1:7" ht="12.75" customHeight="1">
      <c r="A53" s="243" t="s">
        <v>39</v>
      </c>
      <c r="B53" s="263" t="s">
        <v>40</v>
      </c>
      <c r="C53" s="264"/>
      <c r="D53" s="263" t="s">
        <v>41</v>
      </c>
      <c r="E53" s="283"/>
    </row>
    <row r="54" spans="1:7">
      <c r="A54" s="19"/>
      <c r="B54" s="265"/>
      <c r="C54" s="266"/>
      <c r="D54" s="265"/>
      <c r="E54" s="271"/>
    </row>
    <row r="55" spans="1:7">
      <c r="A55" s="205" t="s">
        <v>42</v>
      </c>
      <c r="B55" s="267" t="s">
        <v>43</v>
      </c>
      <c r="C55" s="268"/>
      <c r="D55" s="267" t="s">
        <v>44</v>
      </c>
      <c r="E55" s="273"/>
    </row>
    <row r="56" spans="1:7">
      <c r="A56" s="20"/>
      <c r="B56" s="269"/>
      <c r="C56" s="270"/>
      <c r="D56" s="269"/>
      <c r="E56" s="272"/>
    </row>
    <row r="57" spans="1:7" ht="62.65" customHeight="1">
      <c r="A57" s="257" t="s">
        <v>45</v>
      </c>
      <c r="B57" s="258"/>
      <c r="C57" s="258" t="s">
        <v>46</v>
      </c>
      <c r="D57" s="258"/>
      <c r="E57" s="259"/>
    </row>
    <row r="58" spans="1:7" ht="76.5" customHeight="1">
      <c r="A58" s="260" t="s">
        <v>47</v>
      </c>
      <c r="B58" s="261"/>
      <c r="C58" s="261"/>
      <c r="D58" s="261"/>
      <c r="E58" s="262"/>
    </row>
    <row r="59" spans="1:7">
      <c r="A59" s="12"/>
      <c r="B59" s="11"/>
      <c r="C59" s="11"/>
      <c r="D59" s="11"/>
      <c r="E59" s="13"/>
    </row>
    <row r="60" spans="1:7">
      <c r="A60" s="304" t="s">
        <v>48</v>
      </c>
      <c r="B60" s="305"/>
      <c r="C60" s="305"/>
      <c r="D60" s="305"/>
      <c r="E60" s="271"/>
    </row>
    <row r="61" spans="1:7">
      <c r="A61" s="304" t="s">
        <v>49</v>
      </c>
      <c r="B61" s="305"/>
      <c r="C61" s="305"/>
      <c r="D61" s="305"/>
      <c r="E61" s="271"/>
    </row>
    <row r="62" spans="1:7">
      <c r="A62" s="304" t="s">
        <v>50</v>
      </c>
      <c r="B62" s="305"/>
      <c r="C62" s="305"/>
      <c r="D62" s="305"/>
      <c r="E62" s="271"/>
    </row>
    <row r="63" spans="1:7" ht="12" customHeight="1">
      <c r="A63" s="304" t="s">
        <v>51</v>
      </c>
      <c r="B63" s="305"/>
      <c r="C63" s="305"/>
      <c r="D63" s="305"/>
      <c r="E63" s="271"/>
    </row>
    <row r="64" spans="1:7">
      <c r="A64" s="304" t="s">
        <v>52</v>
      </c>
      <c r="B64" s="305"/>
      <c r="C64" s="305"/>
      <c r="D64" s="305"/>
      <c r="E64" s="271"/>
    </row>
    <row r="65" spans="1:5">
      <c r="A65" s="304" t="s">
        <v>53</v>
      </c>
      <c r="B65" s="305"/>
      <c r="C65" s="305"/>
      <c r="D65" s="305"/>
      <c r="E65" s="271"/>
    </row>
    <row r="66" spans="1:5" ht="13.5" customHeight="1" thickBot="1">
      <c r="A66" s="251"/>
      <c r="B66" s="252"/>
      <c r="C66" s="252"/>
      <c r="D66" s="252"/>
      <c r="E66" s="253"/>
    </row>
    <row r="69" spans="1:5">
      <c r="A69" s="2" t="s">
        <v>54</v>
      </c>
    </row>
    <row r="76" spans="1:5">
      <c r="B76" s="10" t="s">
        <v>54</v>
      </c>
    </row>
  </sheetData>
  <mergeCells count="62">
    <mergeCell ref="A65:E65"/>
    <mergeCell ref="A16:C16"/>
    <mergeCell ref="A47:C47"/>
    <mergeCell ref="A60:E60"/>
    <mergeCell ref="A61:E61"/>
    <mergeCell ref="A63:E63"/>
    <mergeCell ref="A64:E64"/>
    <mergeCell ref="A62:E62"/>
    <mergeCell ref="A44:C44"/>
    <mergeCell ref="A43:C43"/>
    <mergeCell ref="A17:C17"/>
    <mergeCell ref="A42:C42"/>
    <mergeCell ref="A41:C41"/>
    <mergeCell ref="A20:C20"/>
    <mergeCell ref="A18:C18"/>
    <mergeCell ref="A39:C39"/>
    <mergeCell ref="A3:E3"/>
    <mergeCell ref="A4:E4"/>
    <mergeCell ref="A6:E6"/>
    <mergeCell ref="A7:E7"/>
    <mergeCell ref="A15:C15"/>
    <mergeCell ref="D15:E15"/>
    <mergeCell ref="B13:C13"/>
    <mergeCell ref="A9:C12"/>
    <mergeCell ref="A21:C21"/>
    <mergeCell ref="A31:C31"/>
    <mergeCell ref="A32:C32"/>
    <mergeCell ref="A25:C25"/>
    <mergeCell ref="A24:C24"/>
    <mergeCell ref="A23:C23"/>
    <mergeCell ref="A28:C28"/>
    <mergeCell ref="A29:C29"/>
    <mergeCell ref="A26:C26"/>
    <mergeCell ref="A30:C30"/>
    <mergeCell ref="A46:C46"/>
    <mergeCell ref="D53:E53"/>
    <mergeCell ref="B50:C50"/>
    <mergeCell ref="A27:C27"/>
    <mergeCell ref="A45:C45"/>
    <mergeCell ref="A38:C38"/>
    <mergeCell ref="A37:C37"/>
    <mergeCell ref="B48:C48"/>
    <mergeCell ref="A36:C36"/>
    <mergeCell ref="A33:C33"/>
    <mergeCell ref="A34:C34"/>
    <mergeCell ref="A35:C35"/>
    <mergeCell ref="A66:E66"/>
    <mergeCell ref="A19:C19"/>
    <mergeCell ref="A57:B57"/>
    <mergeCell ref="C57:E57"/>
    <mergeCell ref="A58:B58"/>
    <mergeCell ref="C58:E58"/>
    <mergeCell ref="B53:C53"/>
    <mergeCell ref="B54:C54"/>
    <mergeCell ref="B55:C55"/>
    <mergeCell ref="B56:C56"/>
    <mergeCell ref="D54:E54"/>
    <mergeCell ref="D56:E56"/>
    <mergeCell ref="D55:E55"/>
    <mergeCell ref="A51:E52"/>
    <mergeCell ref="A22:C22"/>
    <mergeCell ref="A40:C40"/>
  </mergeCells>
  <phoneticPr fontId="5" type="noConversion"/>
  <printOptions horizontalCentered="1"/>
  <pageMargins left="0.59055118110236227" right="0.59055118110236227" top="0.9055118110236221" bottom="0.39370078740157483" header="0.51181102362204722" footer="0.51181102362204722"/>
  <pageSetup paperSize="9" scale="79" orientation="portrait" horizontalDpi="4294967292" verticalDpi="196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topLeftCell="A7" workbookViewId="0">
      <selection activeCell="E23" sqref="E23"/>
    </sheetView>
  </sheetViews>
  <sheetFormatPr defaultRowHeight="12.6"/>
  <cols>
    <col min="1" max="1" width="27.7109375" customWidth="1"/>
    <col min="2" max="2" width="21" customWidth="1"/>
    <col min="3" max="3" width="22" customWidth="1"/>
    <col min="4" max="4" width="17.7109375" style="126" customWidth="1"/>
    <col min="5" max="5" width="20.28515625" customWidth="1"/>
  </cols>
  <sheetData>
    <row r="1" spans="1:6" s="2" customFormat="1" ht="12.95">
      <c r="D1" s="128"/>
    </row>
    <row r="2" spans="1:6" s="2" customFormat="1" ht="12.95">
      <c r="A2" s="1"/>
      <c r="D2" s="128"/>
    </row>
    <row r="3" spans="1:6" s="3" customFormat="1" ht="21">
      <c r="A3" s="295"/>
      <c r="B3" s="295"/>
      <c r="C3" s="295"/>
      <c r="D3" s="295"/>
      <c r="E3" s="295"/>
    </row>
    <row r="4" spans="1:6" s="3" customFormat="1" ht="21">
      <c r="A4" s="295" t="s">
        <v>55</v>
      </c>
      <c r="B4" s="295"/>
      <c r="C4" s="295"/>
      <c r="D4" s="295"/>
      <c r="E4" s="295"/>
    </row>
    <row r="5" spans="1:6" s="3" customFormat="1" ht="21">
      <c r="A5" s="14"/>
      <c r="B5" s="14"/>
      <c r="C5" s="14"/>
      <c r="D5" s="129"/>
      <c r="E5" s="14"/>
    </row>
    <row r="6" spans="1:6" s="4" customFormat="1" ht="23.1">
      <c r="A6" s="296" t="s">
        <v>56</v>
      </c>
      <c r="B6" s="296"/>
      <c r="C6" s="296"/>
      <c r="D6" s="296"/>
      <c r="E6" s="296"/>
    </row>
    <row r="7" spans="1:6" s="4" customFormat="1" ht="23.1">
      <c r="A7" s="296" t="s">
        <v>57</v>
      </c>
      <c r="B7" s="297"/>
      <c r="C7" s="297"/>
      <c r="D7" s="297"/>
      <c r="E7" s="297"/>
    </row>
    <row r="8" spans="1:6" s="2" customFormat="1" ht="12.95">
      <c r="A8" s="7"/>
      <c r="D8" s="130"/>
    </row>
    <row r="9" spans="1:6" s="2" customFormat="1" ht="13.5" thickBot="1">
      <c r="A9" s="15"/>
      <c r="B9" s="9"/>
      <c r="C9" s="9"/>
      <c r="D9" s="131"/>
      <c r="E9" s="9"/>
    </row>
    <row r="10" spans="1:6" s="2" customFormat="1" ht="12.95">
      <c r="A10" s="298" t="s">
        <v>9</v>
      </c>
      <c r="B10" s="299"/>
      <c r="C10" s="299"/>
      <c r="D10" s="300" t="s">
        <v>10</v>
      </c>
      <c r="E10" s="301"/>
    </row>
    <row r="11" spans="1:6" s="2" customFormat="1" ht="12.95">
      <c r="A11" s="280"/>
      <c r="B11" s="281"/>
      <c r="C11" s="282"/>
      <c r="D11" s="128"/>
      <c r="E11" s="21"/>
    </row>
    <row r="12" spans="1:6" s="2" customFormat="1" ht="12.95">
      <c r="A12" s="254"/>
      <c r="B12" s="255"/>
      <c r="C12" s="256"/>
      <c r="D12" s="132" t="s">
        <v>58</v>
      </c>
      <c r="E12" s="22"/>
    </row>
    <row r="13" spans="1:6" s="2" customFormat="1" ht="12" customHeight="1">
      <c r="A13" s="286" t="s">
        <v>59</v>
      </c>
      <c r="B13" s="287"/>
      <c r="C13" s="288"/>
      <c r="D13" s="132"/>
      <c r="E13" s="22"/>
    </row>
    <row r="14" spans="1:6" s="2" customFormat="1" ht="12.95">
      <c r="A14" s="286" t="s">
        <v>60</v>
      </c>
      <c r="B14" s="287"/>
      <c r="C14" s="288"/>
      <c r="D14" s="132"/>
      <c r="E14" s="22">
        <f>SUM(D15:D25)</f>
        <v>200</v>
      </c>
      <c r="F14" s="8"/>
    </row>
    <row r="15" spans="1:6" s="2" customFormat="1" ht="12.95">
      <c r="A15" s="195" t="s">
        <v>61</v>
      </c>
      <c r="B15" s="308" t="s">
        <v>62</v>
      </c>
      <c r="C15" s="309"/>
      <c r="D15" s="134"/>
      <c r="E15" s="22"/>
      <c r="F15" s="8"/>
    </row>
    <row r="16" spans="1:6" s="2" customFormat="1" ht="12.95">
      <c r="A16" s="195" t="s">
        <v>63</v>
      </c>
      <c r="B16" s="306"/>
      <c r="C16" s="307"/>
      <c r="D16" s="133"/>
      <c r="E16" s="22"/>
      <c r="F16" s="8"/>
    </row>
    <row r="17" spans="1:6" s="2" customFormat="1" ht="12.95">
      <c r="A17" s="195" t="s">
        <v>64</v>
      </c>
      <c r="B17" s="306"/>
      <c r="C17" s="307"/>
      <c r="D17" s="133"/>
      <c r="E17" s="22"/>
      <c r="F17" s="8"/>
    </row>
    <row r="18" spans="1:6" s="2" customFormat="1" ht="12" customHeight="1">
      <c r="A18" s="195" t="s">
        <v>65</v>
      </c>
      <c r="B18" s="306"/>
      <c r="C18" s="307"/>
      <c r="D18" s="134"/>
      <c r="E18" s="22"/>
      <c r="F18" s="8"/>
    </row>
    <row r="19" spans="1:6" s="2" customFormat="1" ht="12" customHeight="1">
      <c r="A19" s="195" t="s">
        <v>66</v>
      </c>
      <c r="B19" s="306" t="s">
        <v>67</v>
      </c>
      <c r="C19" s="307"/>
      <c r="D19" s="133">
        <v>200</v>
      </c>
      <c r="E19" s="22"/>
      <c r="F19" s="8"/>
    </row>
    <row r="20" spans="1:6" s="2" customFormat="1" ht="12" customHeight="1">
      <c r="A20" s="195"/>
      <c r="B20" s="306"/>
      <c r="C20" s="307"/>
      <c r="D20" s="133"/>
      <c r="E20" s="22"/>
      <c r="F20" s="8"/>
    </row>
    <row r="21" spans="1:6" s="2" customFormat="1" ht="12.95">
      <c r="A21" s="195"/>
      <c r="B21" s="306"/>
      <c r="C21" s="307"/>
      <c r="D21" s="133"/>
      <c r="E21" s="22"/>
      <c r="F21" s="8"/>
    </row>
    <row r="22" spans="1:6" s="2" customFormat="1" ht="12.95">
      <c r="A22" s="195"/>
      <c r="B22" s="306"/>
      <c r="C22" s="307"/>
      <c r="D22" s="133"/>
      <c r="E22" s="22"/>
      <c r="F22" s="8"/>
    </row>
    <row r="23" spans="1:6" s="2" customFormat="1" ht="13.15" customHeight="1">
      <c r="A23" s="195"/>
      <c r="B23" s="306"/>
      <c r="C23" s="307"/>
      <c r="D23" s="133"/>
      <c r="E23" s="22"/>
      <c r="F23" s="8"/>
    </row>
    <row r="24" spans="1:6" s="2" customFormat="1" ht="12.95">
      <c r="A24" s="195"/>
      <c r="B24" s="306"/>
      <c r="C24" s="307"/>
      <c r="D24" s="133"/>
      <c r="E24" s="22"/>
      <c r="F24" s="8"/>
    </row>
    <row r="25" spans="1:6" s="2" customFormat="1" ht="12.95">
      <c r="A25" s="195"/>
      <c r="B25" s="306"/>
      <c r="C25" s="307"/>
      <c r="D25" s="133"/>
      <c r="E25" s="25"/>
      <c r="F25" s="8"/>
    </row>
    <row r="26" spans="1:6" s="2" customFormat="1" ht="12.95">
      <c r="A26" s="310" t="s">
        <v>68</v>
      </c>
      <c r="B26" s="311"/>
      <c r="C26" s="312"/>
      <c r="D26" s="128"/>
      <c r="E26" s="22">
        <f>SUM(D27:D38)</f>
        <v>0</v>
      </c>
      <c r="F26" s="8"/>
    </row>
    <row r="27" spans="1:6" s="2" customFormat="1" ht="12.95">
      <c r="A27" s="292" t="s">
        <v>69</v>
      </c>
      <c r="B27" s="293"/>
      <c r="C27" s="294"/>
      <c r="D27" s="128"/>
      <c r="E27" s="22"/>
      <c r="F27" s="8"/>
    </row>
    <row r="28" spans="1:6" s="2" customFormat="1" ht="12.95">
      <c r="A28" s="292" t="s">
        <v>70</v>
      </c>
      <c r="B28" s="293"/>
      <c r="C28" s="294"/>
      <c r="D28" s="128"/>
      <c r="E28" s="22"/>
      <c r="F28" s="8"/>
    </row>
    <row r="29" spans="1:6" s="2" customFormat="1" ht="12.95">
      <c r="A29" s="292" t="s">
        <v>71</v>
      </c>
      <c r="B29" s="293"/>
      <c r="C29" s="294"/>
      <c r="D29" s="128"/>
      <c r="E29" s="22"/>
      <c r="F29" s="8"/>
    </row>
    <row r="30" spans="1:6" s="2" customFormat="1" ht="12.95">
      <c r="A30" s="292" t="s">
        <v>72</v>
      </c>
      <c r="B30" s="293"/>
      <c r="C30" s="294"/>
      <c r="D30" s="128"/>
      <c r="E30" s="22"/>
      <c r="F30" s="8"/>
    </row>
    <row r="31" spans="1:6" s="2" customFormat="1" ht="12.95">
      <c r="A31" s="292" t="s">
        <v>73</v>
      </c>
      <c r="B31" s="293"/>
      <c r="C31" s="294"/>
      <c r="D31" s="128"/>
      <c r="E31" s="22"/>
    </row>
    <row r="32" spans="1:6" s="2" customFormat="1" ht="12.95">
      <c r="A32" s="280"/>
      <c r="B32" s="281"/>
      <c r="C32" s="282"/>
      <c r="D32" s="128"/>
      <c r="E32" s="22"/>
    </row>
    <row r="33" spans="1:7" s="2" customFormat="1" ht="12.95">
      <c r="A33" s="280"/>
      <c r="B33" s="281"/>
      <c r="C33" s="282"/>
      <c r="D33" s="128"/>
      <c r="E33" s="22"/>
    </row>
    <row r="34" spans="1:7" s="2" customFormat="1" ht="12.95">
      <c r="A34" s="280"/>
      <c r="B34" s="281"/>
      <c r="C34" s="282"/>
      <c r="D34" s="128"/>
      <c r="E34" s="22"/>
      <c r="F34" s="8"/>
      <c r="G34" s="8"/>
    </row>
    <row r="35" spans="1:7" s="2" customFormat="1" ht="12.95">
      <c r="A35" s="280"/>
      <c r="B35" s="281"/>
      <c r="C35" s="282"/>
      <c r="D35" s="128"/>
      <c r="E35" s="22"/>
      <c r="F35" s="8"/>
    </row>
    <row r="36" spans="1:7" s="2" customFormat="1" ht="12.95">
      <c r="A36" s="280"/>
      <c r="B36" s="281"/>
      <c r="C36" s="282"/>
      <c r="D36" s="128"/>
      <c r="E36" s="22"/>
    </row>
    <row r="37" spans="1:7" s="2" customFormat="1" ht="12.95">
      <c r="A37" s="280"/>
      <c r="B37" s="281"/>
      <c r="C37" s="282"/>
      <c r="D37" s="128"/>
      <c r="E37" s="22"/>
    </row>
    <row r="38" spans="1:7" s="2" customFormat="1" ht="12.95">
      <c r="A38" s="280"/>
      <c r="B38" s="281"/>
      <c r="C38" s="282"/>
      <c r="D38" s="128"/>
      <c r="E38" s="22"/>
    </row>
    <row r="39" spans="1:7" s="2" customFormat="1" ht="13.5" thickBot="1">
      <c r="A39" s="313" t="s">
        <v>74</v>
      </c>
      <c r="B39" s="314"/>
      <c r="C39" s="315"/>
      <c r="D39" s="189">
        <f>SUM(D24:D38)</f>
        <v>0</v>
      </c>
      <c r="E39" s="188"/>
      <c r="F39" s="8"/>
      <c r="G39" s="8"/>
    </row>
    <row r="40" spans="1:7" s="2" customFormat="1" ht="12.95">
      <c r="D40" s="128"/>
    </row>
    <row r="41" spans="1:7" s="2" customFormat="1" ht="12.95">
      <c r="D41" s="128"/>
    </row>
    <row r="42" spans="1:7" s="2" customFormat="1" ht="12.95">
      <c r="A42" s="2" t="s">
        <v>54</v>
      </c>
      <c r="D42" s="128"/>
    </row>
    <row r="43" spans="1:7" s="2" customFormat="1" ht="12.95">
      <c r="D43" s="128"/>
    </row>
    <row r="44" spans="1:7" s="2" customFormat="1" ht="12.95">
      <c r="D44" s="128"/>
    </row>
    <row r="45" spans="1:7" s="2" customFormat="1" ht="12.95">
      <c r="D45" s="128"/>
    </row>
    <row r="46" spans="1:7" s="2" customFormat="1" ht="12.95">
      <c r="D46" s="128"/>
    </row>
  </sheetData>
  <mergeCells count="35">
    <mergeCell ref="A35:C35"/>
    <mergeCell ref="A36:C36"/>
    <mergeCell ref="A37:C37"/>
    <mergeCell ref="A38:C38"/>
    <mergeCell ref="A39:C39"/>
    <mergeCell ref="B24:C24"/>
    <mergeCell ref="B25:C25"/>
    <mergeCell ref="B19:C19"/>
    <mergeCell ref="B20:C20"/>
    <mergeCell ref="B21:C21"/>
    <mergeCell ref="B22:C22"/>
    <mergeCell ref="B23:C23"/>
    <mergeCell ref="A34:C34"/>
    <mergeCell ref="A26:C26"/>
    <mergeCell ref="A27:C27"/>
    <mergeCell ref="A28:C28"/>
    <mergeCell ref="A29:C29"/>
    <mergeCell ref="A30:C30"/>
    <mergeCell ref="A31:C31"/>
    <mergeCell ref="A32:C32"/>
    <mergeCell ref="A33:C33"/>
    <mergeCell ref="A3:E3"/>
    <mergeCell ref="A4:E4"/>
    <mergeCell ref="A6:E6"/>
    <mergeCell ref="A7:E7"/>
    <mergeCell ref="A10:C10"/>
    <mergeCell ref="D10:E10"/>
    <mergeCell ref="B16:C16"/>
    <mergeCell ref="B17:C17"/>
    <mergeCell ref="B18:C18"/>
    <mergeCell ref="A11:C11"/>
    <mergeCell ref="A12:C12"/>
    <mergeCell ref="A13:C13"/>
    <mergeCell ref="A14:C14"/>
    <mergeCell ref="B15:C15"/>
  </mergeCells>
  <phoneticPr fontId="5" type="noConversion"/>
  <dataValidations count="1">
    <dataValidation type="list" allowBlank="1" showInputMessage="1" showErrorMessage="1" sqref="A15:A25" xr:uid="{A6C1FFE4-36BF-419C-B135-5F8F9DFE46EF}">
      <formula1>"报销服务费,签证&amp;户口,外勤服务,背景调查,办公室租赁服务,个税汇缴及代理记账服务,公司注册,其他"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CAA8-7E7A-4E90-A6FF-3E40E6114344}">
  <sheetPr>
    <tabColor rgb="FFFFC000"/>
  </sheetPr>
  <dimension ref="A1:AI19"/>
  <sheetViews>
    <sheetView zoomScaleNormal="100" workbookViewId="0">
      <selection activeCell="D37" sqref="D37"/>
    </sheetView>
  </sheetViews>
  <sheetFormatPr defaultColWidth="8.7109375" defaultRowHeight="12.6"/>
  <cols>
    <col min="1" max="1" width="10.42578125" style="178" customWidth="1"/>
    <col min="2" max="2" width="8.7109375" style="178"/>
    <col min="3" max="3" width="17.28515625" style="178" bestFit="1" customWidth="1"/>
    <col min="4" max="4" width="18.7109375" style="178" bestFit="1" customWidth="1"/>
    <col min="5" max="11" width="9.42578125" style="178" customWidth="1"/>
    <col min="12" max="12" width="9.42578125" style="178" bestFit="1" customWidth="1"/>
    <col min="13" max="14" width="8.7109375" style="178"/>
    <col min="15" max="15" width="9.42578125" style="178" customWidth="1"/>
    <col min="16" max="28" width="8.7109375" style="178"/>
    <col min="29" max="29" width="9.42578125" style="178" customWidth="1"/>
    <col min="30" max="30" width="10.5703125" style="178" customWidth="1"/>
    <col min="31" max="31" width="8.7109375" style="178"/>
    <col min="32" max="32" width="9.42578125" style="178" bestFit="1" customWidth="1"/>
    <col min="33" max="33" width="10.42578125" style="178" customWidth="1"/>
    <col min="34" max="34" width="9.42578125" style="178" customWidth="1"/>
    <col min="35" max="35" width="37.5703125" style="178" customWidth="1"/>
    <col min="36" max="16384" width="8.7109375" style="178"/>
  </cols>
  <sheetData>
    <row r="1" spans="1:35" s="210" customFormat="1" ht="12.95">
      <c r="A1" s="316" t="s">
        <v>75</v>
      </c>
      <c r="B1" s="316"/>
      <c r="C1" s="316"/>
      <c r="D1" s="208" t="s">
        <v>76</v>
      </c>
      <c r="E1" s="208"/>
      <c r="F1" s="208"/>
      <c r="G1" s="208"/>
      <c r="H1" s="208"/>
      <c r="I1" s="208"/>
      <c r="J1" s="208"/>
      <c r="K1" s="208"/>
      <c r="L1" s="209"/>
      <c r="M1" s="208"/>
      <c r="N1" s="208"/>
      <c r="O1" s="208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</row>
    <row r="2" spans="1:35" s="210" customFormat="1" ht="12.95">
      <c r="A2" s="317" t="s">
        <v>77</v>
      </c>
      <c r="B2" s="317"/>
      <c r="C2" s="317"/>
      <c r="D2" s="227">
        <f>'S-Payslip'!C4</f>
        <v>45820</v>
      </c>
      <c r="E2" s="212"/>
      <c r="F2" s="212"/>
      <c r="G2" s="212"/>
      <c r="H2" s="212"/>
      <c r="I2" s="212"/>
      <c r="J2" s="212"/>
      <c r="K2" s="212"/>
      <c r="L2" s="208"/>
      <c r="M2" s="212"/>
      <c r="N2" s="212"/>
      <c r="O2" s="212"/>
      <c r="P2" s="208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</row>
    <row r="3" spans="1:35" s="210" customFormat="1" ht="12.95">
      <c r="A3" s="317" t="s">
        <v>78</v>
      </c>
      <c r="B3" s="317"/>
      <c r="C3" s="317"/>
      <c r="D3" s="211" t="s">
        <v>79</v>
      </c>
      <c r="E3" s="211"/>
      <c r="F3" s="211"/>
      <c r="G3" s="211"/>
      <c r="H3" s="211"/>
      <c r="I3" s="211"/>
      <c r="J3" s="211"/>
      <c r="K3" s="211"/>
      <c r="L3" s="208"/>
      <c r="M3" s="211"/>
      <c r="N3" s="211"/>
      <c r="O3" s="211"/>
      <c r="P3" s="208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</row>
    <row r="4" spans="1:35" s="210" customFormat="1" ht="12.95">
      <c r="A4" s="317" t="s">
        <v>80</v>
      </c>
      <c r="B4" s="317"/>
      <c r="C4" s="317"/>
      <c r="D4" s="208">
        <f>'S-Payment Notice'!C49</f>
        <v>7.16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</row>
    <row r="5" spans="1:35" s="210" customFormat="1" ht="12.95">
      <c r="A5" s="211"/>
      <c r="B5" s="211"/>
      <c r="C5" s="211"/>
      <c r="L5" s="208"/>
      <c r="N5" s="208"/>
      <c r="O5" s="208"/>
      <c r="P5" s="208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</row>
    <row r="6" spans="1:35" s="210" customFormat="1" ht="13.5" thickBot="1">
      <c r="A6" s="213"/>
      <c r="B6" s="213"/>
      <c r="C6" s="211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</row>
    <row r="7" spans="1:35" s="210" customFormat="1" ht="14.1">
      <c r="A7" s="318" t="s">
        <v>81</v>
      </c>
      <c r="B7" s="321" t="s">
        <v>82</v>
      </c>
      <c r="C7" s="324" t="s">
        <v>83</v>
      </c>
      <c r="D7" s="331" t="s">
        <v>84</v>
      </c>
      <c r="E7" s="347" t="s">
        <v>85</v>
      </c>
      <c r="F7" s="347"/>
      <c r="G7" s="347"/>
      <c r="H7" s="348" t="s">
        <v>86</v>
      </c>
      <c r="I7" s="348"/>
      <c r="J7" s="348"/>
      <c r="K7" s="348"/>
      <c r="L7" s="349" t="s">
        <v>87</v>
      </c>
      <c r="M7" s="350"/>
      <c r="N7" s="350"/>
      <c r="O7" s="350"/>
      <c r="P7" s="351"/>
      <c r="Q7" s="340" t="s">
        <v>88</v>
      </c>
      <c r="R7" s="340"/>
      <c r="S7" s="340"/>
      <c r="T7" s="340"/>
      <c r="U7" s="340"/>
      <c r="V7" s="340"/>
      <c r="W7" s="340"/>
      <c r="X7" s="340"/>
      <c r="Y7" s="340"/>
      <c r="Z7" s="340"/>
      <c r="AA7" s="340"/>
      <c r="AB7" s="340" t="s">
        <v>89</v>
      </c>
      <c r="AC7" s="340"/>
      <c r="AD7" s="340"/>
      <c r="AE7" s="340"/>
      <c r="AF7" s="331" t="s">
        <v>90</v>
      </c>
      <c r="AG7" s="331" t="s">
        <v>91</v>
      </c>
      <c r="AH7" s="334" t="s">
        <v>92</v>
      </c>
      <c r="AI7" s="337" t="s">
        <v>93</v>
      </c>
    </row>
    <row r="8" spans="1:35" s="210" customFormat="1" ht="12.95">
      <c r="A8" s="319"/>
      <c r="B8" s="322"/>
      <c r="C8" s="325"/>
      <c r="D8" s="332"/>
      <c r="E8" s="328" t="s">
        <v>94</v>
      </c>
      <c r="F8" s="328" t="s">
        <v>95</v>
      </c>
      <c r="G8" s="328" t="s">
        <v>96</v>
      </c>
      <c r="H8" s="327" t="s">
        <v>97</v>
      </c>
      <c r="I8" s="327" t="s">
        <v>98</v>
      </c>
      <c r="J8" s="327" t="s">
        <v>99</v>
      </c>
      <c r="K8" s="327" t="s">
        <v>100</v>
      </c>
      <c r="L8" s="328" t="s">
        <v>101</v>
      </c>
      <c r="M8" s="329" t="s">
        <v>102</v>
      </c>
      <c r="N8" s="330"/>
      <c r="O8" s="329" t="s">
        <v>103</v>
      </c>
      <c r="P8" s="330"/>
      <c r="Q8" s="328" t="s">
        <v>101</v>
      </c>
      <c r="R8" s="328" t="s">
        <v>104</v>
      </c>
      <c r="S8" s="328" t="s">
        <v>105</v>
      </c>
      <c r="T8" s="328" t="s">
        <v>106</v>
      </c>
      <c r="U8" s="328" t="s">
        <v>107</v>
      </c>
      <c r="V8" s="328" t="s">
        <v>108</v>
      </c>
      <c r="W8" s="328" t="s">
        <v>109</v>
      </c>
      <c r="X8" s="328" t="s">
        <v>110</v>
      </c>
      <c r="Y8" s="328" t="s">
        <v>111</v>
      </c>
      <c r="Z8" s="328" t="s">
        <v>112</v>
      </c>
      <c r="AA8" s="328" t="s">
        <v>113</v>
      </c>
      <c r="AB8" s="328" t="s">
        <v>101</v>
      </c>
      <c r="AC8" s="328" t="s">
        <v>114</v>
      </c>
      <c r="AD8" s="328" t="s">
        <v>115</v>
      </c>
      <c r="AE8" s="328" t="s">
        <v>113</v>
      </c>
      <c r="AF8" s="332"/>
      <c r="AG8" s="332"/>
      <c r="AH8" s="335"/>
      <c r="AI8" s="338"/>
    </row>
    <row r="9" spans="1:35" s="210" customFormat="1" ht="39">
      <c r="A9" s="320"/>
      <c r="B9" s="323"/>
      <c r="C9" s="326"/>
      <c r="D9" s="333"/>
      <c r="E9" s="328"/>
      <c r="F9" s="328"/>
      <c r="G9" s="328"/>
      <c r="H9" s="327"/>
      <c r="I9" s="327"/>
      <c r="J9" s="327"/>
      <c r="K9" s="327"/>
      <c r="L9" s="328"/>
      <c r="M9" s="214" t="s">
        <v>116</v>
      </c>
      <c r="N9" s="214" t="s">
        <v>117</v>
      </c>
      <c r="O9" s="214" t="s">
        <v>118</v>
      </c>
      <c r="P9" s="215" t="s">
        <v>119</v>
      </c>
      <c r="Q9" s="328"/>
      <c r="R9" s="328"/>
      <c r="S9" s="328" t="s">
        <v>105</v>
      </c>
      <c r="T9" s="328" t="s">
        <v>106</v>
      </c>
      <c r="U9" s="328" t="s">
        <v>107</v>
      </c>
      <c r="V9" s="328" t="s">
        <v>108</v>
      </c>
      <c r="W9" s="328" t="s">
        <v>109</v>
      </c>
      <c r="X9" s="328" t="s">
        <v>110</v>
      </c>
      <c r="Y9" s="328" t="s">
        <v>111</v>
      </c>
      <c r="Z9" s="328" t="s">
        <v>112</v>
      </c>
      <c r="AA9" s="328" t="s">
        <v>113</v>
      </c>
      <c r="AB9" s="328" t="s">
        <v>101</v>
      </c>
      <c r="AC9" s="328" t="s">
        <v>114</v>
      </c>
      <c r="AD9" s="328"/>
      <c r="AE9" s="328" t="s">
        <v>113</v>
      </c>
      <c r="AF9" s="333"/>
      <c r="AG9" s="333"/>
      <c r="AH9" s="336"/>
      <c r="AI9" s="339"/>
    </row>
    <row r="10" spans="1:35" s="210" customFormat="1" ht="12.95">
      <c r="A10" s="216" t="s">
        <v>120</v>
      </c>
      <c r="B10" s="217" t="str">
        <f>'S-Payslip'!C7</f>
        <v>CUS1525-0002</v>
      </c>
      <c r="C10" s="217" t="str">
        <f>'S-Payslip'!D7</f>
        <v>杨明华 Minghua Yang</v>
      </c>
      <c r="D10" s="217">
        <f ca="1">E10+H10+L10+Q10+AB10+AF10+AG10+AH10</f>
        <v>50324.58</v>
      </c>
      <c r="E10" s="217">
        <f>SUM(F10:G10)</f>
        <v>37337.5</v>
      </c>
      <c r="F10" s="217">
        <f>'S-Payslip'!E7</f>
        <v>37337.5</v>
      </c>
      <c r="G10" s="217">
        <v>0</v>
      </c>
      <c r="H10" s="217">
        <f>SUM(I10:K10)</f>
        <v>562</v>
      </c>
      <c r="I10" s="217">
        <v>0</v>
      </c>
      <c r="J10" s="217">
        <f>'S-Payslip'!G7</f>
        <v>0</v>
      </c>
      <c r="K10" s="217">
        <f>'S-Payslip'!F7+'S-Payslip'!J7+'S-Payroll Report'!N8-'S-Payslip'!AA7</f>
        <v>562</v>
      </c>
      <c r="L10" s="217">
        <f>SUM(M10:P10)</f>
        <v>439.8</v>
      </c>
      <c r="M10" s="217">
        <f>基本信息!EB2</f>
        <v>439.8</v>
      </c>
      <c r="N10" s="217">
        <f>基本信息!EC2</f>
        <v>0</v>
      </c>
      <c r="O10" s="217">
        <v>0</v>
      </c>
      <c r="P10" s="217">
        <f>基本信息!DR2</f>
        <v>0</v>
      </c>
      <c r="Q10" s="218">
        <f ca="1">SUM(R10:AA10)</f>
        <v>11504.81</v>
      </c>
      <c r="R10" s="217">
        <f>'S-Payroll Report'!P8</f>
        <v>4675.17</v>
      </c>
      <c r="S10" s="217">
        <f>'S-Payroll Report'!Q8</f>
        <v>1683.3</v>
      </c>
      <c r="T10" s="217">
        <f>'S-Payroll Report'!R8</f>
        <v>349.27</v>
      </c>
      <c r="U10" s="217">
        <f>'S-Payroll Report'!S8</f>
        <v>168.33</v>
      </c>
      <c r="V10" s="217">
        <f>'S-Payroll Report'!T8</f>
        <v>206.84</v>
      </c>
      <c r="W10" s="217">
        <f>'S-Payroll Report'!V8</f>
        <v>4365.8999999999996</v>
      </c>
      <c r="X10" s="217">
        <f>'S-Payroll Report'!U8</f>
        <v>56</v>
      </c>
      <c r="Y10" s="217">
        <f ca="1">'S-Payroll Report'!X8</f>
        <v>0</v>
      </c>
      <c r="Z10" s="217">
        <f>'S-Payroll Report'!AD8</f>
        <v>0</v>
      </c>
      <c r="AA10" s="217">
        <f>'S-Payroll Report'!AE8+'S-Payroll Report'!Z8</f>
        <v>0</v>
      </c>
      <c r="AB10" s="218">
        <f>SUM(AC10:AE10)</f>
        <v>0</v>
      </c>
      <c r="AC10" s="217">
        <v>0</v>
      </c>
      <c r="AD10" s="217">
        <f>'S-Payroll Report'!AB8</f>
        <v>0</v>
      </c>
      <c r="AE10" s="218">
        <v>0</v>
      </c>
      <c r="AF10" s="218">
        <f>'S-Payroll Report'!AC8</f>
        <v>0</v>
      </c>
      <c r="AG10" s="218">
        <f>'S-Payroll Report'!AA8</f>
        <v>450</v>
      </c>
      <c r="AH10" s="218">
        <f>'S-Payroll Report'!AF8</f>
        <v>30.47</v>
      </c>
      <c r="AI10" s="219"/>
    </row>
    <row r="11" spans="1:35" s="210" customFormat="1" ht="12.95">
      <c r="A11" s="216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8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8"/>
      <c r="AC11" s="217"/>
      <c r="AD11" s="217"/>
      <c r="AE11" s="218"/>
      <c r="AF11" s="218"/>
      <c r="AG11" s="218"/>
      <c r="AH11" s="218"/>
      <c r="AI11" s="219"/>
    </row>
    <row r="12" spans="1:35" s="223" customFormat="1" ht="13.5" thickBot="1">
      <c r="A12" s="341" t="s">
        <v>121</v>
      </c>
      <c r="B12" s="342"/>
      <c r="C12" s="343"/>
      <c r="D12" s="220">
        <f ca="1">SUM(D10:D11)</f>
        <v>50324.58</v>
      </c>
      <c r="E12" s="220">
        <f t="shared" ref="E12:AF12" si="0">SUM(E10:E11)</f>
        <v>37337.5</v>
      </c>
      <c r="F12" s="220">
        <f t="shared" si="0"/>
        <v>37337.5</v>
      </c>
      <c r="G12" s="220">
        <f t="shared" si="0"/>
        <v>0</v>
      </c>
      <c r="H12" s="220">
        <f t="shared" si="0"/>
        <v>562</v>
      </c>
      <c r="I12" s="220">
        <f t="shared" si="0"/>
        <v>0</v>
      </c>
      <c r="J12" s="220">
        <f t="shared" si="0"/>
        <v>0</v>
      </c>
      <c r="K12" s="220">
        <f t="shared" si="0"/>
        <v>562</v>
      </c>
      <c r="L12" s="220">
        <f t="shared" si="0"/>
        <v>439.8</v>
      </c>
      <c r="M12" s="221">
        <f t="shared" si="0"/>
        <v>439.8</v>
      </c>
      <c r="N12" s="221">
        <f t="shared" si="0"/>
        <v>0</v>
      </c>
      <c r="O12" s="221">
        <f t="shared" si="0"/>
        <v>0</v>
      </c>
      <c r="P12" s="220">
        <f t="shared" si="0"/>
        <v>0</v>
      </c>
      <c r="Q12" s="220">
        <f t="shared" ca="1" si="0"/>
        <v>11504.81</v>
      </c>
      <c r="R12" s="221">
        <f t="shared" si="0"/>
        <v>4675.17</v>
      </c>
      <c r="S12" s="221">
        <f t="shared" si="0"/>
        <v>1683.3</v>
      </c>
      <c r="T12" s="221">
        <f t="shared" si="0"/>
        <v>349.27</v>
      </c>
      <c r="U12" s="221">
        <f t="shared" si="0"/>
        <v>168.33</v>
      </c>
      <c r="V12" s="221">
        <f t="shared" si="0"/>
        <v>206.84</v>
      </c>
      <c r="W12" s="221">
        <f t="shared" si="0"/>
        <v>4365.8999999999996</v>
      </c>
      <c r="X12" s="221">
        <f t="shared" si="0"/>
        <v>56</v>
      </c>
      <c r="Y12" s="221">
        <f t="shared" ca="1" si="0"/>
        <v>0</v>
      </c>
      <c r="Z12" s="221">
        <f t="shared" si="0"/>
        <v>0</v>
      </c>
      <c r="AA12" s="221">
        <f t="shared" si="0"/>
        <v>0</v>
      </c>
      <c r="AB12" s="220">
        <f>SUM(AB10:AB11)</f>
        <v>0</v>
      </c>
      <c r="AC12" s="221">
        <f t="shared" si="0"/>
        <v>0</v>
      </c>
      <c r="AD12" s="221">
        <f t="shared" si="0"/>
        <v>0</v>
      </c>
      <c r="AE12" s="221">
        <f t="shared" si="0"/>
        <v>0</v>
      </c>
      <c r="AF12" s="220">
        <f t="shared" si="0"/>
        <v>0</v>
      </c>
      <c r="AG12" s="220">
        <f>SUM(AG10:AG11)</f>
        <v>450</v>
      </c>
      <c r="AH12" s="220">
        <f>SUM(AH10:AH11)</f>
        <v>30.47</v>
      </c>
      <c r="AI12" s="222"/>
    </row>
    <row r="13" spans="1:35" s="223" customFormat="1" ht="14.1" thickTop="1" thickBot="1">
      <c r="A13" s="344" t="s">
        <v>122</v>
      </c>
      <c r="B13" s="345"/>
      <c r="C13" s="346"/>
      <c r="D13" s="224">
        <f ca="1">D12/$D$4</f>
        <v>7028.5726256983244</v>
      </c>
      <c r="E13" s="224">
        <f>E12/$D$4</f>
        <v>5214.734636871508</v>
      </c>
      <c r="F13" s="224"/>
      <c r="G13" s="224"/>
      <c r="H13" s="224">
        <f>H12/$D$4</f>
        <v>78.491620111731848</v>
      </c>
      <c r="I13" s="224"/>
      <c r="J13" s="224"/>
      <c r="K13" s="224"/>
      <c r="L13" s="224">
        <f t="shared" ref="L13" si="1">L12/$D$4</f>
        <v>61.424581005586596</v>
      </c>
      <c r="M13" s="224"/>
      <c r="N13" s="224"/>
      <c r="O13" s="224"/>
      <c r="P13" s="224"/>
      <c r="Q13" s="224">
        <f t="shared" ref="Q13" ca="1" si="2">Q12/$D$4</f>
        <v>1606.8170391061451</v>
      </c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>
        <f t="shared" ref="AB13" si="3">AB12/$D$4</f>
        <v>0</v>
      </c>
      <c r="AC13" s="224"/>
      <c r="AD13" s="224"/>
      <c r="AE13" s="224"/>
      <c r="AF13" s="224">
        <f>AF12/$D$4</f>
        <v>0</v>
      </c>
      <c r="AG13" s="224">
        <f t="shared" ref="AG13:AH13" si="4">AG12/$D$4</f>
        <v>62.849162011173185</v>
      </c>
      <c r="AH13" s="224">
        <f t="shared" si="4"/>
        <v>4.255586592178771</v>
      </c>
      <c r="AI13" s="225"/>
    </row>
    <row r="14" spans="1:35" ht="12.95" thickTop="1"/>
    <row r="19" spans="4:4">
      <c r="D19" s="226"/>
    </row>
  </sheetData>
  <mergeCells count="44">
    <mergeCell ref="A12:C12"/>
    <mergeCell ref="A13:C13"/>
    <mergeCell ref="W8:W9"/>
    <mergeCell ref="X8:X9"/>
    <mergeCell ref="Y8:Y9"/>
    <mergeCell ref="Q8:Q9"/>
    <mergeCell ref="R8:R9"/>
    <mergeCell ref="S8:S9"/>
    <mergeCell ref="T8:T9"/>
    <mergeCell ref="U8:U9"/>
    <mergeCell ref="V8:V9"/>
    <mergeCell ref="J8:J9"/>
    <mergeCell ref="D7:D9"/>
    <mergeCell ref="E7:G7"/>
    <mergeCell ref="H7:K7"/>
    <mergeCell ref="L7:P7"/>
    <mergeCell ref="AF7:AF9"/>
    <mergeCell ref="AG7:AG9"/>
    <mergeCell ref="AH7:AH9"/>
    <mergeCell ref="AI7:AI9"/>
    <mergeCell ref="Q7:AA7"/>
    <mergeCell ref="AB7:AE7"/>
    <mergeCell ref="AC8:AC9"/>
    <mergeCell ref="AD8:AD9"/>
    <mergeCell ref="AE8:AE9"/>
    <mergeCell ref="Z8:Z9"/>
    <mergeCell ref="AA8:AA9"/>
    <mergeCell ref="AB8:AB9"/>
    <mergeCell ref="K8:K9"/>
    <mergeCell ref="L8:L9"/>
    <mergeCell ref="M8:N8"/>
    <mergeCell ref="O8:P8"/>
    <mergeCell ref="E8:E9"/>
    <mergeCell ref="F8:F9"/>
    <mergeCell ref="G8:G9"/>
    <mergeCell ref="H8:H9"/>
    <mergeCell ref="I8:I9"/>
    <mergeCell ref="A1:C1"/>
    <mergeCell ref="A2:C2"/>
    <mergeCell ref="A3:C3"/>
    <mergeCell ref="A4:C4"/>
    <mergeCell ref="A7:A9"/>
    <mergeCell ref="B7:B9"/>
    <mergeCell ref="C7:C9"/>
  </mergeCells>
  <phoneticPr fontId="5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K11"/>
  <sheetViews>
    <sheetView zoomScaleNormal="100" workbookViewId="0">
      <pane xSplit="4" ySplit="7" topLeftCell="E8" activePane="bottomRight" state="frozen"/>
      <selection pane="bottomRight" activeCell="V8" sqref="V8"/>
      <selection pane="bottomLeft" activeCell="D22" sqref="D22"/>
      <selection pane="topRight" activeCell="D22" sqref="D22"/>
    </sheetView>
  </sheetViews>
  <sheetFormatPr defaultColWidth="9.28515625" defaultRowHeight="12.95"/>
  <cols>
    <col min="1" max="1" width="6" style="67" bestFit="1" customWidth="1"/>
    <col min="2" max="2" width="18.28515625" style="61" bestFit="1" customWidth="1"/>
    <col min="3" max="3" width="11.28515625" style="67" customWidth="1"/>
    <col min="4" max="4" width="15.28515625" style="64" customWidth="1"/>
    <col min="5" max="5" width="15.28515625" style="65" customWidth="1"/>
    <col min="6" max="6" width="11.28515625" style="65" customWidth="1"/>
    <col min="7" max="7" width="15.7109375" style="65" customWidth="1"/>
    <col min="8" max="8" width="12" style="65" bestFit="1" customWidth="1"/>
    <col min="9" max="9" width="10.7109375" style="65" bestFit="1" customWidth="1"/>
    <col min="10" max="10" width="11" style="65" customWidth="1"/>
    <col min="11" max="11" width="12" style="65" bestFit="1" customWidth="1"/>
    <col min="12" max="12" width="9" style="65" bestFit="1" customWidth="1"/>
    <col min="13" max="13" width="7.7109375" style="65" bestFit="1" customWidth="1"/>
    <col min="14" max="14" width="12" style="65" bestFit="1" customWidth="1"/>
    <col min="15" max="15" width="15.5703125" style="65" customWidth="1"/>
    <col min="16" max="17" width="12" style="65" bestFit="1" customWidth="1"/>
    <col min="18" max="18" width="15.7109375" style="65" bestFit="1" customWidth="1"/>
    <col min="19" max="19" width="10.7109375" style="65" bestFit="1" customWidth="1"/>
    <col min="20" max="20" width="14.28515625" style="65" customWidth="1"/>
    <col min="21" max="21" width="10.7109375" style="65" bestFit="1" customWidth="1"/>
    <col min="22" max="22" width="12" style="65" bestFit="1" customWidth="1"/>
    <col min="23" max="23" width="9" style="65" bestFit="1" customWidth="1"/>
    <col min="24" max="24" width="11.28515625" style="65" bestFit="1" customWidth="1"/>
    <col min="25" max="25" width="13.28515625" style="65" bestFit="1" customWidth="1"/>
    <col min="26" max="26" width="9.7109375" style="65" bestFit="1" customWidth="1"/>
    <col min="27" max="27" width="13" style="65" customWidth="1"/>
    <col min="28" max="28" width="13.28515625" style="65" customWidth="1"/>
    <col min="29" max="29" width="12.28515625" style="65" bestFit="1" customWidth="1"/>
    <col min="30" max="30" width="11.5703125" style="65" customWidth="1"/>
    <col min="31" max="31" width="8.28515625" style="65" bestFit="1" customWidth="1"/>
    <col min="32" max="32" width="13.7109375" style="65" customWidth="1"/>
    <col min="33" max="33" width="12.28515625" style="65" bestFit="1" customWidth="1"/>
    <col min="34" max="34" width="22.5703125" style="61" customWidth="1"/>
    <col min="35" max="35" width="10.7109375" style="61" customWidth="1"/>
    <col min="36" max="37" width="10" style="61" bestFit="1" customWidth="1"/>
    <col min="38" max="16384" width="9.28515625" style="61"/>
  </cols>
  <sheetData>
    <row r="1" spans="1:37" ht="15">
      <c r="A1" s="352" t="s">
        <v>123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</row>
    <row r="2" spans="1:37" ht="19.5" customHeight="1">
      <c r="A2" s="62"/>
      <c r="B2" s="63"/>
      <c r="C2" s="62"/>
      <c r="H2" s="66"/>
      <c r="I2" s="66"/>
      <c r="J2" s="66"/>
      <c r="K2" s="66"/>
      <c r="L2" s="66"/>
      <c r="M2" s="66"/>
      <c r="N2" s="66"/>
      <c r="O2" s="66"/>
    </row>
    <row r="3" spans="1:37" ht="19.5" customHeight="1"/>
    <row r="4" spans="1:37">
      <c r="A4" s="357" t="s">
        <v>124</v>
      </c>
      <c r="B4" s="357"/>
      <c r="C4" s="68">
        <f>'S-Payslip'!C4</f>
        <v>45820</v>
      </c>
      <c r="E4" s="69" t="s">
        <v>125</v>
      </c>
      <c r="F4" s="69"/>
      <c r="G4" s="69"/>
      <c r="H4" s="69" t="str">
        <f>'S-Payslip'!G4</f>
        <v>NNRoad-Hermetic Solutions</v>
      </c>
    </row>
    <row r="5" spans="1:37" ht="13.5" thickBot="1"/>
    <row r="6" spans="1:37" s="63" customFormat="1" ht="15" customHeight="1">
      <c r="A6" s="358" t="s">
        <v>126</v>
      </c>
      <c r="B6" s="360" t="s">
        <v>127</v>
      </c>
      <c r="C6" s="362" t="s">
        <v>128</v>
      </c>
      <c r="D6" s="360" t="s">
        <v>129</v>
      </c>
      <c r="E6" s="355" t="s">
        <v>130</v>
      </c>
      <c r="F6" s="370" t="s">
        <v>131</v>
      </c>
      <c r="G6" s="370" t="s">
        <v>132</v>
      </c>
      <c r="H6" s="367" t="s">
        <v>133</v>
      </c>
      <c r="I6" s="368"/>
      <c r="J6" s="368"/>
      <c r="K6" s="368"/>
      <c r="L6" s="368"/>
      <c r="M6" s="368"/>
      <c r="N6" s="368"/>
      <c r="O6" s="369"/>
      <c r="P6" s="364" t="s">
        <v>134</v>
      </c>
      <c r="Q6" s="365"/>
      <c r="R6" s="365"/>
      <c r="S6" s="365"/>
      <c r="T6" s="365"/>
      <c r="U6" s="365"/>
      <c r="V6" s="365"/>
      <c r="W6" s="365"/>
      <c r="X6" s="365"/>
      <c r="Y6" s="365"/>
      <c r="Z6" s="365"/>
      <c r="AA6" s="365"/>
      <c r="AB6" s="365"/>
      <c r="AC6" s="365"/>
      <c r="AD6" s="365"/>
      <c r="AE6" s="366"/>
      <c r="AF6" s="138"/>
      <c r="AG6" s="355" t="s">
        <v>135</v>
      </c>
      <c r="AH6" s="353" t="s">
        <v>136</v>
      </c>
    </row>
    <row r="7" spans="1:37" s="63" customFormat="1" ht="58.5" customHeight="1">
      <c r="A7" s="359"/>
      <c r="B7" s="361"/>
      <c r="C7" s="363"/>
      <c r="D7" s="361"/>
      <c r="E7" s="356"/>
      <c r="F7" s="371"/>
      <c r="G7" s="371"/>
      <c r="H7" s="70" t="s">
        <v>137</v>
      </c>
      <c r="I7" s="70" t="s">
        <v>138</v>
      </c>
      <c r="J7" s="70" t="s">
        <v>139</v>
      </c>
      <c r="K7" s="70" t="s">
        <v>140</v>
      </c>
      <c r="L7" s="70" t="s">
        <v>141</v>
      </c>
      <c r="M7" s="70" t="s">
        <v>142</v>
      </c>
      <c r="N7" s="71" t="s">
        <v>143</v>
      </c>
      <c r="O7" s="70" t="s">
        <v>144</v>
      </c>
      <c r="P7" s="70" t="s">
        <v>137</v>
      </c>
      <c r="Q7" s="70" t="s">
        <v>138</v>
      </c>
      <c r="R7" s="70" t="s">
        <v>139</v>
      </c>
      <c r="S7" s="70" t="s">
        <v>145</v>
      </c>
      <c r="T7" s="70" t="s">
        <v>146</v>
      </c>
      <c r="U7" s="70" t="s">
        <v>147</v>
      </c>
      <c r="V7" s="70" t="s">
        <v>148</v>
      </c>
      <c r="W7" s="70" t="s">
        <v>149</v>
      </c>
      <c r="X7" s="190" t="s">
        <v>150</v>
      </c>
      <c r="Y7" s="70" t="s">
        <v>151</v>
      </c>
      <c r="Z7" s="119" t="s">
        <v>152</v>
      </c>
      <c r="AA7" s="190" t="s">
        <v>153</v>
      </c>
      <c r="AB7" s="70" t="s">
        <v>154</v>
      </c>
      <c r="AC7" s="190" t="s">
        <v>155</v>
      </c>
      <c r="AD7" s="190" t="s">
        <v>156</v>
      </c>
      <c r="AE7" s="70" t="s">
        <v>157</v>
      </c>
      <c r="AF7" s="190" t="s">
        <v>158</v>
      </c>
      <c r="AG7" s="356"/>
      <c r="AH7" s="354"/>
    </row>
    <row r="8" spans="1:37">
      <c r="A8" s="72" t="s">
        <v>159</v>
      </c>
      <c r="B8" s="117"/>
      <c r="C8" s="73" t="str">
        <f>IF('S-Payslip'!C7="","",'S-Payslip'!C7)</f>
        <v>CUS1525-0002</v>
      </c>
      <c r="D8" s="74" t="str">
        <f>'S-Payslip'!D7</f>
        <v>杨明华 Minghua Yang</v>
      </c>
      <c r="E8" s="75">
        <f ca="1">'S-Payslip'!AE7</f>
        <v>29914.13</v>
      </c>
      <c r="F8" s="75">
        <f>'S-Payslip'!AC7</f>
        <v>439.8</v>
      </c>
      <c r="G8" s="75">
        <f>'S-Payslip'!AD7</f>
        <v>0</v>
      </c>
      <c r="H8" s="75">
        <f>'S-Payslip'!P7</f>
        <v>2200.08</v>
      </c>
      <c r="I8" s="75">
        <f>'S-Payslip'!Q7</f>
        <v>673.32</v>
      </c>
      <c r="J8" s="75">
        <f>'S-Payslip'!R7</f>
        <v>87.32</v>
      </c>
      <c r="K8" s="75">
        <f>'S-Payslip'!S7</f>
        <v>4365.8999999999996</v>
      </c>
      <c r="L8" s="75">
        <f>'S-Payslip'!X7</f>
        <v>0</v>
      </c>
      <c r="M8" s="75">
        <f>'S-Payslip'!Y7</f>
        <v>0</v>
      </c>
      <c r="N8" s="75">
        <f>'S-Payslip'!AA7+计算结果!BE2</f>
        <v>1879.35</v>
      </c>
      <c r="O8" s="75">
        <f>'S-Payslip'!AB7</f>
        <v>0</v>
      </c>
      <c r="P8" s="75">
        <f>计算结果!BV2</f>
        <v>4675.17</v>
      </c>
      <c r="Q8" s="75">
        <f>计算结果!BW2</f>
        <v>1683.3</v>
      </c>
      <c r="R8" s="75">
        <f>计算结果!BX2</f>
        <v>349.27</v>
      </c>
      <c r="S8" s="75">
        <f>计算结果!BY2</f>
        <v>168.33</v>
      </c>
      <c r="T8" s="75">
        <f>计算结果!BZ2</f>
        <v>206.84</v>
      </c>
      <c r="U8" s="75">
        <f>计算结果!CA2</f>
        <v>56</v>
      </c>
      <c r="V8" s="75">
        <f>计算结果!CB2+计算结果!CC2</f>
        <v>4365.8999999999996</v>
      </c>
      <c r="W8" s="76">
        <f>基本信息!BF2</f>
        <v>0</v>
      </c>
      <c r="X8" s="237">
        <f ca="1">ROUND(SUM(E8,G8:O8)*2%,2)*0</f>
        <v>0</v>
      </c>
      <c r="Y8" s="75">
        <f>基本信息!CE2</f>
        <v>0</v>
      </c>
      <c r="Z8" s="75">
        <f>基本信息!EM2+基本信息!EN2+基本信息!EO2</f>
        <v>0</v>
      </c>
      <c r="AA8" s="116">
        <v>450</v>
      </c>
      <c r="AB8" s="135">
        <f>计算结果!BI2*25%</f>
        <v>0</v>
      </c>
      <c r="AC8" s="118">
        <v>0</v>
      </c>
      <c r="AD8" s="238"/>
      <c r="AE8" s="76"/>
      <c r="AF8" s="76">
        <f>ROUND(AA8*6.77%,2)</f>
        <v>30.47</v>
      </c>
      <c r="AG8" s="75">
        <f ca="1">SUM(E8:O8)+SUM(P8:AF8)</f>
        <v>51545.18</v>
      </c>
      <c r="AH8" s="76"/>
      <c r="AI8" s="61" t="str">
        <f>基本信息!H2</f>
        <v>深圳</v>
      </c>
      <c r="AJ8" s="187">
        <f>SUM(H8:K8,O8)</f>
        <v>7326.62</v>
      </c>
      <c r="AK8" s="187">
        <f>SUM(P8:U8,V8,Z8)</f>
        <v>11504.81</v>
      </c>
    </row>
    <row r="9" spans="1:37">
      <c r="A9" s="72"/>
      <c r="B9" s="117"/>
      <c r="C9" s="73"/>
      <c r="D9" s="74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6"/>
      <c r="X9" s="116"/>
      <c r="Y9" s="75"/>
      <c r="Z9" s="75"/>
      <c r="AA9" s="116"/>
      <c r="AB9" s="135"/>
      <c r="AC9" s="118"/>
      <c r="AD9" s="118"/>
      <c r="AE9" s="76"/>
      <c r="AF9" s="76"/>
      <c r="AG9" s="75"/>
      <c r="AH9" s="76"/>
      <c r="AJ9" s="187"/>
      <c r="AK9" s="187"/>
    </row>
    <row r="10" spans="1:37" ht="13.5" thickBot="1">
      <c r="A10" s="72"/>
      <c r="B10" s="117"/>
      <c r="C10" s="73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6"/>
      <c r="X10" s="118"/>
      <c r="Y10" s="75"/>
      <c r="Z10" s="75"/>
      <c r="AA10" s="116"/>
      <c r="AB10" s="135"/>
      <c r="AC10" s="118"/>
      <c r="AD10" s="118"/>
      <c r="AE10" s="76"/>
      <c r="AF10" s="76"/>
      <c r="AG10" s="75"/>
      <c r="AH10" s="76"/>
    </row>
    <row r="11" spans="1:37" s="63" customFormat="1" ht="26.45" thickBot="1">
      <c r="A11" s="77" t="s">
        <v>160</v>
      </c>
      <c r="B11" s="78"/>
      <c r="C11" s="79"/>
      <c r="D11" s="80"/>
      <c r="E11" s="81">
        <f t="shared" ref="E11:AG11" ca="1" si="0">SUM(E8:E10)</f>
        <v>29914.13</v>
      </c>
      <c r="F11" s="81">
        <f t="shared" si="0"/>
        <v>439.8</v>
      </c>
      <c r="G11" s="81">
        <f t="shared" si="0"/>
        <v>0</v>
      </c>
      <c r="H11" s="81">
        <f t="shared" si="0"/>
        <v>2200.08</v>
      </c>
      <c r="I11" s="81">
        <f t="shared" si="0"/>
        <v>673.32</v>
      </c>
      <c r="J11" s="81">
        <f t="shared" si="0"/>
        <v>87.32</v>
      </c>
      <c r="K11" s="81">
        <f t="shared" si="0"/>
        <v>4365.8999999999996</v>
      </c>
      <c r="L11" s="81">
        <f t="shared" si="0"/>
        <v>0</v>
      </c>
      <c r="M11" s="81">
        <f t="shared" si="0"/>
        <v>0</v>
      </c>
      <c r="N11" s="81">
        <f t="shared" si="0"/>
        <v>1879.35</v>
      </c>
      <c r="O11" s="81">
        <f t="shared" si="0"/>
        <v>0</v>
      </c>
      <c r="P11" s="81">
        <f t="shared" si="0"/>
        <v>4675.17</v>
      </c>
      <c r="Q11" s="81">
        <f t="shared" si="0"/>
        <v>1683.3</v>
      </c>
      <c r="R11" s="81">
        <f t="shared" si="0"/>
        <v>349.27</v>
      </c>
      <c r="S11" s="81">
        <f t="shared" si="0"/>
        <v>168.33</v>
      </c>
      <c r="T11" s="81">
        <f t="shared" si="0"/>
        <v>206.84</v>
      </c>
      <c r="U11" s="81">
        <f t="shared" si="0"/>
        <v>56</v>
      </c>
      <c r="V11" s="81">
        <f t="shared" si="0"/>
        <v>4365.8999999999996</v>
      </c>
      <c r="W11" s="81">
        <f t="shared" si="0"/>
        <v>0</v>
      </c>
      <c r="X11" s="81">
        <f t="shared" ca="1" si="0"/>
        <v>0</v>
      </c>
      <c r="Y11" s="81">
        <f t="shared" si="0"/>
        <v>0</v>
      </c>
      <c r="Z11" s="81">
        <f t="shared" si="0"/>
        <v>0</v>
      </c>
      <c r="AA11" s="81">
        <f t="shared" si="0"/>
        <v>450</v>
      </c>
      <c r="AB11" s="81">
        <f t="shared" si="0"/>
        <v>0</v>
      </c>
      <c r="AC11" s="81">
        <f t="shared" si="0"/>
        <v>0</v>
      </c>
      <c r="AD11" s="81">
        <f t="shared" si="0"/>
        <v>0</v>
      </c>
      <c r="AE11" s="81">
        <f t="shared" si="0"/>
        <v>0</v>
      </c>
      <c r="AF11" s="81">
        <f t="shared" si="0"/>
        <v>30.47</v>
      </c>
      <c r="AG11" s="81">
        <f t="shared" ca="1" si="0"/>
        <v>51545.18</v>
      </c>
      <c r="AH11" s="120"/>
    </row>
  </sheetData>
  <autoFilter ref="A7:AH7" xr:uid="{AEBD13FF-2B59-44EB-B280-33EA3FFD84CB}"/>
  <mergeCells count="13">
    <mergeCell ref="A1:AH1"/>
    <mergeCell ref="AH6:AH7"/>
    <mergeCell ref="E6:E7"/>
    <mergeCell ref="A4:B4"/>
    <mergeCell ref="A6:A7"/>
    <mergeCell ref="B6:B7"/>
    <mergeCell ref="C6:C7"/>
    <mergeCell ref="D6:D7"/>
    <mergeCell ref="AG6:AG7"/>
    <mergeCell ref="P6:AE6"/>
    <mergeCell ref="H6:O6"/>
    <mergeCell ref="F6:F7"/>
    <mergeCell ref="G6:G7"/>
  </mergeCells>
  <phoneticPr fontId="2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H10"/>
  <sheetViews>
    <sheetView zoomScaleNormal="100" workbookViewId="0">
      <pane xSplit="4" ySplit="6" topLeftCell="U7" activePane="bottomRight" state="frozen"/>
      <selection pane="bottomRight" activeCell="W18" sqref="W18"/>
      <selection pane="bottomLeft" activeCell="D22" sqref="D22"/>
      <selection pane="topRight" activeCell="D22" sqref="D22"/>
    </sheetView>
  </sheetViews>
  <sheetFormatPr defaultColWidth="9.28515625" defaultRowHeight="12.95"/>
  <cols>
    <col min="1" max="1" width="6" style="67" bestFit="1" customWidth="1"/>
    <col min="2" max="2" width="18.28515625" style="61" bestFit="1" customWidth="1"/>
    <col min="3" max="3" width="12.7109375" style="67" bestFit="1" customWidth="1"/>
    <col min="4" max="4" width="11.7109375" style="61" bestFit="1" customWidth="1"/>
    <col min="5" max="5" width="14.42578125" style="65" bestFit="1" customWidth="1"/>
    <col min="6" max="6" width="14" style="65" customWidth="1"/>
    <col min="7" max="7" width="14.7109375" style="65" customWidth="1"/>
    <col min="8" max="8" width="11.5703125" style="65" bestFit="1" customWidth="1"/>
    <col min="9" max="9" width="12" style="65" bestFit="1" customWidth="1"/>
    <col min="10" max="10" width="19.28515625" style="65" bestFit="1" customWidth="1"/>
    <col min="11" max="13" width="19.28515625" style="65" customWidth="1"/>
    <col min="14" max="15" width="11.42578125" style="65" customWidth="1"/>
    <col min="16" max="16" width="12" style="65" bestFit="1" customWidth="1"/>
    <col min="17" max="17" width="10.7109375" style="65" bestFit="1" customWidth="1"/>
    <col min="18" max="18" width="15.7109375" style="65" bestFit="1" customWidth="1"/>
    <col min="19" max="19" width="12.5703125" style="65" customWidth="1"/>
    <col min="20" max="20" width="14.28515625" style="65" bestFit="1" customWidth="1"/>
    <col min="21" max="21" width="13.7109375" style="65" bestFit="1" customWidth="1"/>
    <col min="22" max="22" width="7.7109375" style="65" bestFit="1" customWidth="1"/>
    <col min="23" max="23" width="14.5703125" style="65" customWidth="1"/>
    <col min="24" max="24" width="12" style="65" bestFit="1" customWidth="1"/>
    <col min="25" max="25" width="19.7109375" style="65" bestFit="1" customWidth="1"/>
    <col min="26" max="26" width="12" style="65" customWidth="1"/>
    <col min="27" max="27" width="13.28515625" style="65" bestFit="1" customWidth="1"/>
    <col min="28" max="28" width="19.7109375" style="65" customWidth="1"/>
    <col min="29" max="29" width="10.5703125" style="65" bestFit="1" customWidth="1"/>
    <col min="30" max="30" width="15.28515625" style="65" customWidth="1"/>
    <col min="31" max="31" width="13.28515625" style="61" bestFit="1" customWidth="1"/>
    <col min="32" max="16384" width="9.28515625" style="61"/>
  </cols>
  <sheetData>
    <row r="1" spans="1:34" ht="15">
      <c r="A1" s="352" t="s">
        <v>161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</row>
    <row r="2" spans="1:34" ht="21" customHeight="1">
      <c r="A2" s="62"/>
      <c r="B2" s="63"/>
      <c r="C2" s="62"/>
      <c r="D2" s="63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34" ht="21" customHeight="1"/>
    <row r="4" spans="1:34" ht="13.5" thickBot="1">
      <c r="A4" s="357" t="s">
        <v>124</v>
      </c>
      <c r="B4" s="357"/>
      <c r="C4" s="82">
        <v>45820</v>
      </c>
      <c r="E4" s="374" t="s">
        <v>162</v>
      </c>
      <c r="F4" s="374"/>
      <c r="G4" s="83" t="str">
        <f>基本信息!A2</f>
        <v>NNRoad-Hermetic Solutions</v>
      </c>
    </row>
    <row r="5" spans="1:34" s="63" customFormat="1" ht="16.5" customHeight="1">
      <c r="A5" s="358" t="s">
        <v>163</v>
      </c>
      <c r="B5" s="360" t="s">
        <v>164</v>
      </c>
      <c r="C5" s="362" t="s">
        <v>165</v>
      </c>
      <c r="D5" s="360" t="s">
        <v>166</v>
      </c>
      <c r="E5" s="367" t="s">
        <v>167</v>
      </c>
      <c r="F5" s="368"/>
      <c r="G5" s="368"/>
      <c r="H5" s="368"/>
      <c r="I5" s="368"/>
      <c r="J5" s="369"/>
      <c r="K5" s="199"/>
      <c r="L5" s="199"/>
      <c r="M5" s="199"/>
      <c r="N5" s="355" t="s">
        <v>168</v>
      </c>
      <c r="O5" s="355" t="s">
        <v>169</v>
      </c>
      <c r="P5" s="364" t="s">
        <v>170</v>
      </c>
      <c r="Q5" s="365"/>
      <c r="R5" s="365"/>
      <c r="S5" s="365"/>
      <c r="T5" s="365"/>
      <c r="U5" s="365"/>
      <c r="V5" s="365"/>
      <c r="W5" s="365"/>
      <c r="X5" s="365"/>
      <c r="Y5" s="366"/>
      <c r="Z5" s="355" t="s">
        <v>171</v>
      </c>
      <c r="AA5" s="355" t="s">
        <v>172</v>
      </c>
      <c r="AB5" s="370" t="s">
        <v>173</v>
      </c>
      <c r="AC5" s="370" t="s">
        <v>131</v>
      </c>
      <c r="AD5" s="370" t="s">
        <v>132</v>
      </c>
      <c r="AE5" s="372" t="s">
        <v>174</v>
      </c>
      <c r="AF5" s="66"/>
      <c r="AG5" s="66"/>
      <c r="AH5" s="66"/>
    </row>
    <row r="6" spans="1:34" s="63" customFormat="1" ht="81.75" customHeight="1">
      <c r="A6" s="359"/>
      <c r="B6" s="361"/>
      <c r="C6" s="363"/>
      <c r="D6" s="361"/>
      <c r="E6" s="70" t="s">
        <v>175</v>
      </c>
      <c r="F6" s="70" t="s">
        <v>176</v>
      </c>
      <c r="G6" s="70" t="s">
        <v>177</v>
      </c>
      <c r="H6" s="70" t="s">
        <v>178</v>
      </c>
      <c r="I6" s="70" t="s">
        <v>179</v>
      </c>
      <c r="J6" s="70" t="s">
        <v>180</v>
      </c>
      <c r="K6" s="70" t="s">
        <v>181</v>
      </c>
      <c r="L6" s="70" t="s">
        <v>182</v>
      </c>
      <c r="M6" s="70" t="s">
        <v>183</v>
      </c>
      <c r="N6" s="356" t="s">
        <v>168</v>
      </c>
      <c r="O6" s="356" t="s">
        <v>169</v>
      </c>
      <c r="P6" s="70" t="s">
        <v>184</v>
      </c>
      <c r="Q6" s="70" t="s">
        <v>185</v>
      </c>
      <c r="R6" s="70" t="s">
        <v>186</v>
      </c>
      <c r="S6" s="70" t="s">
        <v>187</v>
      </c>
      <c r="T6" s="70" t="s">
        <v>188</v>
      </c>
      <c r="U6" s="84" t="s">
        <v>189</v>
      </c>
      <c r="V6" s="84" t="s">
        <v>190</v>
      </c>
      <c r="W6" s="84" t="s">
        <v>191</v>
      </c>
      <c r="X6" s="70" t="s">
        <v>192</v>
      </c>
      <c r="Y6" s="70" t="s">
        <v>193</v>
      </c>
      <c r="Z6" s="356"/>
      <c r="AA6" s="356"/>
      <c r="AB6" s="371"/>
      <c r="AC6" s="371"/>
      <c r="AD6" s="371"/>
      <c r="AE6" s="373"/>
      <c r="AF6" s="66"/>
      <c r="AG6" s="66"/>
      <c r="AH6" s="66"/>
    </row>
    <row r="7" spans="1:34">
      <c r="A7" s="72" t="s">
        <v>159</v>
      </c>
      <c r="B7" s="85"/>
      <c r="C7" s="73" t="str">
        <f>IF(基本信息!B2="","",基本信息!B2)</f>
        <v>CUS1525-0002</v>
      </c>
      <c r="D7" s="74" t="str">
        <f>IF(基本信息!C2&amp;基本信息!D2="","",基本信息!C2&amp;" "&amp;基本信息!D2)</f>
        <v>杨明华 Minghua Yang</v>
      </c>
      <c r="E7" s="75">
        <f>计算结果!C2+计算结果!D2</f>
        <v>37337.5</v>
      </c>
      <c r="F7" s="75">
        <f>计算结果!E2+计算结果!F2+计算结果!G2</f>
        <v>497</v>
      </c>
      <c r="G7" s="75">
        <f>计算结果!BM2</f>
        <v>0</v>
      </c>
      <c r="H7" s="75">
        <f>SUM(计算结果!O2:V2)+计算结果!BG2</f>
        <v>1220.5999999999999</v>
      </c>
      <c r="I7" s="75">
        <f>SUM(计算结果!H2:J2)</f>
        <v>0</v>
      </c>
      <c r="J7" s="75">
        <f>计算结果!AZ2</f>
        <v>58.5</v>
      </c>
      <c r="K7" s="75">
        <f>计算结果!W2-计算结果!X2+计算结果!Y2</f>
        <v>0</v>
      </c>
      <c r="L7" s="75">
        <f>计算结果!BQ2</f>
        <v>0</v>
      </c>
      <c r="M7" s="75">
        <f>计算结果!BO2</f>
        <v>0</v>
      </c>
      <c r="N7" s="158">
        <f>基本信息!AF2</f>
        <v>27501</v>
      </c>
      <c r="O7" s="158">
        <f>基本信息!AL2</f>
        <v>43659</v>
      </c>
      <c r="P7" s="75">
        <f>计算结果!Z2</f>
        <v>2200.08</v>
      </c>
      <c r="Q7" s="75">
        <f>计算结果!AA2</f>
        <v>673.32</v>
      </c>
      <c r="R7" s="75">
        <f>计算结果!AB2</f>
        <v>87.32</v>
      </c>
      <c r="S7" s="75">
        <f>计算结果!AC2+计算结果!AD2</f>
        <v>4365.8999999999996</v>
      </c>
      <c r="T7" s="75">
        <f>计算结果!K2</f>
        <v>0</v>
      </c>
      <c r="U7" s="75">
        <f>计算结果!L2</f>
        <v>0</v>
      </c>
      <c r="V7" s="75">
        <f>计算结果!M2</f>
        <v>0</v>
      </c>
      <c r="W7" s="75">
        <f>计算结果!N2</f>
        <v>0</v>
      </c>
      <c r="X7" s="75">
        <f>计算结果!AG2</f>
        <v>0</v>
      </c>
      <c r="Y7" s="75">
        <f>计算结果!AH2</f>
        <v>0</v>
      </c>
      <c r="Z7" s="75">
        <f>计算结果!BK2-计算结果!BL2</f>
        <v>0</v>
      </c>
      <c r="AA7" s="75">
        <f>计算结果!AX2+计算结果!BN2+计算结果!BP2+计算结果!BR2</f>
        <v>1872.85</v>
      </c>
      <c r="AB7" s="86">
        <f>计算结果!AE2+计算结果!AF2+计算结果!BG2</f>
        <v>0</v>
      </c>
      <c r="AC7" s="86">
        <f>计算结果!BH2+计算结果!BI2</f>
        <v>439.8</v>
      </c>
      <c r="AD7" s="86">
        <f>计算结果!BJ2</f>
        <v>0</v>
      </c>
      <c r="AE7" s="87">
        <f ca="1">计算结果!BU2-AC7-AD7</f>
        <v>29914.13</v>
      </c>
      <c r="AF7" s="65"/>
      <c r="AG7" s="65"/>
      <c r="AH7" s="65"/>
    </row>
    <row r="8" spans="1:34">
      <c r="A8" s="72"/>
      <c r="B8" s="85"/>
      <c r="C8" s="73"/>
      <c r="D8" s="74"/>
      <c r="E8" s="75"/>
      <c r="F8" s="75"/>
      <c r="G8" s="75"/>
      <c r="H8" s="75"/>
      <c r="I8" s="75"/>
      <c r="J8" s="75"/>
      <c r="K8" s="75"/>
      <c r="L8" s="75"/>
      <c r="M8" s="75"/>
      <c r="N8" s="158"/>
      <c r="O8" s="158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86"/>
      <c r="AC8" s="86"/>
      <c r="AD8" s="86"/>
      <c r="AE8" s="87"/>
      <c r="AF8" s="65"/>
      <c r="AG8" s="65"/>
      <c r="AH8" s="65"/>
    </row>
    <row r="9" spans="1:34" ht="13.5" thickBot="1">
      <c r="A9" s="72"/>
      <c r="B9" s="85"/>
      <c r="C9" s="73"/>
      <c r="D9" s="74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86"/>
      <c r="AC9" s="86"/>
      <c r="AD9" s="86"/>
      <c r="AE9" s="87"/>
      <c r="AF9" s="65"/>
      <c r="AG9" s="65"/>
      <c r="AH9" s="65"/>
    </row>
    <row r="10" spans="1:34" ht="26.45" thickBot="1">
      <c r="A10" s="77" t="s">
        <v>194</v>
      </c>
      <c r="B10" s="88"/>
      <c r="C10" s="79"/>
      <c r="D10" s="88"/>
      <c r="E10" s="81">
        <f t="shared" ref="E10:M10" si="0">SUM(E7:E9)</f>
        <v>37337.5</v>
      </c>
      <c r="F10" s="81">
        <f t="shared" si="0"/>
        <v>497</v>
      </c>
      <c r="G10" s="81">
        <f t="shared" si="0"/>
        <v>0</v>
      </c>
      <c r="H10" s="81">
        <f t="shared" si="0"/>
        <v>1220.5999999999999</v>
      </c>
      <c r="I10" s="81">
        <f t="shared" si="0"/>
        <v>0</v>
      </c>
      <c r="J10" s="81">
        <f t="shared" si="0"/>
        <v>58.5</v>
      </c>
      <c r="K10" s="81">
        <f t="shared" si="0"/>
        <v>0</v>
      </c>
      <c r="L10" s="81">
        <f t="shared" si="0"/>
        <v>0</v>
      </c>
      <c r="M10" s="81">
        <f t="shared" si="0"/>
        <v>0</v>
      </c>
      <c r="N10" s="81"/>
      <c r="O10" s="81"/>
      <c r="P10" s="81">
        <f t="shared" ref="P10:AE10" si="1">SUM(P7:P9)</f>
        <v>2200.08</v>
      </c>
      <c r="Q10" s="81">
        <f t="shared" si="1"/>
        <v>673.32</v>
      </c>
      <c r="R10" s="81">
        <f t="shared" si="1"/>
        <v>87.32</v>
      </c>
      <c r="S10" s="81">
        <f t="shared" si="1"/>
        <v>4365.8999999999996</v>
      </c>
      <c r="T10" s="81">
        <f t="shared" si="1"/>
        <v>0</v>
      </c>
      <c r="U10" s="81">
        <f t="shared" si="1"/>
        <v>0</v>
      </c>
      <c r="V10" s="81">
        <f t="shared" si="1"/>
        <v>0</v>
      </c>
      <c r="W10" s="81">
        <f t="shared" si="1"/>
        <v>0</v>
      </c>
      <c r="X10" s="81">
        <f t="shared" si="1"/>
        <v>0</v>
      </c>
      <c r="Y10" s="81">
        <f t="shared" si="1"/>
        <v>0</v>
      </c>
      <c r="Z10" s="81">
        <f t="shared" si="1"/>
        <v>0</v>
      </c>
      <c r="AA10" s="81">
        <f t="shared" si="1"/>
        <v>1872.85</v>
      </c>
      <c r="AB10" s="81">
        <f t="shared" si="1"/>
        <v>0</v>
      </c>
      <c r="AC10" s="81">
        <f t="shared" si="1"/>
        <v>439.8</v>
      </c>
      <c r="AD10" s="81">
        <f t="shared" si="1"/>
        <v>0</v>
      </c>
      <c r="AE10" s="81">
        <f t="shared" ca="1" si="1"/>
        <v>29914.13</v>
      </c>
      <c r="AF10" s="65"/>
      <c r="AG10" s="65"/>
      <c r="AH10" s="65"/>
    </row>
  </sheetData>
  <mergeCells count="17">
    <mergeCell ref="A4:B4"/>
    <mergeCell ref="E4:F4"/>
    <mergeCell ref="A1:AA1"/>
    <mergeCell ref="A5:A6"/>
    <mergeCell ref="AA5:AA6"/>
    <mergeCell ref="B5:B6"/>
    <mergeCell ref="C5:C6"/>
    <mergeCell ref="D5:D6"/>
    <mergeCell ref="E5:J5"/>
    <mergeCell ref="Z5:Z6"/>
    <mergeCell ref="N5:N6"/>
    <mergeCell ref="P5:Y5"/>
    <mergeCell ref="AB5:AB6"/>
    <mergeCell ref="AC5:AC6"/>
    <mergeCell ref="AD5:AD6"/>
    <mergeCell ref="AE5:AE6"/>
    <mergeCell ref="O5:O6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EU29"/>
  <sheetViews>
    <sheetView zoomScaleNormal="100" workbookViewId="0">
      <pane xSplit="4" ySplit="1" topLeftCell="CK2" activePane="bottomRight" state="frozen"/>
      <selection pane="bottomRight" activeCell="AF2" sqref="AF2"/>
      <selection pane="bottomLeft" activeCell="O24" sqref="O24"/>
      <selection pane="topRight" activeCell="O24" sqref="O24"/>
    </sheetView>
  </sheetViews>
  <sheetFormatPr defaultColWidth="10.28515625" defaultRowHeight="12.95"/>
  <cols>
    <col min="1" max="1" width="9" style="44" bestFit="1" customWidth="1"/>
    <col min="2" max="2" width="9" style="49" bestFit="1" customWidth="1"/>
    <col min="3" max="3" width="6.7109375" style="157" bestFit="1" customWidth="1"/>
    <col min="4" max="4" width="10" style="49" bestFit="1" customWidth="1"/>
    <col min="5" max="5" width="7.7109375" style="49" bestFit="1" customWidth="1"/>
    <col min="6" max="6" width="9.28515625" style="121" bestFit="1" customWidth="1"/>
    <col min="7" max="7" width="7.28515625" style="121" bestFit="1" customWidth="1"/>
    <col min="8" max="8" width="11.28515625" style="49" bestFit="1" customWidth="1"/>
    <col min="9" max="9" width="13.28515625" style="49" bestFit="1" customWidth="1"/>
    <col min="10" max="10" width="9.28515625" style="121" bestFit="1" customWidth="1"/>
    <col min="11" max="11" width="11.28515625" style="49" bestFit="1" customWidth="1"/>
    <col min="12" max="12" width="11.28515625" style="122" bestFit="1" customWidth="1"/>
    <col min="13" max="13" width="11.28515625" style="49" bestFit="1" customWidth="1"/>
    <col min="14" max="14" width="10.28515625" style="49" customWidth="1"/>
    <col min="15" max="15" width="9.28515625" style="55" bestFit="1" customWidth="1"/>
    <col min="16" max="16" width="9.7109375" style="121" bestFit="1" customWidth="1"/>
    <col min="17" max="17" width="11.5703125" style="181" bestFit="1" customWidth="1"/>
    <col min="18" max="18" width="5.28515625" style="115" bestFit="1" customWidth="1"/>
    <col min="19" max="20" width="9.28515625" style="55" bestFit="1" customWidth="1"/>
    <col min="21" max="21" width="9.28515625" style="55" customWidth="1"/>
    <col min="22" max="25" width="13.28515625" style="55" customWidth="1"/>
    <col min="26" max="27" width="23.5703125" style="55" customWidth="1"/>
    <col min="28" max="28" width="17.42578125" style="122" customWidth="1"/>
    <col min="29" max="29" width="17.42578125" style="55" customWidth="1"/>
    <col min="30" max="31" width="7.28515625" style="55" bestFit="1" customWidth="1"/>
    <col min="32" max="36" width="9.7109375" style="181" bestFit="1" customWidth="1"/>
    <col min="37" max="37" width="9.7109375" style="181" customWidth="1"/>
    <col min="38" max="38" width="11.28515625" style="55" bestFit="1" customWidth="1"/>
    <col min="39" max="39" width="15.28515625" style="55" bestFit="1" customWidth="1"/>
    <col min="40" max="42" width="11" style="123" bestFit="1" customWidth="1"/>
    <col min="43" max="43" width="13" style="123" bestFit="1" customWidth="1"/>
    <col min="44" max="44" width="25.5703125" style="123" bestFit="1" customWidth="1"/>
    <col min="45" max="45" width="27.7109375" style="123" bestFit="1" customWidth="1"/>
    <col min="46" max="46" width="15.28515625" style="55" bestFit="1" customWidth="1"/>
    <col min="47" max="51" width="11" style="53" bestFit="1" customWidth="1"/>
    <col min="52" max="53" width="13" style="53" bestFit="1" customWidth="1"/>
    <col min="54" max="54" width="17.28515625" style="53" bestFit="1" customWidth="1"/>
    <col min="55" max="57" width="15.28515625" style="54" bestFit="1" customWidth="1"/>
    <col min="58" max="58" width="7.28515625" style="123" bestFit="1" customWidth="1"/>
    <col min="59" max="59" width="7.28515625" style="55" bestFit="1" customWidth="1"/>
    <col min="60" max="61" width="9.28515625" style="55" bestFit="1" customWidth="1"/>
    <col min="62" max="62" width="21.5703125" style="55" bestFit="1" customWidth="1"/>
    <col min="63" max="64" width="9.28515625" style="55" customWidth="1"/>
    <col min="65" max="65" width="9.28515625" style="49" bestFit="1" customWidth="1"/>
    <col min="66" max="66" width="13.28515625" style="157" bestFit="1" customWidth="1"/>
    <col min="67" max="67" width="5.28515625" style="49" bestFit="1" customWidth="1"/>
    <col min="68" max="68" width="11.28515625" style="49" bestFit="1" customWidth="1"/>
    <col min="69" max="69" width="9.28515625" style="44" bestFit="1" customWidth="1"/>
    <col min="70" max="70" width="9.28515625" style="49" bestFit="1" customWidth="1"/>
    <col min="71" max="71" width="5.28515625" style="49" bestFit="1" customWidth="1"/>
    <col min="72" max="73" width="5.42578125" style="44" bestFit="1" customWidth="1"/>
    <col min="74" max="75" width="9.7109375" style="44" bestFit="1" customWidth="1"/>
    <col min="76" max="76" width="7.28515625" style="44" bestFit="1" customWidth="1"/>
    <col min="77" max="77" width="13" style="49" bestFit="1" customWidth="1"/>
    <col min="78" max="78" width="5.28515625" style="44" bestFit="1" customWidth="1"/>
    <col min="79" max="79" width="13.28515625" style="44" bestFit="1" customWidth="1"/>
    <col min="80" max="80" width="7.7109375" style="44" bestFit="1" customWidth="1"/>
    <col min="81" max="82" width="9.28515625" style="44" bestFit="1" customWidth="1"/>
    <col min="83" max="83" width="15.28515625" style="55" bestFit="1" customWidth="1"/>
    <col min="84" max="84" width="11.28515625" style="44" bestFit="1" customWidth="1"/>
    <col min="85" max="85" width="11.7109375" style="44" bestFit="1" customWidth="1"/>
    <col min="86" max="86" width="9.28515625" style="44" bestFit="1" customWidth="1"/>
    <col min="87" max="87" width="5.42578125" style="44" bestFit="1" customWidth="1"/>
    <col min="88" max="88" width="11.28515625" style="55" bestFit="1" customWidth="1"/>
    <col min="89" max="89" width="16.28515625" style="44" bestFit="1" customWidth="1"/>
    <col min="90" max="90" width="9.28515625" style="49" bestFit="1" customWidth="1"/>
    <col min="91" max="91" width="5.42578125" style="44" bestFit="1" customWidth="1"/>
    <col min="92" max="92" width="11.28515625" style="44" bestFit="1" customWidth="1"/>
    <col min="93" max="93" width="8.7109375" style="146" customWidth="1"/>
    <col min="94" max="94" width="10.28515625" style="146"/>
    <col min="95" max="97" width="8.7109375" style="146" customWidth="1"/>
    <col min="98" max="98" width="10.28515625" style="145"/>
    <col min="99" max="99" width="8.7109375" style="145" customWidth="1"/>
    <col min="100" max="100" width="10.7109375" style="54" customWidth="1"/>
    <col min="101" max="101" width="8" style="45" customWidth="1"/>
    <col min="102" max="102" width="10" style="185" bestFit="1" customWidth="1"/>
    <col min="103" max="103" width="5.7109375" style="45" customWidth="1"/>
    <col min="104" max="104" width="9" style="45" bestFit="1" customWidth="1"/>
    <col min="105" max="107" width="6.7109375" style="45" customWidth="1"/>
    <col min="108" max="112" width="8" style="45" customWidth="1"/>
    <col min="113" max="113" width="6.5703125" style="45" bestFit="1" customWidth="1"/>
    <col min="114" max="114" width="8" style="45" customWidth="1"/>
    <col min="115" max="115" width="7.28515625" style="45" bestFit="1" customWidth="1"/>
    <col min="116" max="140" width="10.28515625" style="45"/>
    <col min="141" max="141" width="8.42578125" style="45" bestFit="1" customWidth="1"/>
    <col min="142" max="145" width="10.28515625" style="45"/>
    <col min="146" max="16384" width="10.28515625" style="44"/>
  </cols>
  <sheetData>
    <row r="1" spans="1:151" ht="39">
      <c r="A1" s="44" t="s">
        <v>195</v>
      </c>
      <c r="B1" s="49" t="s">
        <v>196</v>
      </c>
      <c r="C1" s="157" t="s">
        <v>197</v>
      </c>
      <c r="D1" s="49" t="s">
        <v>198</v>
      </c>
      <c r="E1" s="49" t="s">
        <v>199</v>
      </c>
      <c r="F1" s="193" t="s">
        <v>200</v>
      </c>
      <c r="G1" s="121" t="s">
        <v>201</v>
      </c>
      <c r="H1" s="49" t="s">
        <v>202</v>
      </c>
      <c r="I1" s="49" t="s">
        <v>203</v>
      </c>
      <c r="J1" s="121" t="s">
        <v>204</v>
      </c>
      <c r="K1" s="49" t="s">
        <v>205</v>
      </c>
      <c r="L1" s="175" t="s">
        <v>206</v>
      </c>
      <c r="M1" s="176" t="s">
        <v>207</v>
      </c>
      <c r="N1" s="177" t="s">
        <v>208</v>
      </c>
      <c r="O1" s="54" t="s">
        <v>209</v>
      </c>
      <c r="P1" s="121" t="s">
        <v>210</v>
      </c>
      <c r="Q1" s="181" t="s">
        <v>211</v>
      </c>
      <c r="R1" s="156" t="s">
        <v>212</v>
      </c>
      <c r="S1" s="55" t="s">
        <v>213</v>
      </c>
      <c r="T1" s="55" t="s">
        <v>214</v>
      </c>
      <c r="U1" s="55" t="s">
        <v>215</v>
      </c>
      <c r="V1" s="55" t="s">
        <v>216</v>
      </c>
      <c r="W1" s="55" t="s">
        <v>217</v>
      </c>
      <c r="X1" s="55" t="s">
        <v>218</v>
      </c>
      <c r="Y1" s="44" t="s">
        <v>219</v>
      </c>
      <c r="Z1" s="44" t="s">
        <v>220</v>
      </c>
      <c r="AA1" s="44" t="s">
        <v>221</v>
      </c>
      <c r="AB1" s="122" t="s">
        <v>222</v>
      </c>
      <c r="AC1" s="44" t="s">
        <v>223</v>
      </c>
      <c r="AD1" s="44" t="s">
        <v>224</v>
      </c>
      <c r="AE1" s="55" t="s">
        <v>225</v>
      </c>
      <c r="AF1" s="181" t="s">
        <v>226</v>
      </c>
      <c r="AG1" s="181" t="s">
        <v>227</v>
      </c>
      <c r="AH1" s="181" t="s">
        <v>228</v>
      </c>
      <c r="AI1" s="181" t="s">
        <v>229</v>
      </c>
      <c r="AJ1" s="181" t="s">
        <v>230</v>
      </c>
      <c r="AK1" s="181" t="s">
        <v>231</v>
      </c>
      <c r="AL1" s="55" t="s">
        <v>232</v>
      </c>
      <c r="AM1" s="55" t="s">
        <v>233</v>
      </c>
      <c r="AN1" s="123" t="s">
        <v>234</v>
      </c>
      <c r="AO1" s="123" t="s">
        <v>235</v>
      </c>
      <c r="AP1" s="123" t="s">
        <v>236</v>
      </c>
      <c r="AQ1" s="123" t="s">
        <v>237</v>
      </c>
      <c r="AR1" s="123" t="s">
        <v>238</v>
      </c>
      <c r="AS1" s="123" t="s">
        <v>239</v>
      </c>
      <c r="AT1" s="55" t="s">
        <v>240</v>
      </c>
      <c r="AU1" s="51" t="s">
        <v>241</v>
      </c>
      <c r="AV1" s="51" t="s">
        <v>242</v>
      </c>
      <c r="AW1" s="51" t="s">
        <v>243</v>
      </c>
      <c r="AX1" s="51" t="s">
        <v>244</v>
      </c>
      <c r="AY1" s="51" t="s">
        <v>245</v>
      </c>
      <c r="AZ1" s="51" t="s">
        <v>246</v>
      </c>
      <c r="BA1" s="51" t="s">
        <v>247</v>
      </c>
      <c r="BB1" s="51" t="s">
        <v>248</v>
      </c>
      <c r="BC1" s="52" t="s">
        <v>249</v>
      </c>
      <c r="BD1" s="52" t="s">
        <v>250</v>
      </c>
      <c r="BE1" s="52" t="s">
        <v>251</v>
      </c>
      <c r="BF1" s="123" t="s">
        <v>252</v>
      </c>
      <c r="BG1" s="55" t="s">
        <v>253</v>
      </c>
      <c r="BH1" s="196" t="s">
        <v>254</v>
      </c>
      <c r="BI1" s="55" t="s">
        <v>255</v>
      </c>
      <c r="BJ1" s="55" t="s">
        <v>256</v>
      </c>
      <c r="BK1" s="55" t="s">
        <v>257</v>
      </c>
      <c r="BL1" s="124" t="s">
        <v>258</v>
      </c>
      <c r="BM1" s="49" t="s">
        <v>259</v>
      </c>
      <c r="BN1" s="157" t="s">
        <v>260</v>
      </c>
      <c r="BO1" s="49" t="s">
        <v>261</v>
      </c>
      <c r="BP1" s="49" t="s">
        <v>262</v>
      </c>
      <c r="BQ1" s="44" t="s">
        <v>263</v>
      </c>
      <c r="BR1" s="49" t="s">
        <v>264</v>
      </c>
      <c r="BS1" s="49" t="s">
        <v>265</v>
      </c>
      <c r="BT1" s="44" t="s">
        <v>266</v>
      </c>
      <c r="BU1" s="44" t="s">
        <v>267</v>
      </c>
      <c r="BV1" s="44" t="s">
        <v>268</v>
      </c>
      <c r="BW1" s="44" t="s">
        <v>269</v>
      </c>
      <c r="BX1" s="44" t="s">
        <v>270</v>
      </c>
      <c r="BY1" s="49" t="s">
        <v>271</v>
      </c>
      <c r="BZ1" s="44" t="s">
        <v>272</v>
      </c>
      <c r="CA1" s="44" t="s">
        <v>273</v>
      </c>
      <c r="CB1" s="44" t="s">
        <v>274</v>
      </c>
      <c r="CC1" s="44" t="s">
        <v>275</v>
      </c>
      <c r="CD1" s="44" t="s">
        <v>276</v>
      </c>
      <c r="CE1" s="55" t="s">
        <v>277</v>
      </c>
      <c r="CF1" s="44" t="s">
        <v>278</v>
      </c>
      <c r="CG1" s="44" t="s">
        <v>279</v>
      </c>
      <c r="CH1" s="44" t="s">
        <v>280</v>
      </c>
      <c r="CI1" s="44" t="s">
        <v>281</v>
      </c>
      <c r="CJ1" s="55" t="s">
        <v>282</v>
      </c>
      <c r="CK1" s="44" t="s">
        <v>283</v>
      </c>
      <c r="CL1" s="49" t="s">
        <v>284</v>
      </c>
      <c r="CM1" s="44" t="s">
        <v>285</v>
      </c>
      <c r="CN1" s="44" t="s">
        <v>286</v>
      </c>
      <c r="CO1" s="163" t="s">
        <v>287</v>
      </c>
      <c r="CP1" s="163" t="s">
        <v>288</v>
      </c>
      <c r="CQ1" s="163" t="s">
        <v>289</v>
      </c>
      <c r="CR1" s="163" t="s">
        <v>290</v>
      </c>
      <c r="CS1" s="163" t="s">
        <v>291</v>
      </c>
      <c r="CT1" s="164" t="s">
        <v>292</v>
      </c>
      <c r="CU1" s="164" t="s">
        <v>293</v>
      </c>
      <c r="CV1" s="165" t="s">
        <v>294</v>
      </c>
      <c r="CW1" s="169" t="s">
        <v>295</v>
      </c>
      <c r="CX1" s="186" t="s">
        <v>296</v>
      </c>
      <c r="CY1" s="169" t="s">
        <v>297</v>
      </c>
      <c r="CZ1" s="200" t="s">
        <v>298</v>
      </c>
      <c r="DA1" s="170" t="s">
        <v>299</v>
      </c>
      <c r="DB1" s="170" t="s">
        <v>300</v>
      </c>
      <c r="DC1" s="170" t="s">
        <v>301</v>
      </c>
      <c r="DD1" s="170" t="s">
        <v>302</v>
      </c>
      <c r="DE1" s="171" t="s">
        <v>303</v>
      </c>
      <c r="DF1" s="171" t="s">
        <v>304</v>
      </c>
      <c r="DG1" s="171" t="s">
        <v>305</v>
      </c>
      <c r="DH1" s="171" t="s">
        <v>306</v>
      </c>
      <c r="DI1" s="171" t="s">
        <v>307</v>
      </c>
      <c r="DJ1" s="169" t="s">
        <v>308</v>
      </c>
      <c r="DK1" s="169" t="s">
        <v>309</v>
      </c>
      <c r="DL1" s="172" t="s">
        <v>310</v>
      </c>
      <c r="DM1" s="172" t="s">
        <v>311</v>
      </c>
      <c r="DN1" s="170" t="s">
        <v>312</v>
      </c>
      <c r="DO1" s="170" t="s">
        <v>313</v>
      </c>
      <c r="DP1" s="170" t="s">
        <v>314</v>
      </c>
      <c r="DQ1" s="170" t="s">
        <v>315</v>
      </c>
      <c r="DR1" s="169" t="s">
        <v>316</v>
      </c>
      <c r="DS1" s="169" t="s">
        <v>317</v>
      </c>
      <c r="DT1" s="200" t="s">
        <v>318</v>
      </c>
      <c r="DU1" s="170" t="s">
        <v>319</v>
      </c>
      <c r="DV1" s="170" t="s">
        <v>320</v>
      </c>
      <c r="DW1" s="170" t="s">
        <v>321</v>
      </c>
      <c r="DX1" s="170" t="s">
        <v>322</v>
      </c>
      <c r="DY1" s="169" t="s">
        <v>323</v>
      </c>
      <c r="DZ1" s="169" t="s">
        <v>324</v>
      </c>
      <c r="EA1" s="169" t="s">
        <v>325</v>
      </c>
      <c r="EB1" s="169" t="s">
        <v>326</v>
      </c>
      <c r="EC1" s="169" t="s">
        <v>327</v>
      </c>
      <c r="ED1" s="173" t="s">
        <v>328</v>
      </c>
      <c r="EE1" s="169" t="s">
        <v>329</v>
      </c>
      <c r="EF1" s="169" t="s">
        <v>330</v>
      </c>
      <c r="EG1" s="200" t="s">
        <v>331</v>
      </c>
      <c r="EH1" s="200" t="s">
        <v>332</v>
      </c>
      <c r="EI1" s="200" t="s">
        <v>333</v>
      </c>
      <c r="EJ1" s="200" t="s">
        <v>334</v>
      </c>
      <c r="EK1" s="200" t="s">
        <v>335</v>
      </c>
      <c r="EL1" s="174" t="s">
        <v>336</v>
      </c>
      <c r="EM1" s="174" t="s">
        <v>337</v>
      </c>
      <c r="EN1" s="174" t="s">
        <v>338</v>
      </c>
      <c r="EO1" s="174" t="s">
        <v>339</v>
      </c>
      <c r="EP1" s="194" t="s">
        <v>340</v>
      </c>
      <c r="EQ1" s="194" t="s">
        <v>341</v>
      </c>
      <c r="ER1" s="145" t="s">
        <v>342</v>
      </c>
      <c r="ES1" s="145" t="s">
        <v>343</v>
      </c>
      <c r="ET1" s="145" t="s">
        <v>344</v>
      </c>
      <c r="EU1" s="44" t="s">
        <v>345</v>
      </c>
    </row>
    <row r="2" spans="1:151">
      <c r="A2" s="206" t="s">
        <v>346</v>
      </c>
      <c r="B2" s="49" t="s">
        <v>347</v>
      </c>
      <c r="C2" s="157" t="s">
        <v>348</v>
      </c>
      <c r="D2" s="49" t="s">
        <v>349</v>
      </c>
      <c r="E2" s="49" t="s">
        <v>350</v>
      </c>
      <c r="F2" s="193" t="s">
        <v>351</v>
      </c>
      <c r="G2" s="29" t="s">
        <v>352</v>
      </c>
      <c r="H2" s="29" t="s">
        <v>352</v>
      </c>
      <c r="I2" s="29" t="s">
        <v>352</v>
      </c>
      <c r="J2" s="121">
        <v>1</v>
      </c>
      <c r="K2" s="49" t="s">
        <v>353</v>
      </c>
      <c r="M2" s="49" t="s">
        <v>354</v>
      </c>
      <c r="N2" s="49" t="s">
        <v>355</v>
      </c>
      <c r="P2" s="139" t="s">
        <v>356</v>
      </c>
      <c r="Q2" s="181">
        <v>37337.5</v>
      </c>
      <c r="AF2" s="181">
        <v>27501</v>
      </c>
      <c r="AG2" s="181">
        <v>33666</v>
      </c>
      <c r="AH2" s="181">
        <v>43659</v>
      </c>
      <c r="AI2" s="181">
        <v>33666</v>
      </c>
      <c r="AJ2" s="181">
        <v>51709</v>
      </c>
      <c r="AL2" s="115">
        <v>43659</v>
      </c>
      <c r="AN2" s="123">
        <v>0.08</v>
      </c>
      <c r="AO2" s="123">
        <v>0.02</v>
      </c>
      <c r="AP2" s="123">
        <v>2E-3</v>
      </c>
      <c r="AQ2" s="123">
        <v>0.1</v>
      </c>
      <c r="AU2" s="53">
        <v>0.17</v>
      </c>
      <c r="AV2" s="53">
        <v>0.05</v>
      </c>
      <c r="AW2" s="53">
        <v>8.0000000000000002E-3</v>
      </c>
      <c r="AX2" s="53">
        <v>5.0000000000000001E-3</v>
      </c>
      <c r="AY2" s="53">
        <v>4.0000000000000001E-3</v>
      </c>
      <c r="BA2" s="53">
        <v>0.1</v>
      </c>
      <c r="BE2" s="54">
        <v>56</v>
      </c>
      <c r="BM2" s="49" t="s">
        <v>159</v>
      </c>
      <c r="BN2" s="157" t="s">
        <v>357</v>
      </c>
      <c r="BO2" s="49">
        <v>29082</v>
      </c>
      <c r="BQ2" s="49" t="s">
        <v>348</v>
      </c>
      <c r="BR2" s="49" t="s">
        <v>358</v>
      </c>
      <c r="BS2" s="49" t="s">
        <v>359</v>
      </c>
      <c r="BV2" s="44" t="s">
        <v>360</v>
      </c>
      <c r="BW2" s="181">
        <v>156</v>
      </c>
      <c r="BY2" s="49" t="s">
        <v>361</v>
      </c>
      <c r="BZ2" s="44" t="s">
        <v>362</v>
      </c>
      <c r="CA2" s="44" t="s">
        <v>363</v>
      </c>
      <c r="CB2" s="44">
        <v>518131</v>
      </c>
      <c r="CC2" s="44" t="s">
        <v>364</v>
      </c>
      <c r="CD2" s="44" t="s">
        <v>363</v>
      </c>
      <c r="CN2" s="44" t="s">
        <v>365</v>
      </c>
      <c r="CO2" s="146">
        <f>IFERROR(VLOOKUP($BN2,专项附加!$D:$Q,10,0),0)</f>
        <v>24000</v>
      </c>
      <c r="CP2" s="146">
        <f>IFERROR(VLOOKUP($BN2,专项附加!$D:$Q,11,0),0)</f>
        <v>0</v>
      </c>
      <c r="CQ2" s="146">
        <f>IFERROR(VLOOKUP($BN2,专项附加!$D:$Q,12,0),0)</f>
        <v>6000</v>
      </c>
      <c r="CR2" s="146">
        <f>IFERROR(VLOOKUP($BN2,专项附加!$D:$Q,13,0),0)</f>
        <v>0</v>
      </c>
      <c r="CS2" s="146">
        <f>IFERROR(VLOOKUP($BN2,专项附加!$D:$Q,14,0),0)</f>
        <v>18000</v>
      </c>
      <c r="CT2" s="146">
        <f>IFERROR(VLOOKUP($BN2,专项附加!$D:$Q,15,0),0)</f>
        <v>0</v>
      </c>
      <c r="CZ2" s="236">
        <v>497</v>
      </c>
      <c r="DJ2" s="236">
        <v>1220.5999999999999</v>
      </c>
      <c r="DR2" s="236"/>
      <c r="DU2" s="236"/>
      <c r="DV2" s="236"/>
      <c r="DW2" s="236"/>
      <c r="DX2" s="236"/>
      <c r="EA2" s="236">
        <v>58.5</v>
      </c>
      <c r="EB2" s="236">
        <v>439.8</v>
      </c>
      <c r="EG2" s="249"/>
      <c r="EM2" s="236"/>
      <c r="EN2" s="236"/>
      <c r="EP2" s="44" t="s">
        <v>365</v>
      </c>
      <c r="EQ2" s="235" t="s">
        <v>352</v>
      </c>
      <c r="ER2" s="44" t="s">
        <v>366</v>
      </c>
      <c r="ES2" s="44" t="s">
        <v>366</v>
      </c>
      <c r="ET2" s="44" t="s">
        <v>366</v>
      </c>
      <c r="EU2" s="44" t="s">
        <v>367</v>
      </c>
    </row>
    <row r="3" spans="1:151">
      <c r="A3" s="206"/>
      <c r="F3" s="193"/>
      <c r="G3" s="29"/>
      <c r="H3" s="29"/>
      <c r="I3" s="29"/>
      <c r="P3" s="139"/>
      <c r="AL3" s="115"/>
      <c r="BQ3" s="49"/>
      <c r="BW3" s="181"/>
      <c r="CN3" s="127"/>
      <c r="CT3" s="146"/>
      <c r="EP3" s="234"/>
      <c r="EQ3" s="235"/>
    </row>
    <row r="4" spans="1:151">
      <c r="G4" s="49"/>
      <c r="AL4" s="115"/>
      <c r="BQ4" s="49"/>
      <c r="CN4" s="127"/>
    </row>
    <row r="5" spans="1:151">
      <c r="G5" s="49"/>
      <c r="AL5" s="115"/>
      <c r="BQ5" s="49"/>
      <c r="CN5" s="127"/>
    </row>
    <row r="6" spans="1:151">
      <c r="G6" s="49"/>
      <c r="AL6" s="115"/>
      <c r="BQ6" s="49"/>
      <c r="CN6" s="127"/>
    </row>
    <row r="7" spans="1:151">
      <c r="G7" s="49"/>
      <c r="BQ7" s="49"/>
      <c r="CN7" s="127"/>
    </row>
    <row r="8" spans="1:151">
      <c r="G8" s="49"/>
      <c r="BQ8" s="49"/>
      <c r="CN8" s="127"/>
    </row>
    <row r="9" spans="1:151">
      <c r="G9" s="49"/>
      <c r="BQ9" s="49"/>
      <c r="CN9" s="127"/>
    </row>
    <row r="10" spans="1:151">
      <c r="G10" s="49"/>
      <c r="AL10" s="115"/>
      <c r="BQ10" s="49"/>
      <c r="CN10" s="127"/>
    </row>
    <row r="11" spans="1:151">
      <c r="G11" s="49"/>
      <c r="AL11" s="115"/>
      <c r="BQ11" s="49"/>
      <c r="CN11" s="127"/>
    </row>
    <row r="12" spans="1:151">
      <c r="G12" s="49"/>
      <c r="BQ12" s="49"/>
      <c r="CN12" s="127"/>
    </row>
    <row r="13" spans="1:151">
      <c r="G13" s="49"/>
      <c r="BQ13" s="49"/>
      <c r="CN13" s="127"/>
    </row>
    <row r="14" spans="1:151">
      <c r="G14" s="49"/>
      <c r="CN14" s="127"/>
    </row>
    <row r="15" spans="1:151">
      <c r="G15" s="49"/>
      <c r="CN15" s="127"/>
    </row>
    <row r="16" spans="1:151">
      <c r="G16" s="49"/>
      <c r="CN16" s="127"/>
    </row>
    <row r="17" spans="7:92">
      <c r="G17" s="49"/>
      <c r="CN17" s="127"/>
    </row>
    <row r="18" spans="7:92">
      <c r="G18" s="49"/>
      <c r="CN18" s="127"/>
    </row>
    <row r="19" spans="7:92">
      <c r="G19" s="49"/>
      <c r="CN19" s="127"/>
    </row>
    <row r="20" spans="7:92">
      <c r="G20" s="49"/>
      <c r="CN20" s="127"/>
    </row>
    <row r="21" spans="7:92">
      <c r="G21" s="49"/>
      <c r="CN21" s="127"/>
    </row>
    <row r="22" spans="7:92">
      <c r="G22" s="49"/>
      <c r="CN22" s="127"/>
    </row>
    <row r="23" spans="7:92">
      <c r="G23" s="49"/>
      <c r="CN23" s="127"/>
    </row>
    <row r="24" spans="7:92">
      <c r="G24" s="49"/>
      <c r="CN24" s="127"/>
    </row>
    <row r="25" spans="7:92">
      <c r="G25" s="49"/>
      <c r="CN25" s="127"/>
    </row>
    <row r="26" spans="7:92">
      <c r="G26" s="49"/>
      <c r="CN26" s="127"/>
    </row>
    <row r="27" spans="7:92">
      <c r="G27" s="49"/>
      <c r="CN27" s="127"/>
    </row>
    <row r="28" spans="7:92">
      <c r="G28" s="49"/>
      <c r="CN28" s="127"/>
    </row>
    <row r="29" spans="7:92">
      <c r="G29" s="49"/>
      <c r="CN29" s="127"/>
    </row>
  </sheetData>
  <autoFilter ref="A1:EO1" xr:uid="{F3818F77-6D4C-4FF9-AAE5-62F7C4F028C5}"/>
  <sortState xmlns:xlrd2="http://schemas.microsoft.com/office/spreadsheetml/2017/richdata2" ref="A2:BX29">
    <sortCondition ref="C2:C29"/>
    <sortCondition ref="D2:D29"/>
    <sortCondition ref="A2:A29"/>
  </sortState>
  <phoneticPr fontId="5" type="noConversion"/>
  <dataValidations count="9">
    <dataValidation type="list" allowBlank="1" showInputMessage="1" showErrorMessage="1" sqref="J2:J29" xr:uid="{00000000-0002-0000-0600-000000000000}">
      <formula1>"1,2,3,不适用"</formula1>
    </dataValidation>
    <dataValidation type="list" allowBlank="1" showInputMessage="1" showErrorMessage="1" sqref="P2:P29" xr:uid="{00000000-0002-0000-0600-000001000000}">
      <formula1>"税前,税后"</formula1>
    </dataValidation>
    <dataValidation type="list" allowBlank="1" showInputMessage="1" showErrorMessage="1" sqref="E2:E29" xr:uid="{00000000-0002-0000-0600-000002000000}">
      <formula1>"Male,Female"</formula1>
    </dataValidation>
    <dataValidation type="list" allowBlank="1" showInputMessage="1" showErrorMessage="1" sqref="BX2:BX29" xr:uid="{00000000-0002-0000-0600-000003000000}">
      <formula1>"是,否"</formula1>
    </dataValidation>
    <dataValidation type="list" allowBlank="1" showInputMessage="1" showErrorMessage="1" sqref="BM2:BM29" xr:uid="{00000000-0002-0000-0600-000004000000}">
      <formula1>"1,2,3,4,5,6,9"</formula1>
    </dataValidation>
    <dataValidation type="list" allowBlank="1" showInputMessage="1" showErrorMessage="1" sqref="F4:F29" xr:uid="{00000000-0002-0000-0600-000005000000}">
      <formula1>"派遣,薪酬+福利,薪酬,福利,残疾人,HROne,无"</formula1>
    </dataValidation>
    <dataValidation type="list" allowBlank="1" showInputMessage="1" showErrorMessage="1" sqref="CF2:CF29" xr:uid="{00000000-0002-0000-0600-000006000000}">
      <formula1>"普通-员工,普通-主管,普通-经理,高端,无"</formula1>
    </dataValidation>
    <dataValidation type="list" allowBlank="1" showInputMessage="1" showErrorMessage="1" sqref="CN3:CN29 EP3" xr:uid="{00000000-0002-0000-0600-000007000000}">
      <formula1>"上海HROne,北京HROne,昆山HROne,客户账户,其他,无"</formula1>
    </dataValidation>
    <dataValidation type="list" allowBlank="1" showInputMessage="1" showErrorMessage="1" sqref="F2:F3" xr:uid="{9F2AF183-4C8D-410E-92A2-9E0A0E0A667F}">
      <formula1>"Agency,Dispatching,Consultant,Other"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E3DE-2F4B-444F-83AE-1965AEFF9EF0}">
  <dimension ref="A1:AB308"/>
  <sheetViews>
    <sheetView workbookViewId="0">
      <pane xSplit="4" ySplit="1" topLeftCell="N2" activePane="bottomRight" state="frozen"/>
      <selection pane="bottomRight" activeCell="Q2" sqref="Q2"/>
      <selection pane="bottomLeft" activeCell="A2" sqref="A2"/>
      <selection pane="topRight" activeCell="E1" sqref="E1"/>
    </sheetView>
  </sheetViews>
  <sheetFormatPr defaultRowHeight="12.6"/>
  <sheetData>
    <row r="1" spans="1:28">
      <c r="A1" s="136" t="s">
        <v>368</v>
      </c>
      <c r="B1" s="136" t="s">
        <v>369</v>
      </c>
      <c r="C1" s="136" t="s">
        <v>259</v>
      </c>
      <c r="D1" s="136" t="s">
        <v>370</v>
      </c>
      <c r="E1" s="136" t="s">
        <v>371</v>
      </c>
      <c r="F1" s="136" t="s">
        <v>372</v>
      </c>
      <c r="G1" s="136" t="s">
        <v>373</v>
      </c>
      <c r="H1" s="136" t="s">
        <v>374</v>
      </c>
      <c r="I1" s="136" t="s">
        <v>375</v>
      </c>
      <c r="J1" s="136" t="s">
        <v>376</v>
      </c>
      <c r="K1" s="136" t="s">
        <v>377</v>
      </c>
      <c r="L1" s="136" t="s">
        <v>378</v>
      </c>
      <c r="M1" s="136" t="s">
        <v>287</v>
      </c>
      <c r="N1" s="136" t="s">
        <v>288</v>
      </c>
      <c r="O1" s="136" t="s">
        <v>289</v>
      </c>
      <c r="P1" s="136" t="s">
        <v>290</v>
      </c>
      <c r="Q1" s="136" t="s">
        <v>291</v>
      </c>
      <c r="R1" s="136" t="s">
        <v>292</v>
      </c>
      <c r="S1" s="136" t="s">
        <v>379</v>
      </c>
      <c r="T1" s="136" t="s">
        <v>380</v>
      </c>
      <c r="U1" s="136" t="s">
        <v>293</v>
      </c>
      <c r="V1" s="136" t="s">
        <v>66</v>
      </c>
      <c r="W1" s="136" t="s">
        <v>381</v>
      </c>
      <c r="X1" s="136" t="s">
        <v>382</v>
      </c>
      <c r="Y1" s="136" t="s">
        <v>383</v>
      </c>
      <c r="Z1" s="136" t="s">
        <v>384</v>
      </c>
      <c r="AA1" s="136" t="s">
        <v>385</v>
      </c>
      <c r="AB1" s="136" t="s">
        <v>386</v>
      </c>
    </row>
    <row r="2" spans="1:28">
      <c r="A2" s="136"/>
      <c r="B2" s="136" t="s">
        <v>348</v>
      </c>
      <c r="C2" s="136"/>
      <c r="D2" s="136" t="s">
        <v>357</v>
      </c>
      <c r="E2" s="136"/>
      <c r="F2" s="136"/>
      <c r="G2" s="207"/>
      <c r="H2" s="207"/>
      <c r="I2" s="207"/>
      <c r="J2" s="207"/>
      <c r="K2" s="207"/>
      <c r="L2" s="207"/>
      <c r="M2" s="207">
        <v>24000</v>
      </c>
      <c r="N2" s="207"/>
      <c r="O2" s="207">
        <v>6000</v>
      </c>
      <c r="P2" s="207"/>
      <c r="Q2" s="207">
        <v>18000</v>
      </c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136"/>
    </row>
    <row r="3" spans="1:28">
      <c r="A3" s="136"/>
      <c r="B3" s="136"/>
      <c r="C3" s="136"/>
      <c r="D3" s="136"/>
      <c r="E3" s="136"/>
      <c r="F3" s="136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136"/>
    </row>
    <row r="4" spans="1:28">
      <c r="A4" s="136"/>
      <c r="B4" s="136"/>
      <c r="C4" s="136"/>
      <c r="D4" s="136"/>
      <c r="E4" s="136"/>
      <c r="F4" s="136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136"/>
    </row>
    <row r="5" spans="1:28">
      <c r="A5" s="136"/>
      <c r="B5" s="136"/>
      <c r="C5" s="136"/>
      <c r="D5" s="136"/>
      <c r="E5" s="136"/>
      <c r="F5" s="136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136"/>
    </row>
    <row r="6" spans="1:28">
      <c r="A6" s="136"/>
      <c r="B6" s="136"/>
      <c r="C6" s="136"/>
      <c r="D6" s="136"/>
      <c r="E6" s="136"/>
      <c r="F6" s="136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136"/>
    </row>
    <row r="7" spans="1:28">
      <c r="A7" s="136"/>
      <c r="B7" s="136"/>
      <c r="C7" s="136"/>
      <c r="D7" s="136"/>
      <c r="E7" s="136"/>
      <c r="F7" s="136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136"/>
    </row>
    <row r="8" spans="1:28">
      <c r="A8" s="136"/>
      <c r="B8" s="136"/>
      <c r="C8" s="136"/>
      <c r="D8" s="136"/>
      <c r="E8" s="136"/>
      <c r="F8" s="136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136"/>
    </row>
    <row r="9" spans="1:28">
      <c r="A9" s="136"/>
      <c r="B9" s="136"/>
      <c r="C9" s="136"/>
      <c r="D9" s="136"/>
      <c r="E9" s="136"/>
      <c r="F9" s="136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136"/>
    </row>
    <row r="10" spans="1:28">
      <c r="A10" s="136"/>
      <c r="B10" s="136"/>
      <c r="C10" s="136"/>
      <c r="D10" s="136"/>
      <c r="E10" s="136"/>
      <c r="F10" s="136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136"/>
    </row>
    <row r="11" spans="1:28">
      <c r="A11" s="136"/>
      <c r="B11" s="136"/>
      <c r="C11" s="136"/>
      <c r="D11" s="136"/>
      <c r="E11" s="136"/>
      <c r="F11" s="136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136"/>
    </row>
    <row r="12" spans="1:28">
      <c r="A12" s="136"/>
      <c r="B12" s="136"/>
      <c r="C12" s="136"/>
      <c r="D12" s="136"/>
      <c r="E12" s="136"/>
      <c r="F12" s="136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136"/>
    </row>
    <row r="13" spans="1:28">
      <c r="A13" s="136"/>
      <c r="B13" s="136"/>
      <c r="C13" s="136"/>
      <c r="D13" s="136"/>
      <c r="E13" s="136"/>
      <c r="F13" s="136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136"/>
    </row>
    <row r="14" spans="1:28">
      <c r="A14" s="136"/>
      <c r="B14" s="136"/>
      <c r="C14" s="136"/>
      <c r="D14" s="136"/>
      <c r="E14" s="136"/>
      <c r="F14" s="136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136"/>
    </row>
    <row r="15" spans="1:28">
      <c r="A15" s="136"/>
      <c r="B15" s="136"/>
      <c r="C15" s="136"/>
      <c r="D15" s="136"/>
      <c r="E15" s="136"/>
      <c r="F15" s="136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136"/>
    </row>
    <row r="16" spans="1:28">
      <c r="A16" s="136"/>
      <c r="B16" s="136"/>
      <c r="C16" s="136"/>
      <c r="D16" s="136"/>
      <c r="E16" s="136"/>
      <c r="F16" s="136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136"/>
    </row>
    <row r="17" spans="1:27">
      <c r="A17" s="136"/>
      <c r="B17" s="136"/>
      <c r="C17" s="136"/>
      <c r="D17" s="136"/>
      <c r="E17" s="136"/>
      <c r="F17" s="136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136"/>
    </row>
    <row r="18" spans="1:27">
      <c r="A18" s="136"/>
      <c r="B18" s="136"/>
      <c r="C18" s="136"/>
      <c r="D18" s="136"/>
      <c r="E18" s="136"/>
      <c r="F18" s="136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136"/>
    </row>
    <row r="19" spans="1:27">
      <c r="A19" s="136"/>
      <c r="B19" s="136"/>
      <c r="C19" s="136"/>
      <c r="D19" s="136"/>
      <c r="E19" s="136"/>
      <c r="F19" s="136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136"/>
    </row>
    <row r="20" spans="1:27">
      <c r="A20" s="136"/>
      <c r="B20" s="136"/>
      <c r="C20" s="136"/>
      <c r="D20" s="136"/>
      <c r="E20" s="136"/>
      <c r="F20" s="136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136"/>
    </row>
    <row r="21" spans="1:27">
      <c r="A21" s="136"/>
      <c r="B21" s="136"/>
      <c r="C21" s="136"/>
      <c r="D21" s="136"/>
      <c r="E21" s="136"/>
      <c r="F21" s="136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136"/>
    </row>
    <row r="22" spans="1:27">
      <c r="A22" s="136"/>
      <c r="B22" s="136"/>
      <c r="C22" s="136"/>
      <c r="D22" s="136"/>
      <c r="E22" s="136"/>
      <c r="F22" s="136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136"/>
    </row>
    <row r="23" spans="1:27">
      <c r="A23" s="136"/>
      <c r="B23" s="136"/>
      <c r="C23" s="136"/>
      <c r="D23" s="136"/>
      <c r="E23" s="136"/>
      <c r="F23" s="136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136"/>
    </row>
    <row r="24" spans="1:27">
      <c r="A24" s="136"/>
      <c r="B24" s="136"/>
      <c r="C24" s="136"/>
      <c r="D24" s="136"/>
      <c r="E24" s="136"/>
      <c r="F24" s="136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136"/>
    </row>
    <row r="25" spans="1:27">
      <c r="A25" s="136"/>
      <c r="B25" s="136"/>
      <c r="C25" s="136"/>
      <c r="D25" s="136"/>
      <c r="E25" s="136"/>
      <c r="F25" s="136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136"/>
    </row>
    <row r="26" spans="1:27">
      <c r="A26" s="136"/>
      <c r="B26" s="136"/>
      <c r="C26" s="136"/>
      <c r="D26" s="136"/>
      <c r="E26" s="136"/>
      <c r="F26" s="136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136"/>
    </row>
    <row r="27" spans="1:27">
      <c r="A27" s="136"/>
      <c r="B27" s="136"/>
      <c r="C27" s="136"/>
      <c r="D27" s="136"/>
      <c r="E27" s="136"/>
      <c r="F27" s="136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136"/>
    </row>
    <row r="28" spans="1:27">
      <c r="A28" s="136"/>
      <c r="B28" s="136"/>
      <c r="C28" s="136"/>
      <c r="D28" s="136"/>
      <c r="E28" s="136"/>
      <c r="F28" s="136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136"/>
    </row>
    <row r="29" spans="1:27">
      <c r="A29" s="136"/>
      <c r="B29" s="136"/>
      <c r="C29" s="136"/>
      <c r="D29" s="136"/>
      <c r="E29" s="136"/>
      <c r="F29" s="136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136"/>
    </row>
    <row r="30" spans="1:27">
      <c r="A30" s="136"/>
      <c r="B30" s="136"/>
      <c r="C30" s="136"/>
      <c r="D30" s="136"/>
      <c r="E30" s="136"/>
      <c r="F30" s="136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136"/>
    </row>
    <row r="31" spans="1:27">
      <c r="A31" s="136"/>
      <c r="B31" s="136"/>
      <c r="C31" s="136"/>
      <c r="D31" s="136"/>
      <c r="E31" s="136"/>
      <c r="F31" s="136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136"/>
    </row>
    <row r="32" spans="1:27">
      <c r="A32" s="136"/>
      <c r="B32" s="136"/>
      <c r="C32" s="136"/>
      <c r="D32" s="136"/>
      <c r="E32" s="136"/>
      <c r="F32" s="136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136"/>
    </row>
    <row r="33" spans="1:27">
      <c r="A33" s="136"/>
      <c r="B33" s="136"/>
      <c r="C33" s="136"/>
      <c r="D33" s="136"/>
      <c r="E33" s="136"/>
      <c r="F33" s="136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136"/>
    </row>
    <row r="34" spans="1:27">
      <c r="A34" s="136"/>
      <c r="B34" s="136"/>
      <c r="C34" s="136"/>
      <c r="D34" s="136"/>
      <c r="E34" s="136"/>
      <c r="F34" s="136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136"/>
    </row>
    <row r="35" spans="1:27">
      <c r="A35" s="136"/>
      <c r="B35" s="136"/>
      <c r="C35" s="136"/>
      <c r="D35" s="136"/>
      <c r="E35" s="136"/>
      <c r="F35" s="136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136"/>
    </row>
    <row r="36" spans="1:27">
      <c r="A36" s="136"/>
      <c r="B36" s="136"/>
      <c r="C36" s="136"/>
      <c r="D36" s="136"/>
      <c r="E36" s="136"/>
      <c r="F36" s="136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136"/>
    </row>
    <row r="37" spans="1:27">
      <c r="A37" s="136"/>
      <c r="B37" s="136"/>
      <c r="C37" s="136"/>
      <c r="D37" s="136"/>
      <c r="E37" s="136"/>
      <c r="F37" s="136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136"/>
    </row>
    <row r="38" spans="1:27">
      <c r="A38" s="136"/>
      <c r="B38" s="136"/>
      <c r="C38" s="136"/>
      <c r="D38" s="136"/>
      <c r="E38" s="136"/>
      <c r="F38" s="136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136"/>
    </row>
    <row r="39" spans="1:27">
      <c r="A39" s="136"/>
      <c r="B39" s="136"/>
      <c r="C39" s="136"/>
      <c r="D39" s="136"/>
      <c r="E39" s="136"/>
      <c r="F39" s="136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136"/>
    </row>
    <row r="40" spans="1:27">
      <c r="A40" s="136"/>
      <c r="B40" s="136"/>
      <c r="C40" s="136"/>
      <c r="D40" s="136"/>
      <c r="E40" s="136"/>
      <c r="F40" s="136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136"/>
    </row>
    <row r="41" spans="1:27">
      <c r="A41" s="136"/>
      <c r="B41" s="136"/>
      <c r="C41" s="136"/>
      <c r="D41" s="136"/>
      <c r="E41" s="136"/>
      <c r="F41" s="136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136"/>
    </row>
    <row r="42" spans="1:27">
      <c r="A42" s="136"/>
      <c r="B42" s="136"/>
      <c r="C42" s="136"/>
      <c r="D42" s="136"/>
      <c r="E42" s="136"/>
      <c r="F42" s="136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136"/>
    </row>
    <row r="43" spans="1:27">
      <c r="A43" s="136"/>
      <c r="B43" s="136"/>
      <c r="C43" s="136"/>
      <c r="D43" s="136"/>
      <c r="E43" s="136"/>
      <c r="F43" s="136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136"/>
    </row>
    <row r="44" spans="1:27">
      <c r="A44" s="136"/>
      <c r="B44" s="136"/>
      <c r="C44" s="136"/>
      <c r="D44" s="136"/>
      <c r="E44" s="136"/>
      <c r="F44" s="136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136"/>
    </row>
    <row r="45" spans="1:27">
      <c r="A45" s="136"/>
      <c r="B45" s="136"/>
      <c r="C45" s="136"/>
      <c r="D45" s="136"/>
      <c r="E45" s="136"/>
      <c r="F45" s="136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136"/>
    </row>
    <row r="46" spans="1:27">
      <c r="A46" s="136"/>
      <c r="B46" s="136"/>
      <c r="C46" s="136"/>
      <c r="D46" s="136"/>
      <c r="E46" s="136"/>
      <c r="F46" s="136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136"/>
    </row>
    <row r="47" spans="1:27">
      <c r="A47" s="136"/>
      <c r="B47" s="136"/>
      <c r="C47" s="136"/>
      <c r="D47" s="136"/>
      <c r="E47" s="136"/>
      <c r="F47" s="136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136"/>
    </row>
    <row r="48" spans="1:27">
      <c r="A48" s="136"/>
      <c r="B48" s="136"/>
      <c r="C48" s="136"/>
      <c r="D48" s="136"/>
      <c r="E48" s="136"/>
      <c r="F48" s="136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136"/>
    </row>
    <row r="49" spans="1:27">
      <c r="A49" s="136"/>
      <c r="B49" s="136"/>
      <c r="C49" s="136"/>
      <c r="D49" s="136"/>
      <c r="E49" s="136"/>
      <c r="F49" s="136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136"/>
    </row>
    <row r="50" spans="1:27">
      <c r="A50" s="136"/>
      <c r="B50" s="136"/>
      <c r="C50" s="136"/>
      <c r="D50" s="136"/>
      <c r="E50" s="136"/>
      <c r="F50" s="136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136"/>
    </row>
    <row r="51" spans="1:27">
      <c r="A51" s="136"/>
      <c r="B51" s="136"/>
      <c r="C51" s="136"/>
      <c r="D51" s="136"/>
      <c r="E51" s="136"/>
      <c r="F51" s="136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136"/>
    </row>
    <row r="52" spans="1:27">
      <c r="A52" s="136"/>
      <c r="B52" s="136"/>
      <c r="C52" s="136"/>
      <c r="D52" s="136"/>
      <c r="E52" s="136"/>
      <c r="F52" s="136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136"/>
    </row>
    <row r="53" spans="1:27">
      <c r="A53" s="136"/>
      <c r="B53" s="136"/>
      <c r="C53" s="136"/>
      <c r="D53" s="136"/>
      <c r="E53" s="136"/>
      <c r="F53" s="136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136"/>
    </row>
    <row r="54" spans="1:27">
      <c r="A54" s="136"/>
      <c r="B54" s="136"/>
      <c r="C54" s="136"/>
      <c r="D54" s="136"/>
      <c r="E54" s="136"/>
      <c r="F54" s="136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136"/>
    </row>
    <row r="55" spans="1:27">
      <c r="A55" s="136"/>
      <c r="B55" s="136"/>
      <c r="C55" s="136"/>
      <c r="D55" s="136"/>
      <c r="E55" s="136"/>
      <c r="F55" s="136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136"/>
    </row>
    <row r="56" spans="1:27">
      <c r="A56" s="136"/>
      <c r="B56" s="136"/>
      <c r="C56" s="136"/>
      <c r="D56" s="136"/>
      <c r="E56" s="136"/>
      <c r="F56" s="136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136"/>
    </row>
    <row r="57" spans="1:27">
      <c r="A57" s="136"/>
      <c r="B57" s="136"/>
      <c r="C57" s="136"/>
      <c r="D57" s="136"/>
      <c r="E57" s="136"/>
      <c r="F57" s="136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136"/>
    </row>
    <row r="58" spans="1:27">
      <c r="A58" s="136"/>
      <c r="B58" s="136"/>
      <c r="C58" s="136"/>
      <c r="D58" s="136"/>
      <c r="E58" s="136"/>
      <c r="F58" s="136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136"/>
    </row>
    <row r="59" spans="1:27">
      <c r="A59" s="136"/>
      <c r="B59" s="136"/>
      <c r="C59" s="136"/>
      <c r="D59" s="136"/>
      <c r="E59" s="136"/>
      <c r="F59" s="136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136"/>
    </row>
    <row r="60" spans="1:27">
      <c r="A60" s="136"/>
      <c r="B60" s="136"/>
      <c r="C60" s="136"/>
      <c r="D60" s="136"/>
      <c r="E60" s="136"/>
      <c r="F60" s="136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136"/>
    </row>
    <row r="61" spans="1:27">
      <c r="A61" s="136"/>
      <c r="B61" s="136"/>
      <c r="C61" s="136"/>
      <c r="D61" s="136"/>
      <c r="E61" s="136"/>
      <c r="F61" s="136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136"/>
    </row>
    <row r="62" spans="1:27">
      <c r="A62" s="136"/>
      <c r="B62" s="136"/>
      <c r="C62" s="136"/>
      <c r="D62" s="136"/>
      <c r="E62" s="136"/>
      <c r="F62" s="136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136"/>
    </row>
    <row r="63" spans="1:27">
      <c r="A63" s="136"/>
      <c r="B63" s="136"/>
      <c r="C63" s="136"/>
      <c r="D63" s="136"/>
      <c r="E63" s="136"/>
      <c r="F63" s="136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136"/>
    </row>
    <row r="64" spans="1:27">
      <c r="A64" s="136"/>
      <c r="B64" s="136"/>
      <c r="C64" s="136"/>
      <c r="D64" s="136"/>
      <c r="E64" s="136"/>
      <c r="F64" s="136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136"/>
    </row>
    <row r="65" spans="1:27">
      <c r="A65" s="136"/>
      <c r="B65" s="136"/>
      <c r="C65" s="136"/>
      <c r="D65" s="136"/>
      <c r="E65" s="136"/>
      <c r="F65" s="136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136"/>
    </row>
    <row r="66" spans="1:27">
      <c r="A66" s="136"/>
      <c r="B66" s="136"/>
      <c r="C66" s="136"/>
      <c r="D66" s="136"/>
      <c r="E66" s="136"/>
      <c r="F66" s="136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136"/>
    </row>
    <row r="67" spans="1:27">
      <c r="A67" s="136"/>
      <c r="B67" s="136"/>
      <c r="C67" s="136"/>
      <c r="D67" s="136"/>
      <c r="E67" s="136"/>
      <c r="F67" s="136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136"/>
    </row>
    <row r="68" spans="1:27">
      <c r="A68" s="136"/>
      <c r="B68" s="136"/>
      <c r="C68" s="136"/>
      <c r="D68" s="136"/>
      <c r="E68" s="136"/>
      <c r="F68" s="136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136"/>
    </row>
    <row r="69" spans="1:27">
      <c r="A69" s="136"/>
      <c r="B69" s="136"/>
      <c r="C69" s="136"/>
      <c r="D69" s="136"/>
      <c r="E69" s="136"/>
      <c r="F69" s="136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136"/>
    </row>
    <row r="70" spans="1:27">
      <c r="A70" s="136"/>
      <c r="B70" s="136"/>
      <c r="C70" s="136"/>
      <c r="D70" s="136"/>
      <c r="E70" s="136"/>
      <c r="F70" s="136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136"/>
    </row>
    <row r="71" spans="1:27">
      <c r="A71" s="136"/>
      <c r="B71" s="136"/>
      <c r="C71" s="136"/>
      <c r="D71" s="136"/>
      <c r="E71" s="136"/>
      <c r="F71" s="136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136"/>
    </row>
    <row r="72" spans="1:27">
      <c r="A72" s="136"/>
      <c r="B72" s="136"/>
      <c r="C72" s="136"/>
      <c r="D72" s="136"/>
      <c r="E72" s="136"/>
      <c r="F72" s="136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136"/>
    </row>
    <row r="73" spans="1:27">
      <c r="A73" s="136"/>
      <c r="B73" s="136"/>
      <c r="C73" s="136"/>
      <c r="D73" s="136"/>
      <c r="E73" s="136"/>
      <c r="F73" s="136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136"/>
    </row>
    <row r="74" spans="1:27">
      <c r="A74" s="136"/>
      <c r="B74" s="136"/>
      <c r="C74" s="136"/>
      <c r="D74" s="136"/>
      <c r="E74" s="136"/>
      <c r="F74" s="136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136"/>
    </row>
    <row r="75" spans="1:27">
      <c r="A75" s="136"/>
      <c r="B75" s="136"/>
      <c r="C75" s="136"/>
      <c r="D75" s="136"/>
      <c r="E75" s="136"/>
      <c r="F75" s="136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136"/>
    </row>
    <row r="76" spans="1:27">
      <c r="A76" s="136"/>
      <c r="B76" s="136"/>
      <c r="C76" s="136"/>
      <c r="D76" s="136"/>
      <c r="E76" s="136"/>
      <c r="F76" s="136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136"/>
    </row>
    <row r="77" spans="1:27">
      <c r="A77" s="136"/>
      <c r="B77" s="136"/>
      <c r="C77" s="136"/>
      <c r="D77" s="136"/>
      <c r="E77" s="136"/>
      <c r="F77" s="136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136"/>
    </row>
    <row r="78" spans="1:27">
      <c r="A78" s="136"/>
      <c r="B78" s="136"/>
      <c r="C78" s="136"/>
      <c r="D78" s="136"/>
      <c r="E78" s="136"/>
      <c r="F78" s="136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136"/>
    </row>
    <row r="79" spans="1:27">
      <c r="A79" s="136"/>
      <c r="B79" s="136"/>
      <c r="C79" s="136"/>
      <c r="D79" s="136"/>
      <c r="E79" s="136"/>
      <c r="F79" s="136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136"/>
    </row>
    <row r="80" spans="1:27">
      <c r="A80" s="136"/>
      <c r="B80" s="136"/>
      <c r="C80" s="136"/>
      <c r="D80" s="136"/>
      <c r="E80" s="136"/>
      <c r="F80" s="136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136"/>
    </row>
    <row r="81" spans="1:27">
      <c r="A81" s="136"/>
      <c r="B81" s="136"/>
      <c r="C81" s="136"/>
      <c r="D81" s="136"/>
      <c r="E81" s="136"/>
      <c r="F81" s="136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136"/>
    </row>
    <row r="82" spans="1:27">
      <c r="A82" s="136"/>
      <c r="B82" s="136"/>
      <c r="C82" s="136"/>
      <c r="D82" s="136"/>
      <c r="E82" s="136"/>
      <c r="F82" s="136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136"/>
    </row>
    <row r="83" spans="1:27">
      <c r="A83" s="136"/>
      <c r="B83" s="136"/>
      <c r="C83" s="136"/>
      <c r="D83" s="136"/>
      <c r="E83" s="136"/>
      <c r="F83" s="136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136"/>
    </row>
    <row r="84" spans="1:27">
      <c r="A84" s="136"/>
      <c r="B84" s="136"/>
      <c r="C84" s="136"/>
      <c r="D84" s="136"/>
      <c r="E84" s="136"/>
      <c r="F84" s="136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136"/>
    </row>
    <row r="85" spans="1:27">
      <c r="A85" s="136"/>
      <c r="B85" s="136"/>
      <c r="C85" s="136"/>
      <c r="D85" s="136"/>
      <c r="E85" s="136"/>
      <c r="F85" s="136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136"/>
    </row>
    <row r="86" spans="1:27">
      <c r="A86" s="136"/>
      <c r="B86" s="136"/>
      <c r="C86" s="136"/>
      <c r="D86" s="136"/>
      <c r="E86" s="136"/>
      <c r="F86" s="136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136"/>
    </row>
    <row r="87" spans="1:27">
      <c r="A87" s="136"/>
      <c r="B87" s="136"/>
      <c r="C87" s="136"/>
      <c r="D87" s="136"/>
      <c r="E87" s="136"/>
      <c r="F87" s="136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136"/>
    </row>
    <row r="88" spans="1:27">
      <c r="A88" s="136"/>
      <c r="B88" s="136"/>
      <c r="C88" s="136"/>
      <c r="D88" s="136"/>
      <c r="E88" s="136"/>
      <c r="F88" s="136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136"/>
    </row>
    <row r="89" spans="1:27">
      <c r="A89" s="136"/>
      <c r="B89" s="136"/>
      <c r="C89" s="136"/>
      <c r="D89" s="136"/>
      <c r="E89" s="136"/>
      <c r="F89" s="136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136"/>
    </row>
    <row r="90" spans="1:27">
      <c r="A90" s="136"/>
      <c r="B90" s="136"/>
      <c r="C90" s="136"/>
      <c r="D90" s="136"/>
      <c r="E90" s="136"/>
      <c r="F90" s="136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136"/>
    </row>
    <row r="91" spans="1:27">
      <c r="A91" s="136"/>
      <c r="B91" s="136"/>
      <c r="C91" s="136"/>
      <c r="D91" s="136"/>
      <c r="E91" s="136"/>
      <c r="F91" s="136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136"/>
    </row>
    <row r="92" spans="1:27">
      <c r="A92" s="136"/>
      <c r="B92" s="136"/>
      <c r="C92" s="136"/>
      <c r="D92" s="136"/>
      <c r="E92" s="136"/>
      <c r="F92" s="136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136"/>
    </row>
    <row r="93" spans="1:27">
      <c r="A93" s="136"/>
      <c r="B93" s="136"/>
      <c r="C93" s="136"/>
      <c r="D93" s="136"/>
      <c r="E93" s="136"/>
      <c r="F93" s="136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136"/>
    </row>
    <row r="94" spans="1:27">
      <c r="A94" s="136"/>
      <c r="B94" s="136"/>
      <c r="C94" s="136"/>
      <c r="D94" s="136"/>
      <c r="E94" s="136"/>
      <c r="F94" s="136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136"/>
    </row>
    <row r="95" spans="1:27">
      <c r="A95" s="136"/>
      <c r="B95" s="136"/>
      <c r="C95" s="136"/>
      <c r="D95" s="136"/>
      <c r="E95" s="136"/>
      <c r="F95" s="136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136"/>
    </row>
    <row r="96" spans="1:27">
      <c r="A96" s="136"/>
      <c r="B96" s="136"/>
      <c r="C96" s="136"/>
      <c r="D96" s="136"/>
      <c r="E96" s="136"/>
      <c r="F96" s="136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136"/>
    </row>
    <row r="97" spans="1:27">
      <c r="A97" s="136"/>
      <c r="B97" s="136"/>
      <c r="C97" s="136"/>
      <c r="D97" s="136"/>
      <c r="E97" s="136"/>
      <c r="F97" s="136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136"/>
    </row>
    <row r="98" spans="1:27">
      <c r="A98" s="136"/>
      <c r="B98" s="136"/>
      <c r="C98" s="136"/>
      <c r="D98" s="136"/>
      <c r="E98" s="136"/>
      <c r="F98" s="136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136"/>
    </row>
    <row r="99" spans="1:27">
      <c r="A99" s="136"/>
      <c r="B99" s="136"/>
      <c r="C99" s="136"/>
      <c r="D99" s="136"/>
      <c r="E99" s="136"/>
      <c r="F99" s="136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136"/>
    </row>
    <row r="100" spans="1:27">
      <c r="A100" s="136"/>
      <c r="B100" s="136"/>
      <c r="C100" s="136"/>
      <c r="D100" s="136"/>
      <c r="E100" s="136"/>
      <c r="F100" s="136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136"/>
    </row>
    <row r="101" spans="1:27">
      <c r="A101" s="136"/>
      <c r="B101" s="136"/>
      <c r="C101" s="136"/>
      <c r="D101" s="136"/>
      <c r="E101" s="136"/>
      <c r="F101" s="136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136"/>
    </row>
    <row r="102" spans="1:27">
      <c r="A102" s="136"/>
      <c r="B102" s="136"/>
      <c r="C102" s="136"/>
      <c r="D102" s="136"/>
      <c r="E102" s="136"/>
      <c r="F102" s="136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136"/>
    </row>
    <row r="103" spans="1:27">
      <c r="A103" s="136"/>
      <c r="B103" s="136"/>
      <c r="C103" s="136"/>
      <c r="D103" s="136"/>
      <c r="E103" s="136"/>
      <c r="F103" s="136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136"/>
    </row>
    <row r="104" spans="1:27">
      <c r="A104" s="136"/>
      <c r="B104" s="136"/>
      <c r="C104" s="136"/>
      <c r="D104" s="136"/>
      <c r="E104" s="136"/>
      <c r="F104" s="136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136"/>
    </row>
    <row r="105" spans="1:27">
      <c r="A105" s="136"/>
      <c r="B105" s="136"/>
      <c r="C105" s="136"/>
      <c r="D105" s="136"/>
      <c r="E105" s="136"/>
      <c r="F105" s="136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136"/>
    </row>
    <row r="106" spans="1:27">
      <c r="A106" s="136"/>
      <c r="B106" s="136"/>
      <c r="C106" s="136"/>
      <c r="D106" s="136"/>
      <c r="E106" s="136"/>
      <c r="F106" s="136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136"/>
    </row>
    <row r="107" spans="1:27">
      <c r="A107" s="136"/>
      <c r="B107" s="136"/>
      <c r="C107" s="136"/>
      <c r="D107" s="136"/>
      <c r="E107" s="136"/>
      <c r="F107" s="136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136"/>
    </row>
    <row r="108" spans="1:27">
      <c r="A108" s="136"/>
      <c r="B108" s="136"/>
      <c r="C108" s="136"/>
      <c r="D108" s="136"/>
      <c r="E108" s="136"/>
      <c r="F108" s="136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136"/>
    </row>
    <row r="109" spans="1:27">
      <c r="A109" s="136"/>
      <c r="B109" s="136"/>
      <c r="C109" s="136"/>
      <c r="D109" s="136"/>
      <c r="E109" s="136"/>
      <c r="F109" s="136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136"/>
    </row>
    <row r="110" spans="1:27">
      <c r="A110" s="136"/>
      <c r="B110" s="136"/>
      <c r="C110" s="136"/>
      <c r="D110" s="136"/>
      <c r="E110" s="136"/>
      <c r="F110" s="136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136"/>
    </row>
    <row r="111" spans="1:27">
      <c r="A111" s="136"/>
      <c r="B111" s="136"/>
      <c r="C111" s="136"/>
      <c r="D111" s="136"/>
      <c r="E111" s="136"/>
      <c r="F111" s="136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136"/>
    </row>
    <row r="112" spans="1:27">
      <c r="A112" s="136"/>
      <c r="B112" s="136"/>
      <c r="C112" s="136"/>
      <c r="D112" s="136"/>
      <c r="E112" s="136"/>
      <c r="F112" s="136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136"/>
    </row>
    <row r="113" spans="1:27">
      <c r="A113" s="136"/>
      <c r="B113" s="136"/>
      <c r="C113" s="136"/>
      <c r="D113" s="136"/>
      <c r="E113" s="136"/>
      <c r="F113" s="136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136"/>
    </row>
    <row r="114" spans="1:27">
      <c r="A114" s="136"/>
      <c r="B114" s="136"/>
      <c r="C114" s="136"/>
      <c r="D114" s="136"/>
      <c r="E114" s="136"/>
      <c r="F114" s="136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136"/>
    </row>
    <row r="115" spans="1:27">
      <c r="A115" s="136"/>
      <c r="B115" s="136"/>
      <c r="C115" s="136"/>
      <c r="D115" s="136"/>
      <c r="E115" s="136"/>
      <c r="F115" s="136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136"/>
    </row>
    <row r="116" spans="1:27">
      <c r="A116" s="136"/>
      <c r="B116" s="136"/>
      <c r="C116" s="136"/>
      <c r="D116" s="136"/>
      <c r="E116" s="136"/>
      <c r="F116" s="136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136"/>
    </row>
    <row r="117" spans="1:27">
      <c r="A117" s="136"/>
      <c r="B117" s="136"/>
      <c r="C117" s="136"/>
      <c r="D117" s="136"/>
      <c r="E117" s="136"/>
      <c r="F117" s="136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136"/>
    </row>
    <row r="118" spans="1:27">
      <c r="A118" s="136"/>
      <c r="B118" s="136"/>
      <c r="C118" s="136"/>
      <c r="D118" s="136"/>
      <c r="E118" s="136"/>
      <c r="F118" s="136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136"/>
    </row>
    <row r="119" spans="1:27">
      <c r="A119" s="136"/>
      <c r="B119" s="136"/>
      <c r="C119" s="136"/>
      <c r="D119" s="136"/>
      <c r="E119" s="136"/>
      <c r="F119" s="136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136"/>
    </row>
    <row r="120" spans="1:27">
      <c r="A120" s="136"/>
      <c r="B120" s="136"/>
      <c r="C120" s="136"/>
      <c r="D120" s="136"/>
      <c r="E120" s="136"/>
      <c r="F120" s="136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136"/>
    </row>
    <row r="121" spans="1:27">
      <c r="A121" s="136"/>
      <c r="B121" s="136"/>
      <c r="C121" s="136"/>
      <c r="D121" s="136"/>
      <c r="E121" s="136"/>
      <c r="F121" s="136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136"/>
    </row>
    <row r="122" spans="1:27">
      <c r="A122" s="136"/>
      <c r="B122" s="136"/>
      <c r="C122" s="136"/>
      <c r="D122" s="136"/>
      <c r="E122" s="136"/>
      <c r="F122" s="136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136"/>
    </row>
    <row r="123" spans="1:27">
      <c r="A123" s="136"/>
      <c r="B123" s="136"/>
      <c r="C123" s="136"/>
      <c r="D123" s="136"/>
      <c r="E123" s="136"/>
      <c r="F123" s="136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136"/>
    </row>
    <row r="124" spans="1:27">
      <c r="A124" s="136"/>
      <c r="B124" s="136"/>
      <c r="C124" s="136"/>
      <c r="D124" s="136"/>
      <c r="E124" s="136"/>
      <c r="F124" s="136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136"/>
    </row>
    <row r="125" spans="1:27">
      <c r="A125" s="136"/>
      <c r="B125" s="136"/>
      <c r="C125" s="136"/>
      <c r="D125" s="136"/>
      <c r="E125" s="136"/>
      <c r="F125" s="136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136"/>
    </row>
    <row r="126" spans="1:27">
      <c r="A126" s="136"/>
      <c r="B126" s="136"/>
      <c r="C126" s="136"/>
      <c r="D126" s="136"/>
      <c r="E126" s="136"/>
      <c r="F126" s="136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136"/>
    </row>
    <row r="127" spans="1:27">
      <c r="A127" s="136"/>
      <c r="B127" s="136"/>
      <c r="C127" s="136"/>
      <c r="D127" s="136"/>
      <c r="E127" s="136"/>
      <c r="F127" s="136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136"/>
    </row>
    <row r="128" spans="1:27">
      <c r="A128" s="136"/>
      <c r="B128" s="136"/>
      <c r="C128" s="136"/>
      <c r="D128" s="136"/>
      <c r="E128" s="136"/>
      <c r="F128" s="136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136"/>
    </row>
    <row r="129" spans="1:27">
      <c r="A129" s="136"/>
      <c r="B129" s="136"/>
      <c r="C129" s="136"/>
      <c r="D129" s="136"/>
      <c r="E129" s="136"/>
      <c r="F129" s="136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136"/>
    </row>
    <row r="130" spans="1:27">
      <c r="A130" s="136"/>
      <c r="B130" s="136"/>
      <c r="C130" s="136"/>
      <c r="D130" s="136"/>
      <c r="E130" s="136"/>
      <c r="F130" s="136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136"/>
    </row>
    <row r="131" spans="1:27">
      <c r="A131" s="136"/>
      <c r="B131" s="136"/>
      <c r="C131" s="136"/>
      <c r="D131" s="136"/>
      <c r="E131" s="136"/>
      <c r="F131" s="136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136"/>
    </row>
    <row r="132" spans="1:27">
      <c r="A132" s="136"/>
      <c r="B132" s="136"/>
      <c r="C132" s="136"/>
      <c r="D132" s="136"/>
      <c r="E132" s="136"/>
      <c r="F132" s="136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136"/>
    </row>
    <row r="133" spans="1:27">
      <c r="A133" s="136"/>
      <c r="B133" s="136"/>
      <c r="C133" s="136"/>
      <c r="D133" s="136"/>
      <c r="E133" s="136"/>
      <c r="F133" s="136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136"/>
    </row>
    <row r="134" spans="1:27">
      <c r="A134" s="136"/>
      <c r="B134" s="136"/>
      <c r="C134" s="136"/>
      <c r="D134" s="136"/>
      <c r="E134" s="136"/>
      <c r="F134" s="136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136"/>
    </row>
    <row r="135" spans="1:27">
      <c r="A135" s="136"/>
      <c r="B135" s="136"/>
      <c r="C135" s="136"/>
      <c r="D135" s="136"/>
      <c r="E135" s="136"/>
      <c r="F135" s="136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136"/>
    </row>
    <row r="136" spans="1:27">
      <c r="A136" s="136"/>
      <c r="B136" s="136"/>
      <c r="C136" s="136"/>
      <c r="D136" s="136"/>
      <c r="E136" s="136"/>
      <c r="F136" s="136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136"/>
    </row>
    <row r="137" spans="1:27">
      <c r="A137" s="136"/>
      <c r="B137" s="136"/>
      <c r="C137" s="136"/>
      <c r="D137" s="136"/>
      <c r="E137" s="136"/>
      <c r="F137" s="136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136"/>
    </row>
    <row r="138" spans="1:27">
      <c r="A138" s="136"/>
      <c r="B138" s="136"/>
      <c r="C138" s="136"/>
      <c r="D138" s="136"/>
      <c r="E138" s="136"/>
      <c r="F138" s="136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136"/>
    </row>
    <row r="139" spans="1:27">
      <c r="A139" s="136"/>
      <c r="B139" s="136"/>
      <c r="C139" s="136"/>
      <c r="D139" s="136"/>
      <c r="E139" s="136"/>
      <c r="F139" s="136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136"/>
    </row>
    <row r="140" spans="1:27">
      <c r="A140" s="136"/>
      <c r="B140" s="136"/>
      <c r="C140" s="136"/>
      <c r="D140" s="136"/>
      <c r="E140" s="136"/>
      <c r="F140" s="136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136"/>
    </row>
    <row r="141" spans="1:27">
      <c r="A141" s="136"/>
      <c r="B141" s="136"/>
      <c r="C141" s="136"/>
      <c r="D141" s="136"/>
      <c r="E141" s="136"/>
      <c r="F141" s="136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136"/>
    </row>
    <row r="142" spans="1:27">
      <c r="A142" s="136"/>
      <c r="B142" s="136"/>
      <c r="C142" s="136"/>
      <c r="D142" s="136"/>
      <c r="E142" s="136"/>
      <c r="F142" s="136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136"/>
    </row>
    <row r="143" spans="1:27">
      <c r="A143" s="136"/>
      <c r="B143" s="136"/>
      <c r="C143" s="136"/>
      <c r="D143" s="136"/>
      <c r="E143" s="136"/>
      <c r="F143" s="136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136"/>
    </row>
    <row r="144" spans="1:27">
      <c r="A144" s="136"/>
      <c r="B144" s="136"/>
      <c r="C144" s="136"/>
      <c r="D144" s="136"/>
      <c r="E144" s="136"/>
      <c r="F144" s="136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136"/>
    </row>
    <row r="145" spans="1:27">
      <c r="A145" s="136"/>
      <c r="B145" s="136"/>
      <c r="C145" s="136"/>
      <c r="D145" s="136"/>
      <c r="E145" s="136"/>
      <c r="F145" s="136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136"/>
    </row>
    <row r="146" spans="1:27">
      <c r="A146" s="136"/>
      <c r="B146" s="136"/>
      <c r="C146" s="136"/>
      <c r="D146" s="136"/>
      <c r="E146" s="136"/>
      <c r="F146" s="136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136"/>
    </row>
    <row r="147" spans="1:27">
      <c r="A147" s="136"/>
      <c r="B147" s="136"/>
      <c r="C147" s="136"/>
      <c r="D147" s="136"/>
      <c r="E147" s="136"/>
      <c r="F147" s="136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136"/>
    </row>
    <row r="148" spans="1:27">
      <c r="A148" s="136"/>
      <c r="B148" s="136"/>
      <c r="C148" s="136"/>
      <c r="D148" s="136"/>
      <c r="E148" s="136"/>
      <c r="F148" s="136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136"/>
    </row>
    <row r="149" spans="1:27">
      <c r="A149" s="136"/>
      <c r="B149" s="136"/>
      <c r="C149" s="136"/>
      <c r="D149" s="136"/>
      <c r="E149" s="136"/>
      <c r="F149" s="136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136"/>
    </row>
    <row r="150" spans="1:27">
      <c r="A150" s="136"/>
      <c r="B150" s="136"/>
      <c r="C150" s="136"/>
      <c r="D150" s="136"/>
      <c r="E150" s="136"/>
      <c r="F150" s="136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136"/>
    </row>
    <row r="151" spans="1:27">
      <c r="A151" s="136"/>
      <c r="B151" s="136"/>
      <c r="C151" s="136"/>
      <c r="D151" s="136"/>
      <c r="E151" s="136"/>
      <c r="F151" s="136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136"/>
    </row>
    <row r="152" spans="1:27">
      <c r="A152" s="136"/>
      <c r="B152" s="136"/>
      <c r="C152" s="136"/>
      <c r="D152" s="136"/>
      <c r="E152" s="136"/>
      <c r="F152" s="136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136"/>
    </row>
    <row r="153" spans="1:27">
      <c r="A153" s="136"/>
      <c r="B153" s="136"/>
      <c r="C153" s="136"/>
      <c r="D153" s="136"/>
      <c r="E153" s="136"/>
      <c r="F153" s="136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136"/>
    </row>
    <row r="154" spans="1:27">
      <c r="A154" s="136"/>
      <c r="B154" s="136"/>
      <c r="C154" s="136"/>
      <c r="D154" s="136"/>
      <c r="E154" s="136"/>
      <c r="F154" s="136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136"/>
    </row>
    <row r="155" spans="1:27">
      <c r="A155" s="136"/>
      <c r="B155" s="136"/>
      <c r="C155" s="136"/>
      <c r="D155" s="136"/>
      <c r="E155" s="136"/>
      <c r="F155" s="136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136"/>
    </row>
    <row r="156" spans="1:27">
      <c r="A156" s="136"/>
      <c r="B156" s="136"/>
      <c r="C156" s="136"/>
      <c r="D156" s="136"/>
      <c r="E156" s="136"/>
      <c r="F156" s="136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136"/>
    </row>
    <row r="157" spans="1:27">
      <c r="A157" s="136"/>
      <c r="B157" s="136"/>
      <c r="C157" s="136"/>
      <c r="D157" s="136"/>
      <c r="E157" s="136"/>
      <c r="F157" s="136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136"/>
    </row>
    <row r="158" spans="1:27">
      <c r="A158" s="136"/>
      <c r="B158" s="136"/>
      <c r="C158" s="136"/>
      <c r="D158" s="136"/>
      <c r="E158" s="136"/>
      <c r="F158" s="136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136"/>
    </row>
    <row r="159" spans="1:27">
      <c r="A159" s="136"/>
      <c r="B159" s="136"/>
      <c r="C159" s="136"/>
      <c r="D159" s="136"/>
      <c r="E159" s="136"/>
      <c r="F159" s="136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136"/>
    </row>
    <row r="160" spans="1:27">
      <c r="A160" s="136"/>
      <c r="B160" s="136"/>
      <c r="C160" s="136"/>
      <c r="D160" s="136"/>
      <c r="E160" s="136"/>
      <c r="F160" s="136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136"/>
    </row>
    <row r="161" spans="1:27">
      <c r="A161" s="136"/>
      <c r="B161" s="136"/>
      <c r="C161" s="136"/>
      <c r="D161" s="136"/>
      <c r="E161" s="136"/>
      <c r="F161" s="136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136"/>
    </row>
    <row r="162" spans="1:27">
      <c r="A162" s="136"/>
      <c r="B162" s="136"/>
      <c r="C162" s="136"/>
      <c r="D162" s="136"/>
      <c r="E162" s="136"/>
      <c r="F162" s="136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136"/>
    </row>
    <row r="163" spans="1:27">
      <c r="A163" s="136"/>
      <c r="B163" s="136"/>
      <c r="C163" s="136"/>
      <c r="D163" s="136"/>
      <c r="E163" s="136"/>
      <c r="F163" s="136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136"/>
    </row>
    <row r="164" spans="1:27">
      <c r="A164" s="136"/>
      <c r="B164" s="136"/>
      <c r="C164" s="136"/>
      <c r="D164" s="136"/>
      <c r="E164" s="136"/>
      <c r="F164" s="136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136"/>
    </row>
    <row r="165" spans="1:27">
      <c r="A165" s="136"/>
      <c r="B165" s="136"/>
      <c r="C165" s="136"/>
      <c r="D165" s="136"/>
      <c r="E165" s="136"/>
      <c r="F165" s="136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136"/>
    </row>
    <row r="166" spans="1:27">
      <c r="A166" s="136"/>
      <c r="B166" s="136"/>
      <c r="C166" s="136"/>
      <c r="D166" s="136"/>
      <c r="E166" s="136"/>
      <c r="F166" s="136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136"/>
    </row>
    <row r="167" spans="1:27">
      <c r="A167" s="136"/>
      <c r="B167" s="136"/>
      <c r="C167" s="136"/>
      <c r="D167" s="136"/>
      <c r="E167" s="136"/>
      <c r="F167" s="136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136"/>
    </row>
    <row r="168" spans="1:27">
      <c r="A168" s="136"/>
      <c r="B168" s="136"/>
      <c r="C168" s="136"/>
      <c r="D168" s="136"/>
      <c r="E168" s="136"/>
      <c r="F168" s="136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136"/>
    </row>
    <row r="169" spans="1:27">
      <c r="A169" s="136"/>
      <c r="B169" s="136"/>
      <c r="C169" s="136"/>
      <c r="D169" s="136"/>
      <c r="E169" s="136"/>
      <c r="F169" s="136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136"/>
    </row>
    <row r="170" spans="1:27">
      <c r="A170" s="136"/>
      <c r="B170" s="136"/>
      <c r="C170" s="136"/>
      <c r="D170" s="136"/>
      <c r="E170" s="136"/>
      <c r="F170" s="136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136"/>
    </row>
    <row r="171" spans="1:27">
      <c r="A171" s="136"/>
      <c r="B171" s="136"/>
      <c r="C171" s="136"/>
      <c r="D171" s="136"/>
      <c r="E171" s="136"/>
      <c r="F171" s="136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136"/>
    </row>
    <row r="172" spans="1:27">
      <c r="A172" s="136"/>
      <c r="B172" s="136"/>
      <c r="C172" s="136"/>
      <c r="D172" s="136"/>
      <c r="E172" s="136"/>
      <c r="F172" s="136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136"/>
    </row>
    <row r="173" spans="1:27">
      <c r="A173" s="136"/>
      <c r="B173" s="136"/>
      <c r="C173" s="136"/>
      <c r="D173" s="136"/>
      <c r="E173" s="136"/>
      <c r="F173" s="136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136"/>
    </row>
    <row r="174" spans="1:27">
      <c r="A174" s="136"/>
      <c r="B174" s="136"/>
      <c r="C174" s="136"/>
      <c r="D174" s="136"/>
      <c r="E174" s="136"/>
      <c r="F174" s="136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136"/>
    </row>
    <row r="175" spans="1:27">
      <c r="A175" s="136"/>
      <c r="B175" s="136"/>
      <c r="C175" s="136"/>
      <c r="D175" s="136"/>
      <c r="E175" s="136"/>
      <c r="F175" s="136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136"/>
    </row>
    <row r="176" spans="1:27">
      <c r="A176" s="136"/>
      <c r="B176" s="136"/>
      <c r="C176" s="136"/>
      <c r="D176" s="136"/>
      <c r="E176" s="136"/>
      <c r="F176" s="136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136"/>
    </row>
    <row r="177" spans="1:27">
      <c r="A177" s="136"/>
      <c r="B177" s="136"/>
      <c r="C177" s="136"/>
      <c r="D177" s="136"/>
      <c r="E177" s="136"/>
      <c r="F177" s="136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136"/>
    </row>
    <row r="178" spans="1:27">
      <c r="A178" s="136"/>
      <c r="B178" s="136"/>
      <c r="C178" s="136"/>
      <c r="D178" s="136"/>
      <c r="E178" s="136"/>
      <c r="F178" s="136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136"/>
    </row>
    <row r="179" spans="1:27">
      <c r="A179" s="136"/>
      <c r="B179" s="136"/>
      <c r="C179" s="136"/>
      <c r="D179" s="136"/>
      <c r="E179" s="136"/>
      <c r="F179" s="136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136"/>
    </row>
    <row r="180" spans="1:27">
      <c r="A180" s="136"/>
      <c r="B180" s="136"/>
      <c r="C180" s="136"/>
      <c r="D180" s="136"/>
      <c r="E180" s="136"/>
      <c r="F180" s="136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136"/>
    </row>
    <row r="181" spans="1:27">
      <c r="A181" s="136"/>
      <c r="B181" s="136"/>
      <c r="C181" s="136"/>
      <c r="D181" s="136"/>
      <c r="E181" s="136"/>
      <c r="F181" s="136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136"/>
    </row>
    <row r="182" spans="1:27">
      <c r="A182" s="136"/>
      <c r="B182" s="136"/>
      <c r="C182" s="136"/>
      <c r="D182" s="136"/>
      <c r="E182" s="136"/>
      <c r="F182" s="136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136"/>
    </row>
    <row r="183" spans="1:27">
      <c r="A183" s="136"/>
      <c r="B183" s="136"/>
      <c r="C183" s="136"/>
      <c r="D183" s="136"/>
      <c r="E183" s="136"/>
      <c r="F183" s="13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136"/>
    </row>
    <row r="184" spans="1:27">
      <c r="A184" s="136"/>
      <c r="B184" s="136"/>
      <c r="C184" s="136"/>
      <c r="D184" s="136"/>
      <c r="E184" s="136"/>
      <c r="F184" s="136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136"/>
    </row>
    <row r="185" spans="1:27">
      <c r="A185" s="136"/>
      <c r="B185" s="136"/>
      <c r="C185" s="136"/>
      <c r="D185" s="136"/>
      <c r="E185" s="136"/>
      <c r="F185" s="136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136"/>
    </row>
    <row r="186" spans="1:27">
      <c r="A186" s="136"/>
      <c r="B186" s="136"/>
      <c r="C186" s="136"/>
      <c r="D186" s="136"/>
      <c r="E186" s="136"/>
      <c r="F186" s="136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136"/>
    </row>
    <row r="187" spans="1:27">
      <c r="A187" s="136"/>
      <c r="B187" s="136"/>
      <c r="C187" s="136"/>
      <c r="D187" s="136"/>
      <c r="E187" s="136"/>
      <c r="F187" s="136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136"/>
    </row>
    <row r="188" spans="1:27">
      <c r="A188" s="136"/>
      <c r="B188" s="136"/>
      <c r="C188" s="136"/>
      <c r="D188" s="136"/>
      <c r="E188" s="136"/>
      <c r="F188" s="136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136"/>
    </row>
    <row r="189" spans="1:27">
      <c r="A189" s="136"/>
      <c r="B189" s="136"/>
      <c r="C189" s="136"/>
      <c r="D189" s="136"/>
      <c r="E189" s="136"/>
      <c r="F189" s="136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136"/>
    </row>
    <row r="190" spans="1:27">
      <c r="A190" s="136"/>
      <c r="B190" s="136"/>
      <c r="C190" s="136"/>
      <c r="D190" s="136"/>
      <c r="E190" s="136"/>
      <c r="F190" s="136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136"/>
    </row>
    <row r="191" spans="1:27">
      <c r="A191" s="136"/>
      <c r="B191" s="136"/>
      <c r="C191" s="136"/>
      <c r="D191" s="136"/>
      <c r="E191" s="136"/>
      <c r="F191" s="136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136"/>
    </row>
    <row r="192" spans="1:27">
      <c r="A192" s="136"/>
      <c r="B192" s="136"/>
      <c r="C192" s="136"/>
      <c r="D192" s="136"/>
      <c r="E192" s="136"/>
      <c r="F192" s="136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136"/>
    </row>
    <row r="193" spans="1:27">
      <c r="A193" s="136"/>
      <c r="B193" s="136"/>
      <c r="C193" s="136"/>
      <c r="D193" s="136"/>
      <c r="E193" s="136"/>
      <c r="F193" s="136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136"/>
    </row>
    <row r="194" spans="1:27">
      <c r="A194" s="136"/>
      <c r="B194" s="136"/>
      <c r="C194" s="136"/>
      <c r="D194" s="136"/>
      <c r="E194" s="136"/>
      <c r="F194" s="136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136"/>
    </row>
    <row r="195" spans="1:27">
      <c r="A195" s="136"/>
      <c r="B195" s="136"/>
      <c r="C195" s="136"/>
      <c r="D195" s="136"/>
      <c r="E195" s="136"/>
      <c r="F195" s="136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136"/>
    </row>
    <row r="196" spans="1:27">
      <c r="A196" s="136"/>
      <c r="B196" s="136"/>
      <c r="C196" s="136"/>
      <c r="D196" s="136"/>
      <c r="E196" s="136"/>
      <c r="F196" s="136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136"/>
    </row>
    <row r="197" spans="1:27">
      <c r="A197" s="136"/>
      <c r="B197" s="136"/>
      <c r="C197" s="136"/>
      <c r="D197" s="136"/>
      <c r="E197" s="136"/>
      <c r="F197" s="136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136"/>
    </row>
    <row r="198" spans="1:27">
      <c r="A198" s="136"/>
      <c r="B198" s="136"/>
      <c r="C198" s="136"/>
      <c r="D198" s="136"/>
      <c r="E198" s="136"/>
      <c r="F198" s="136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136"/>
    </row>
    <row r="199" spans="1:27">
      <c r="A199" s="136"/>
      <c r="B199" s="136"/>
      <c r="C199" s="136"/>
      <c r="D199" s="136"/>
      <c r="E199" s="136"/>
      <c r="F199" s="136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136"/>
    </row>
    <row r="200" spans="1:27">
      <c r="A200" s="136"/>
      <c r="B200" s="136"/>
      <c r="C200" s="136"/>
      <c r="D200" s="136"/>
      <c r="E200" s="136"/>
      <c r="F200" s="136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136"/>
    </row>
    <row r="201" spans="1:27">
      <c r="A201" s="136"/>
      <c r="B201" s="136"/>
      <c r="C201" s="136"/>
      <c r="D201" s="136"/>
      <c r="E201" s="136"/>
      <c r="F201" s="136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136"/>
    </row>
    <row r="202" spans="1:27">
      <c r="A202" s="136"/>
      <c r="B202" s="136"/>
      <c r="C202" s="136"/>
      <c r="D202" s="136"/>
      <c r="E202" s="136"/>
      <c r="F202" s="136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136"/>
    </row>
    <row r="203" spans="1:27">
      <c r="A203" s="136"/>
      <c r="B203" s="136"/>
      <c r="C203" s="136"/>
      <c r="D203" s="136"/>
      <c r="E203" s="136"/>
      <c r="F203" s="136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136"/>
    </row>
    <row r="204" spans="1:27">
      <c r="A204" s="136"/>
      <c r="B204" s="136"/>
      <c r="C204" s="136"/>
      <c r="D204" s="136"/>
      <c r="E204" s="136"/>
      <c r="F204" s="136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136"/>
    </row>
    <row r="205" spans="1:27">
      <c r="A205" s="136"/>
      <c r="B205" s="136"/>
      <c r="C205" s="136"/>
      <c r="D205" s="136"/>
      <c r="E205" s="136"/>
      <c r="F205" s="136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136"/>
    </row>
    <row r="206" spans="1:27">
      <c r="A206" s="136"/>
      <c r="B206" s="136"/>
      <c r="C206" s="136"/>
      <c r="D206" s="136"/>
      <c r="E206" s="136"/>
      <c r="F206" s="136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136"/>
    </row>
    <row r="207" spans="1:27">
      <c r="A207" s="136"/>
      <c r="B207" s="136"/>
      <c r="C207" s="136"/>
      <c r="D207" s="136"/>
      <c r="E207" s="136"/>
      <c r="F207" s="136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136"/>
    </row>
    <row r="208" spans="1:27">
      <c r="A208" s="136"/>
      <c r="B208" s="136"/>
      <c r="C208" s="136"/>
      <c r="D208" s="136"/>
      <c r="E208" s="136"/>
      <c r="F208" s="136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136"/>
    </row>
    <row r="209" spans="1:27">
      <c r="A209" s="136"/>
      <c r="B209" s="136"/>
      <c r="C209" s="136"/>
      <c r="D209" s="136"/>
      <c r="E209" s="136"/>
      <c r="F209" s="136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136"/>
    </row>
    <row r="210" spans="1:27">
      <c r="A210" s="136"/>
      <c r="B210" s="136"/>
      <c r="C210" s="136"/>
      <c r="D210" s="136"/>
      <c r="E210" s="136"/>
      <c r="F210" s="136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136"/>
    </row>
    <row r="211" spans="1:27">
      <c r="A211" s="136"/>
      <c r="B211" s="136"/>
      <c r="C211" s="136"/>
      <c r="D211" s="136"/>
      <c r="E211" s="136"/>
      <c r="F211" s="136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136"/>
    </row>
    <row r="212" spans="1:27">
      <c r="A212" s="136"/>
      <c r="B212" s="136"/>
      <c r="C212" s="136"/>
      <c r="D212" s="136"/>
      <c r="E212" s="136"/>
      <c r="F212" s="136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136"/>
    </row>
    <row r="213" spans="1:27">
      <c r="A213" s="136"/>
      <c r="B213" s="136"/>
      <c r="C213" s="136"/>
      <c r="D213" s="136"/>
      <c r="E213" s="136"/>
      <c r="F213" s="136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136"/>
    </row>
    <row r="214" spans="1:27">
      <c r="A214" s="136"/>
      <c r="B214" s="136"/>
      <c r="C214" s="136"/>
      <c r="D214" s="136"/>
      <c r="E214" s="136"/>
      <c r="F214" s="136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136"/>
    </row>
    <row r="215" spans="1:27">
      <c r="A215" s="136"/>
      <c r="B215" s="136"/>
      <c r="C215" s="136"/>
      <c r="D215" s="136"/>
      <c r="E215" s="136"/>
      <c r="F215" s="136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136"/>
    </row>
    <row r="216" spans="1:27">
      <c r="A216" s="136"/>
      <c r="B216" s="136"/>
      <c r="C216" s="136"/>
      <c r="D216" s="136"/>
      <c r="E216" s="136"/>
      <c r="F216" s="136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136"/>
    </row>
    <row r="217" spans="1:27">
      <c r="A217" s="136"/>
      <c r="B217" s="136"/>
      <c r="C217" s="136"/>
      <c r="D217" s="136"/>
      <c r="E217" s="136"/>
      <c r="F217" s="136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136"/>
    </row>
    <row r="218" spans="1:27">
      <c r="A218" s="136"/>
      <c r="B218" s="136"/>
      <c r="C218" s="136"/>
      <c r="D218" s="136"/>
      <c r="E218" s="136"/>
      <c r="F218" s="136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136"/>
    </row>
    <row r="219" spans="1:27">
      <c r="A219" s="136"/>
      <c r="B219" s="136"/>
      <c r="C219" s="136"/>
      <c r="D219" s="136"/>
      <c r="E219" s="136"/>
      <c r="F219" s="136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136"/>
    </row>
    <row r="220" spans="1:27">
      <c r="A220" s="136"/>
      <c r="B220" s="136"/>
      <c r="C220" s="136"/>
      <c r="D220" s="136"/>
      <c r="E220" s="136"/>
      <c r="F220" s="136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136"/>
    </row>
    <row r="221" spans="1:27">
      <c r="A221" s="136"/>
      <c r="B221" s="136"/>
      <c r="C221" s="136"/>
      <c r="D221" s="136"/>
      <c r="E221" s="136"/>
      <c r="F221" s="136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136"/>
    </row>
    <row r="222" spans="1:27">
      <c r="A222" s="136"/>
      <c r="B222" s="136"/>
      <c r="C222" s="136"/>
      <c r="D222" s="136"/>
      <c r="E222" s="136"/>
      <c r="F222" s="136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136"/>
    </row>
    <row r="223" spans="1:27">
      <c r="A223" s="136"/>
      <c r="B223" s="136"/>
      <c r="C223" s="136"/>
      <c r="D223" s="136"/>
      <c r="E223" s="136"/>
      <c r="F223" s="136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136"/>
    </row>
    <row r="224" spans="1:27">
      <c r="A224" s="136"/>
      <c r="B224" s="136"/>
      <c r="C224" s="136"/>
      <c r="D224" s="136"/>
      <c r="E224" s="136"/>
      <c r="F224" s="136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136"/>
    </row>
    <row r="225" spans="1:27">
      <c r="A225" s="136"/>
      <c r="B225" s="136"/>
      <c r="C225" s="136"/>
      <c r="D225" s="136"/>
      <c r="E225" s="136"/>
      <c r="F225" s="136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136"/>
    </row>
    <row r="226" spans="1:27">
      <c r="A226" s="136"/>
      <c r="B226" s="136"/>
      <c r="C226" s="136"/>
      <c r="D226" s="136"/>
      <c r="E226" s="136"/>
      <c r="F226" s="136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136"/>
    </row>
    <row r="227" spans="1:27">
      <c r="A227" s="136"/>
      <c r="B227" s="136"/>
      <c r="C227" s="136"/>
      <c r="D227" s="136"/>
      <c r="E227" s="136"/>
      <c r="F227" s="136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136"/>
    </row>
    <row r="228" spans="1:27">
      <c r="A228" s="136"/>
      <c r="B228" s="136"/>
      <c r="C228" s="136"/>
      <c r="D228" s="136"/>
      <c r="E228" s="136"/>
      <c r="F228" s="136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136"/>
    </row>
    <row r="229" spans="1:27">
      <c r="A229" s="136"/>
      <c r="B229" s="136"/>
      <c r="C229" s="136"/>
      <c r="D229" s="136"/>
      <c r="E229" s="136"/>
      <c r="F229" s="136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136"/>
    </row>
    <row r="230" spans="1:27">
      <c r="A230" s="136"/>
      <c r="B230" s="136"/>
      <c r="C230" s="136"/>
      <c r="D230" s="136"/>
      <c r="E230" s="136"/>
      <c r="F230" s="136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136"/>
    </row>
    <row r="231" spans="1:27">
      <c r="A231" s="136"/>
      <c r="B231" s="136"/>
      <c r="C231" s="136"/>
      <c r="D231" s="136"/>
      <c r="E231" s="136"/>
      <c r="F231" s="136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136"/>
    </row>
    <row r="232" spans="1:27">
      <c r="A232" s="136"/>
      <c r="B232" s="136"/>
      <c r="C232" s="136"/>
      <c r="D232" s="136"/>
      <c r="E232" s="136"/>
      <c r="F232" s="136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136"/>
    </row>
    <row r="233" spans="1:27">
      <c r="A233" s="136"/>
      <c r="B233" s="136"/>
      <c r="C233" s="136"/>
      <c r="D233" s="136"/>
      <c r="E233" s="136"/>
      <c r="F233" s="136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136"/>
    </row>
    <row r="234" spans="1:27">
      <c r="A234" s="136"/>
      <c r="B234" s="136"/>
      <c r="C234" s="136"/>
      <c r="D234" s="136"/>
      <c r="E234" s="136"/>
      <c r="F234" s="136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136"/>
    </row>
    <row r="235" spans="1:27">
      <c r="A235" s="136"/>
      <c r="B235" s="136"/>
      <c r="C235" s="136"/>
      <c r="D235" s="136"/>
      <c r="E235" s="136"/>
      <c r="F235" s="136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136"/>
    </row>
    <row r="236" spans="1:27">
      <c r="A236" s="136"/>
      <c r="B236" s="136"/>
      <c r="C236" s="136"/>
      <c r="D236" s="136"/>
      <c r="E236" s="136"/>
      <c r="F236" s="136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136"/>
    </row>
    <row r="237" spans="1:27">
      <c r="A237" s="136"/>
      <c r="B237" s="136"/>
      <c r="C237" s="136"/>
      <c r="D237" s="136"/>
      <c r="E237" s="136"/>
      <c r="F237" s="136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136"/>
    </row>
    <row r="238" spans="1:27">
      <c r="A238" s="136"/>
      <c r="B238" s="136"/>
      <c r="C238" s="136"/>
      <c r="D238" s="136"/>
      <c r="E238" s="136"/>
      <c r="F238" s="136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136"/>
    </row>
    <row r="239" spans="1:27">
      <c r="A239" s="136"/>
      <c r="B239" s="136"/>
      <c r="C239" s="136"/>
      <c r="D239" s="136"/>
      <c r="E239" s="136"/>
      <c r="F239" s="136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136"/>
    </row>
    <row r="240" spans="1:27">
      <c r="A240" s="136"/>
      <c r="B240" s="136"/>
      <c r="C240" s="136"/>
      <c r="D240" s="136"/>
      <c r="E240" s="136"/>
      <c r="F240" s="136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136"/>
    </row>
    <row r="241" spans="1:27">
      <c r="A241" s="136"/>
      <c r="B241" s="136"/>
      <c r="C241" s="136"/>
      <c r="D241" s="136"/>
      <c r="E241" s="136"/>
      <c r="F241" s="136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136"/>
    </row>
    <row r="242" spans="1:27">
      <c r="A242" s="136"/>
      <c r="B242" s="136"/>
      <c r="C242" s="136"/>
      <c r="D242" s="136"/>
      <c r="E242" s="136"/>
      <c r="F242" s="136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136"/>
    </row>
    <row r="243" spans="1:27">
      <c r="A243" s="136"/>
      <c r="B243" s="136"/>
      <c r="C243" s="136"/>
      <c r="D243" s="136"/>
      <c r="E243" s="136"/>
      <c r="F243" s="136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136"/>
    </row>
    <row r="244" spans="1:27">
      <c r="A244" s="136"/>
      <c r="B244" s="136"/>
      <c r="C244" s="136"/>
      <c r="D244" s="136"/>
      <c r="E244" s="136"/>
      <c r="F244" s="136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136"/>
    </row>
    <row r="245" spans="1:27">
      <c r="A245" s="136"/>
      <c r="B245" s="136"/>
      <c r="C245" s="136"/>
      <c r="D245" s="136"/>
      <c r="E245" s="136"/>
      <c r="F245" s="136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136"/>
    </row>
    <row r="246" spans="1:27">
      <c r="A246" s="136"/>
      <c r="B246" s="136"/>
      <c r="C246" s="136"/>
      <c r="D246" s="136"/>
      <c r="E246" s="136"/>
      <c r="F246" s="136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136"/>
    </row>
    <row r="247" spans="1:27">
      <c r="A247" s="136"/>
      <c r="B247" s="136"/>
      <c r="C247" s="136"/>
      <c r="D247" s="136"/>
      <c r="E247" s="136"/>
      <c r="F247" s="136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136"/>
    </row>
    <row r="248" spans="1:27">
      <c r="A248" s="136"/>
      <c r="B248" s="136"/>
      <c r="C248" s="136"/>
      <c r="D248" s="136"/>
      <c r="E248" s="136"/>
      <c r="F248" s="136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136"/>
    </row>
    <row r="249" spans="1:27">
      <c r="A249" s="136"/>
      <c r="B249" s="136"/>
      <c r="C249" s="136"/>
      <c r="D249" s="136"/>
      <c r="E249" s="136"/>
      <c r="F249" s="136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136"/>
    </row>
    <row r="250" spans="1:27">
      <c r="A250" s="136"/>
      <c r="B250" s="136"/>
      <c r="C250" s="136"/>
      <c r="D250" s="136"/>
      <c r="E250" s="136"/>
      <c r="F250" s="136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136"/>
    </row>
    <row r="251" spans="1:27">
      <c r="A251" s="136"/>
      <c r="B251" s="136"/>
      <c r="C251" s="136"/>
      <c r="D251" s="136"/>
      <c r="E251" s="136"/>
      <c r="F251" s="136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136"/>
    </row>
    <row r="252" spans="1:27">
      <c r="A252" s="136"/>
      <c r="B252" s="136"/>
      <c r="C252" s="136"/>
      <c r="D252" s="136"/>
      <c r="E252" s="136"/>
      <c r="F252" s="136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136"/>
    </row>
    <row r="253" spans="1:27">
      <c r="A253" s="136"/>
      <c r="B253" s="136"/>
      <c r="C253" s="136"/>
      <c r="D253" s="136"/>
      <c r="E253" s="136"/>
      <c r="F253" s="136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136"/>
    </row>
    <row r="254" spans="1:27">
      <c r="A254" s="136"/>
      <c r="B254" s="136"/>
      <c r="C254" s="136"/>
      <c r="D254" s="136"/>
      <c r="E254" s="136"/>
      <c r="F254" s="136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136"/>
    </row>
    <row r="255" spans="1:27">
      <c r="A255" s="136"/>
      <c r="B255" s="136"/>
      <c r="C255" s="136"/>
      <c r="D255" s="136"/>
      <c r="E255" s="136"/>
      <c r="F255" s="136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136"/>
    </row>
    <row r="256" spans="1:27">
      <c r="A256" s="136"/>
      <c r="B256" s="136"/>
      <c r="C256" s="136"/>
      <c r="D256" s="136"/>
      <c r="E256" s="136"/>
      <c r="F256" s="136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136"/>
    </row>
    <row r="257" spans="1:27">
      <c r="A257" s="136"/>
      <c r="B257" s="136"/>
      <c r="C257" s="136"/>
      <c r="D257" s="136"/>
      <c r="E257" s="136"/>
      <c r="F257" s="136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136"/>
    </row>
    <row r="258" spans="1:27">
      <c r="A258" s="136"/>
      <c r="B258" s="136"/>
      <c r="C258" s="136"/>
      <c r="D258" s="136"/>
      <c r="E258" s="136"/>
      <c r="F258" s="136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136"/>
    </row>
    <row r="259" spans="1:27">
      <c r="A259" s="136"/>
      <c r="B259" s="136"/>
      <c r="C259" s="136"/>
      <c r="D259" s="136"/>
      <c r="E259" s="136"/>
      <c r="F259" s="136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136"/>
    </row>
    <row r="260" spans="1:27">
      <c r="A260" s="136"/>
      <c r="B260" s="136"/>
      <c r="C260" s="136"/>
      <c r="D260" s="136"/>
      <c r="E260" s="136"/>
      <c r="F260" s="136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136"/>
    </row>
    <row r="261" spans="1:27">
      <c r="A261" s="136"/>
      <c r="B261" s="136"/>
      <c r="C261" s="136"/>
      <c r="D261" s="136"/>
      <c r="E261" s="136"/>
      <c r="F261" s="136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136"/>
    </row>
    <row r="262" spans="1:27">
      <c r="A262" s="136"/>
      <c r="B262" s="136"/>
      <c r="C262" s="136"/>
      <c r="D262" s="136"/>
      <c r="E262" s="136"/>
      <c r="F262" s="136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136"/>
    </row>
    <row r="263" spans="1:27">
      <c r="A263" s="136"/>
      <c r="B263" s="136"/>
      <c r="C263" s="136"/>
      <c r="D263" s="136"/>
      <c r="E263" s="136"/>
      <c r="F263" s="136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136"/>
    </row>
    <row r="264" spans="1:27">
      <c r="A264" s="136"/>
      <c r="B264" s="136"/>
      <c r="C264" s="136"/>
      <c r="D264" s="136"/>
      <c r="E264" s="136"/>
      <c r="F264" s="136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136"/>
    </row>
    <row r="265" spans="1:27">
      <c r="A265" s="136"/>
      <c r="B265" s="136"/>
      <c r="C265" s="136"/>
      <c r="D265" s="136"/>
      <c r="E265" s="136"/>
      <c r="F265" s="136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136"/>
    </row>
    <row r="266" spans="1:27">
      <c r="A266" s="136"/>
      <c r="B266" s="136"/>
      <c r="C266" s="136"/>
      <c r="D266" s="136"/>
      <c r="E266" s="136"/>
      <c r="F266" s="136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136"/>
    </row>
    <row r="267" spans="1:27">
      <c r="A267" s="136"/>
      <c r="B267" s="136"/>
      <c r="C267" s="136"/>
      <c r="D267" s="136"/>
      <c r="E267" s="136"/>
      <c r="F267" s="136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136"/>
    </row>
    <row r="268" spans="1:27">
      <c r="A268" s="136"/>
      <c r="B268" s="136"/>
      <c r="C268" s="136"/>
      <c r="D268" s="136"/>
      <c r="E268" s="136"/>
      <c r="F268" s="136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136"/>
    </row>
    <row r="269" spans="1:27">
      <c r="A269" s="136"/>
      <c r="B269" s="136"/>
      <c r="C269" s="136"/>
      <c r="D269" s="136"/>
      <c r="E269" s="136"/>
      <c r="F269" s="136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136"/>
    </row>
    <row r="270" spans="1:27">
      <c r="A270" s="136"/>
      <c r="B270" s="136"/>
      <c r="C270" s="136"/>
      <c r="D270" s="136"/>
      <c r="E270" s="136"/>
      <c r="F270" s="136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136"/>
    </row>
    <row r="271" spans="1:27">
      <c r="A271" s="136"/>
      <c r="B271" s="136"/>
      <c r="C271" s="136"/>
      <c r="D271" s="136"/>
      <c r="E271" s="136"/>
      <c r="F271" s="136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136"/>
    </row>
    <row r="272" spans="1:27">
      <c r="A272" s="136"/>
      <c r="B272" s="136"/>
      <c r="C272" s="136"/>
      <c r="D272" s="136"/>
      <c r="E272" s="136"/>
      <c r="F272" s="136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136"/>
    </row>
    <row r="273" spans="1:27">
      <c r="A273" s="136"/>
      <c r="B273" s="136"/>
      <c r="C273" s="136"/>
      <c r="D273" s="136"/>
      <c r="E273" s="136"/>
      <c r="F273" s="136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136"/>
    </row>
    <row r="274" spans="1:27">
      <c r="A274" s="136"/>
      <c r="B274" s="136"/>
      <c r="C274" s="136"/>
      <c r="D274" s="136"/>
      <c r="E274" s="136"/>
      <c r="F274" s="136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136"/>
    </row>
    <row r="275" spans="1:27">
      <c r="A275" s="136"/>
      <c r="B275" s="136"/>
      <c r="C275" s="136"/>
      <c r="D275" s="136"/>
      <c r="E275" s="136"/>
      <c r="F275" s="136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136"/>
    </row>
    <row r="276" spans="1:27">
      <c r="A276" s="136"/>
      <c r="B276" s="136"/>
      <c r="C276" s="136"/>
      <c r="D276" s="136"/>
      <c r="E276" s="136"/>
      <c r="F276" s="136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136"/>
    </row>
    <row r="277" spans="1:27">
      <c r="A277" s="136"/>
      <c r="B277" s="136"/>
      <c r="C277" s="136"/>
      <c r="D277" s="136"/>
      <c r="E277" s="136"/>
      <c r="F277" s="136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136"/>
    </row>
    <row r="278" spans="1:27">
      <c r="A278" s="136"/>
      <c r="B278" s="136"/>
      <c r="C278" s="136"/>
      <c r="D278" s="136"/>
      <c r="E278" s="136"/>
      <c r="F278" s="136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136"/>
    </row>
    <row r="279" spans="1:27">
      <c r="A279" s="136"/>
      <c r="B279" s="136"/>
      <c r="C279" s="136"/>
      <c r="D279" s="136"/>
      <c r="E279" s="136"/>
      <c r="F279" s="136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136"/>
    </row>
    <row r="280" spans="1:27">
      <c r="A280" s="136"/>
      <c r="B280" s="136"/>
      <c r="C280" s="136"/>
      <c r="D280" s="136"/>
      <c r="E280" s="136"/>
      <c r="F280" s="136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136"/>
    </row>
    <row r="281" spans="1:27">
      <c r="A281" s="136"/>
      <c r="B281" s="136"/>
      <c r="C281" s="136"/>
      <c r="D281" s="136"/>
      <c r="E281" s="136"/>
      <c r="F281" s="136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136"/>
    </row>
    <row r="282" spans="1:27">
      <c r="A282" s="136"/>
      <c r="B282" s="136"/>
      <c r="C282" s="136"/>
      <c r="D282" s="136"/>
      <c r="E282" s="136"/>
      <c r="F282" s="136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136"/>
    </row>
    <row r="283" spans="1:27">
      <c r="A283" s="136"/>
      <c r="B283" s="136"/>
      <c r="C283" s="136"/>
      <c r="D283" s="136"/>
      <c r="E283" s="136"/>
      <c r="F283" s="136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136"/>
    </row>
    <row r="284" spans="1:27">
      <c r="A284" s="136"/>
      <c r="B284" s="136"/>
      <c r="C284" s="136"/>
      <c r="D284" s="136"/>
      <c r="E284" s="136"/>
      <c r="F284" s="136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136"/>
    </row>
    <row r="285" spans="1:27">
      <c r="A285" s="136"/>
      <c r="B285" s="136"/>
      <c r="C285" s="136"/>
      <c r="D285" s="136"/>
      <c r="E285" s="136"/>
      <c r="F285" s="136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136"/>
    </row>
    <row r="286" spans="1:27">
      <c r="A286" s="136"/>
      <c r="B286" s="136"/>
      <c r="C286" s="136"/>
      <c r="D286" s="136"/>
      <c r="E286" s="136"/>
      <c r="F286" s="136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136"/>
    </row>
    <row r="287" spans="1:27">
      <c r="A287" s="136"/>
      <c r="B287" s="136"/>
      <c r="C287" s="136"/>
      <c r="D287" s="136"/>
      <c r="E287" s="136"/>
      <c r="F287" s="136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136"/>
    </row>
    <row r="288" spans="1:27">
      <c r="A288" s="136"/>
      <c r="B288" s="136"/>
      <c r="C288" s="136"/>
      <c r="D288" s="136"/>
      <c r="E288" s="136"/>
      <c r="F288" s="136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136"/>
    </row>
    <row r="289" spans="1:27">
      <c r="A289" s="136"/>
      <c r="B289" s="136"/>
      <c r="C289" s="136"/>
      <c r="D289" s="136"/>
      <c r="E289" s="136"/>
      <c r="F289" s="136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136"/>
    </row>
    <row r="290" spans="1:27">
      <c r="A290" s="136"/>
      <c r="B290" s="136"/>
      <c r="C290" s="136"/>
      <c r="D290" s="136"/>
      <c r="E290" s="136"/>
      <c r="F290" s="136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136"/>
    </row>
    <row r="291" spans="1:27">
      <c r="A291" s="136"/>
      <c r="B291" s="136"/>
      <c r="C291" s="136"/>
      <c r="D291" s="136"/>
      <c r="E291" s="136"/>
      <c r="F291" s="136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136"/>
    </row>
    <row r="292" spans="1:27">
      <c r="A292" s="136"/>
      <c r="B292" s="136"/>
      <c r="C292" s="136"/>
      <c r="D292" s="136"/>
      <c r="E292" s="136"/>
      <c r="F292" s="136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136"/>
    </row>
    <row r="293" spans="1:27">
      <c r="A293" s="136"/>
      <c r="B293" s="136"/>
      <c r="C293" s="136"/>
      <c r="D293" s="136"/>
      <c r="E293" s="136"/>
      <c r="F293" s="136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136"/>
    </row>
    <row r="294" spans="1:27">
      <c r="A294" s="136"/>
      <c r="B294" s="136"/>
      <c r="C294" s="136"/>
      <c r="D294" s="136"/>
      <c r="E294" s="136"/>
      <c r="F294" s="136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136"/>
    </row>
    <row r="295" spans="1:27">
      <c r="A295" s="136"/>
      <c r="B295" s="136"/>
      <c r="C295" s="136"/>
      <c r="D295" s="136"/>
      <c r="E295" s="136"/>
      <c r="F295" s="136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136"/>
    </row>
    <row r="296" spans="1:27">
      <c r="A296" s="136"/>
      <c r="B296" s="136"/>
      <c r="C296" s="136"/>
      <c r="D296" s="136"/>
      <c r="E296" s="136"/>
      <c r="F296" s="136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136"/>
    </row>
    <row r="297" spans="1:27" ht="12.75" customHeight="1"/>
    <row r="298" spans="1:27" ht="12.75" customHeight="1"/>
    <row r="299" spans="1:27" ht="12.75" customHeight="1"/>
    <row r="300" spans="1:27" ht="12.75" customHeight="1"/>
    <row r="301" spans="1:27" ht="12.75" customHeight="1"/>
    <row r="302" spans="1:27" ht="12.75" customHeight="1"/>
    <row r="303" spans="1:27" ht="12.75" customHeight="1"/>
    <row r="304" spans="1:27" ht="12.75" customHeight="1"/>
    <row r="305" ht="12.75" customHeight="1"/>
    <row r="306" ht="12.75" customHeight="1"/>
    <row r="307" ht="12.75" customHeight="1"/>
    <row r="308" ht="12.75" customHeight="1"/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00B050"/>
  </sheetPr>
  <dimension ref="A1:CK31"/>
  <sheetViews>
    <sheetView workbookViewId="0">
      <pane xSplit="2" ySplit="1" topLeftCell="BQ2" activePane="bottomRight" state="frozen"/>
      <selection pane="bottomRight" activeCell="C2" sqref="C2:CK2"/>
      <selection pane="bottomLeft" activeCell="CO2" sqref="CO2:CO5"/>
      <selection pane="topRight" activeCell="CO2" sqref="CO2:CO5"/>
    </sheetView>
  </sheetViews>
  <sheetFormatPr defaultColWidth="10.28515625" defaultRowHeight="12.95"/>
  <cols>
    <col min="1" max="1" width="9" style="180" customWidth="1"/>
    <col min="2" max="2" width="8.7109375" style="89" customWidth="1"/>
    <col min="3" max="3" width="14.7109375" style="90" customWidth="1"/>
    <col min="4" max="4" width="9.28515625" style="90" bestFit="1" customWidth="1"/>
    <col min="5" max="5" width="9" style="90" bestFit="1" customWidth="1"/>
    <col min="6" max="6" width="5.7109375" style="90" bestFit="1" customWidth="1"/>
    <col min="7" max="7" width="15.7109375" style="90" customWidth="1"/>
    <col min="8" max="10" width="9.42578125" style="90" customWidth="1"/>
    <col min="11" max="11" width="13.7109375" style="90" customWidth="1"/>
    <col min="12" max="14" width="7.28515625" style="90" bestFit="1" customWidth="1"/>
    <col min="15" max="15" width="12.42578125" style="90" customWidth="1"/>
    <col min="16" max="16" width="7.28515625" style="90" bestFit="1" customWidth="1"/>
    <col min="17" max="17" width="11.7109375" style="90" customWidth="1"/>
    <col min="18" max="21" width="7.28515625" style="90" bestFit="1" customWidth="1"/>
    <col min="22" max="22" width="8" style="90" customWidth="1"/>
    <col min="23" max="23" width="12.7109375" style="142" customWidth="1"/>
    <col min="24" max="24" width="6" style="142" bestFit="1" customWidth="1"/>
    <col min="25" max="25" width="6" style="142" customWidth="1"/>
    <col min="26" max="26" width="9" style="142" bestFit="1" customWidth="1"/>
    <col min="27" max="27" width="13.28515625" style="90" customWidth="1"/>
    <col min="28" max="28" width="7.7109375" style="90" bestFit="1" customWidth="1"/>
    <col min="29" max="29" width="9" style="90" bestFit="1" customWidth="1"/>
    <col min="30" max="30" width="12.42578125" style="90" customWidth="1"/>
    <col min="31" max="31" width="11.28515625" style="90" customWidth="1"/>
    <col min="32" max="33" width="7.28515625" style="90" bestFit="1" customWidth="1"/>
    <col min="34" max="34" width="5.7109375" style="90" bestFit="1" customWidth="1"/>
    <col min="35" max="35" width="7.28515625" style="90" bestFit="1" customWidth="1"/>
    <col min="36" max="36" width="11" style="90" bestFit="1" customWidth="1"/>
    <col min="37" max="37" width="11.28515625" style="90" bestFit="1" customWidth="1"/>
    <col min="38" max="38" width="11" style="90" bestFit="1" customWidth="1"/>
    <col min="39" max="39" width="10.28515625" style="90" bestFit="1" customWidth="1"/>
    <col min="40" max="40" width="11" style="90" bestFit="1" customWidth="1"/>
    <col min="41" max="41" width="12.7109375" style="90" customWidth="1"/>
    <col min="42" max="44" width="9.28515625" style="90" bestFit="1" customWidth="1"/>
    <col min="45" max="45" width="17.42578125" style="90" customWidth="1"/>
    <col min="46" max="46" width="9.28515625" style="90" bestFit="1" customWidth="1"/>
    <col min="47" max="47" width="10" style="90" bestFit="1" customWidth="1"/>
    <col min="48" max="48" width="12.5703125" style="90" customWidth="1"/>
    <col min="49" max="49" width="11.28515625" style="90" bestFit="1" customWidth="1"/>
    <col min="50" max="50" width="14.28515625" style="90" bestFit="1" customWidth="1"/>
    <col min="51" max="51" width="10.28515625" style="90" bestFit="1" customWidth="1"/>
    <col min="52" max="52" width="9.5703125" style="90" customWidth="1"/>
    <col min="53" max="53" width="11" style="90" bestFit="1" customWidth="1"/>
    <col min="54" max="54" width="13.7109375" style="90" customWidth="1"/>
    <col min="55" max="55" width="11" style="90" bestFit="1" customWidth="1"/>
    <col min="56" max="56" width="11.28515625" style="90" bestFit="1" customWidth="1"/>
    <col min="57" max="57" width="13.28515625" style="90" customWidth="1"/>
    <col min="58" max="58" width="10.7109375" style="90" customWidth="1"/>
    <col min="59" max="59" width="9.7109375" style="90" customWidth="1"/>
    <col min="60" max="62" width="11.28515625" style="90" customWidth="1"/>
    <col min="63" max="63" width="11.28515625" style="90" bestFit="1" customWidth="1"/>
    <col min="64" max="64" width="10.42578125" style="90" customWidth="1"/>
    <col min="65" max="65" width="10.28515625" style="90" bestFit="1" customWidth="1"/>
    <col min="66" max="66" width="11.7109375" style="90" customWidth="1"/>
    <col min="67" max="69" width="11.28515625" style="90" customWidth="1"/>
    <col min="70" max="70" width="11" style="142" bestFit="1" customWidth="1"/>
    <col min="71" max="71" width="10.42578125" style="142" bestFit="1" customWidth="1"/>
    <col min="72" max="72" width="11" style="142" bestFit="1" customWidth="1"/>
    <col min="73" max="74" width="10.42578125" style="89" bestFit="1" customWidth="1"/>
    <col min="75" max="79" width="10.28515625" style="89"/>
    <col min="80" max="80" width="10.28515625" style="89" customWidth="1"/>
    <col min="81" max="16384" width="10.28515625" style="89"/>
  </cols>
  <sheetData>
    <row r="1" spans="1:89" s="159" customFormat="1" ht="51.95">
      <c r="A1" s="179" t="s">
        <v>196</v>
      </c>
      <c r="B1" s="159" t="s">
        <v>197</v>
      </c>
      <c r="C1" s="140" t="s">
        <v>211</v>
      </c>
      <c r="D1" s="140" t="s">
        <v>213</v>
      </c>
      <c r="E1" s="140" t="s">
        <v>296</v>
      </c>
      <c r="F1" s="140" t="s">
        <v>297</v>
      </c>
      <c r="G1" s="141" t="s">
        <v>298</v>
      </c>
      <c r="H1" s="140" t="s">
        <v>387</v>
      </c>
      <c r="I1" s="140" t="s">
        <v>388</v>
      </c>
      <c r="J1" s="140" t="s">
        <v>389</v>
      </c>
      <c r="K1" s="140" t="s">
        <v>390</v>
      </c>
      <c r="L1" s="140" t="s">
        <v>391</v>
      </c>
      <c r="M1" s="140" t="s">
        <v>392</v>
      </c>
      <c r="N1" s="140" t="s">
        <v>393</v>
      </c>
      <c r="O1" s="140" t="s">
        <v>308</v>
      </c>
      <c r="P1" s="140" t="s">
        <v>309</v>
      </c>
      <c r="Q1" s="140" t="s">
        <v>394</v>
      </c>
      <c r="R1" s="140" t="s">
        <v>395</v>
      </c>
      <c r="S1" s="140" t="s">
        <v>396</v>
      </c>
      <c r="T1" s="140" t="s">
        <v>397</v>
      </c>
      <c r="U1" s="140" t="s">
        <v>398</v>
      </c>
      <c r="V1" s="140" t="s">
        <v>399</v>
      </c>
      <c r="W1" s="140" t="s">
        <v>316</v>
      </c>
      <c r="X1" s="140" t="s">
        <v>317</v>
      </c>
      <c r="Y1" s="141" t="s">
        <v>318</v>
      </c>
      <c r="Z1" s="142" t="s">
        <v>400</v>
      </c>
      <c r="AA1" s="140" t="s">
        <v>401</v>
      </c>
      <c r="AB1" s="140" t="s">
        <v>402</v>
      </c>
      <c r="AC1" s="140" t="s">
        <v>403</v>
      </c>
      <c r="AD1" s="140" t="s">
        <v>404</v>
      </c>
      <c r="AE1" s="140" t="s">
        <v>405</v>
      </c>
      <c r="AF1" s="160" t="s">
        <v>406</v>
      </c>
      <c r="AG1" s="160" t="s">
        <v>407</v>
      </c>
      <c r="AH1" s="140" t="s">
        <v>253</v>
      </c>
      <c r="AI1" s="141" t="s">
        <v>408</v>
      </c>
      <c r="AJ1" s="141" t="s">
        <v>409</v>
      </c>
      <c r="AK1" s="141" t="s">
        <v>410</v>
      </c>
      <c r="AL1" s="228" t="s">
        <v>411</v>
      </c>
      <c r="AM1" s="228" t="s">
        <v>412</v>
      </c>
      <c r="AN1" s="228" t="s">
        <v>413</v>
      </c>
      <c r="AO1" s="143" t="s">
        <v>287</v>
      </c>
      <c r="AP1" s="143" t="s">
        <v>288</v>
      </c>
      <c r="AQ1" s="143" t="s">
        <v>289</v>
      </c>
      <c r="AR1" s="143" t="s">
        <v>290</v>
      </c>
      <c r="AS1" s="143" t="s">
        <v>291</v>
      </c>
      <c r="AT1" s="228" t="s">
        <v>414</v>
      </c>
      <c r="AU1" s="141" t="s">
        <v>415</v>
      </c>
      <c r="AV1" s="141" t="s">
        <v>416</v>
      </c>
      <c r="AW1" s="143" t="s">
        <v>417</v>
      </c>
      <c r="AX1" s="141" t="s">
        <v>418</v>
      </c>
      <c r="AY1" s="140" t="s">
        <v>419</v>
      </c>
      <c r="AZ1" s="140" t="s">
        <v>420</v>
      </c>
      <c r="BA1" s="228" t="s">
        <v>421</v>
      </c>
      <c r="BB1" s="140" t="s">
        <v>422</v>
      </c>
      <c r="BC1" s="228" t="s">
        <v>423</v>
      </c>
      <c r="BD1" s="143" t="s">
        <v>424</v>
      </c>
      <c r="BE1" s="228" t="s">
        <v>425</v>
      </c>
      <c r="BF1" s="140" t="s">
        <v>426</v>
      </c>
      <c r="BG1" s="140" t="s">
        <v>427</v>
      </c>
      <c r="BH1" s="161" t="s">
        <v>326</v>
      </c>
      <c r="BI1" s="161" t="s">
        <v>327</v>
      </c>
      <c r="BJ1" s="162" t="s">
        <v>428</v>
      </c>
      <c r="BK1" s="140" t="s">
        <v>429</v>
      </c>
      <c r="BL1" s="140" t="s">
        <v>430</v>
      </c>
      <c r="BM1" s="140" t="s">
        <v>331</v>
      </c>
      <c r="BN1" s="140" t="s">
        <v>431</v>
      </c>
      <c r="BO1" s="140" t="s">
        <v>332</v>
      </c>
      <c r="BP1" s="140" t="s">
        <v>432</v>
      </c>
      <c r="BQ1" s="140" t="s">
        <v>335</v>
      </c>
      <c r="BR1" s="140" t="s">
        <v>433</v>
      </c>
      <c r="BS1" s="140" t="s">
        <v>434</v>
      </c>
      <c r="BT1" s="140" t="s">
        <v>435</v>
      </c>
      <c r="BU1" s="140" t="s">
        <v>436</v>
      </c>
      <c r="BV1" s="159" t="s">
        <v>437</v>
      </c>
      <c r="BW1" s="159" t="s">
        <v>438</v>
      </c>
      <c r="BX1" s="159" t="s">
        <v>439</v>
      </c>
      <c r="BY1" s="159" t="s">
        <v>440</v>
      </c>
      <c r="BZ1" s="159" t="s">
        <v>441</v>
      </c>
      <c r="CA1" s="159" t="s">
        <v>442</v>
      </c>
      <c r="CB1" s="159" t="s">
        <v>443</v>
      </c>
      <c r="CC1" s="159" t="s">
        <v>444</v>
      </c>
      <c r="CD1" s="229" t="s">
        <v>445</v>
      </c>
      <c r="CE1" s="231" t="s">
        <v>292</v>
      </c>
      <c r="CF1" s="159" t="s">
        <v>446</v>
      </c>
      <c r="CG1" s="159" t="s">
        <v>447</v>
      </c>
      <c r="CH1" s="159" t="s">
        <v>448</v>
      </c>
      <c r="CI1" s="159" t="s">
        <v>449</v>
      </c>
      <c r="CJ1" s="159" t="s">
        <v>450</v>
      </c>
      <c r="CK1" s="182"/>
    </row>
    <row r="2" spans="1:89">
      <c r="A2" s="180" t="str">
        <f>IF(基本信息!B2="","",基本信息!B2)</f>
        <v>CUS1525-0002</v>
      </c>
      <c r="B2" s="64" t="str">
        <f>IF(基本信息!C2="","",基本信息!C2)</f>
        <v>杨明华</v>
      </c>
      <c r="C2" s="90">
        <f>基本信息!Q2+基本信息!R2*基本信息!CW2</f>
        <v>37337.5</v>
      </c>
      <c r="D2" s="90">
        <f>基本信息!S2</f>
        <v>0</v>
      </c>
      <c r="E2" s="90">
        <f>基本信息!CX2</f>
        <v>0</v>
      </c>
      <c r="F2" s="90">
        <f>基本信息!CY2</f>
        <v>0</v>
      </c>
      <c r="G2" s="90">
        <f>基本信息!CZ2</f>
        <v>497</v>
      </c>
      <c r="H2" s="90">
        <f>ROUND(C2*基本信息!DA2*1.5/(21.75*8),2)</f>
        <v>0</v>
      </c>
      <c r="I2" s="90">
        <f>ROUND(C2*基本信息!DB2*2/(21.75*8),2)</f>
        <v>0</v>
      </c>
      <c r="J2" s="90">
        <f>ROUND(C2*基本信息!DC2*3/(21.75*8),2)</f>
        <v>0</v>
      </c>
      <c r="K2" s="90">
        <f>ROUND(IF(AND(基本信息!DD2=23,基本信息!DE2=12),((C2+D2)*12/21.75+(C2+D2)-(C2+D2)*11/21.75)/2,IF(基本信息!DE2&gt;基本信息!DD2/2,(C2+D2)-(C2+D2)*(基本信息!DD2-基本信息!DE2)/21.75,(C2+D2)*基本信息!DE2/21.75)),2)</f>
        <v>0</v>
      </c>
      <c r="L2" s="90">
        <f>MAX(0,ROUND((C2+D2)*基本信息!DF2/21.75,2))</f>
        <v>0</v>
      </c>
      <c r="M2" s="90">
        <f>MAX(0,ROUND((C2+D2)*基本信息!DG2/21.75,2))</f>
        <v>0</v>
      </c>
      <c r="N2" s="90">
        <f>基本信息!DI2</f>
        <v>0</v>
      </c>
      <c r="O2" s="90">
        <f>基本信息!T2+基本信息!DJ2</f>
        <v>1220.5999999999999</v>
      </c>
      <c r="P2" s="90">
        <f>基本信息!U2+基本信息!DK2</f>
        <v>0</v>
      </c>
      <c r="Q2" s="90">
        <f>基本信息!V2</f>
        <v>0</v>
      </c>
      <c r="R2" s="90">
        <f>基本信息!W2*基本信息!DL2</f>
        <v>0</v>
      </c>
      <c r="S2" s="90">
        <f>基本信息!X2*基本信息!DM2</f>
        <v>0</v>
      </c>
      <c r="T2" s="90">
        <f>基本信息!Y2*基本信息!DN2+基本信息!DO2</f>
        <v>0</v>
      </c>
      <c r="U2" s="90">
        <f>基本信息!Z2*基本信息!DP2</f>
        <v>0</v>
      </c>
      <c r="V2" s="90">
        <f>基本信息!AA2*基本信息!DQ2</f>
        <v>0</v>
      </c>
      <c r="W2" s="142">
        <f>基本信息!AD2+基本信息!DR2</f>
        <v>0</v>
      </c>
      <c r="X2" s="142">
        <f>基本信息!AE2+基本信息!DS2</f>
        <v>0</v>
      </c>
      <c r="Y2" s="142">
        <f>基本信息!DT2</f>
        <v>0</v>
      </c>
      <c r="Z2" s="90">
        <f>IF(VLOOKUP(基本信息!$H2,各地政策!$A:$X,21,0)="进位",ROUNDUP(基本信息!AF2*基本信息!AN2,VLOOKUP(基本信息!$H2,各地政策!$A:$X,20,0)),IF(VLOOKUP(基本信息!$H2,各地政策!$A:$X,21,0)="四舍五入",ROUND(基本信息!AF2*基本信息!AN2,VLOOKUP(基本信息!$H2,各地政策!$A:$X,20,0)),ROUND(基本信息!AF2*基本信息!AN2-IF(VLOOKUP(基本信息!$H2,各地政策!$A:$X,20,0)=0,0.5,IF(VLOOKUP(基本信息!$H2,各地政策!$A:$X,20,0)=1,0.05,0.005)),VLOOKUP(基本信息!$H2,各地政策!$A:$X,20,0))))</f>
        <v>2200.08</v>
      </c>
      <c r="AA2" s="90">
        <f>IF(VLOOKUP(基本信息!$H2,各地政策!$A:$X,21,0)="进位",ROUNDUP(基本信息!AG2*基本信息!AO2,VLOOKUP(基本信息!$H2,各地政策!$A:$X,20,0)),IF(VLOOKUP(基本信息!$H2,各地政策!$A:$X,21,0)="四舍五入",ROUND(基本信息!AG2*基本信息!AO2,VLOOKUP(基本信息!$H2,各地政策!$A:$X,20,0)),ROUND(基本信息!AG2*基本信息!AO2-IF(VLOOKUP(基本信息!$H2,各地政策!$A:$X,20,0)=0,0.5,IF(VLOOKUP(基本信息!$H2,各地政策!$A:$X,20,0)=1,0.05,0.005)),VLOOKUP(基本信息!$H2,各地政策!$A:$X,20,0))))+基本信息!AT2</f>
        <v>673.32</v>
      </c>
      <c r="AB2" s="90">
        <f>IF(VLOOKUP(基本信息!$H2,各地政策!$A:$X,21,0)="进位",ROUNDUP(基本信息!AH2*基本信息!AP2,VLOOKUP(基本信息!$H2,各地政策!$A:$X,20,0)),IF(VLOOKUP(基本信息!$H2,各地政策!$A:$X,21,0)="四舍五入",ROUND(基本信息!AH2*基本信息!AP2,VLOOKUP(基本信息!$H2,各地政策!$A:$X,20,0)),ROUND(基本信息!AH2*基本信息!AP2-IF(VLOOKUP(基本信息!$H2,各地政策!$A:$X,20,0)=0,0.5,IF(VLOOKUP(基本信息!$H2,各地政策!$A:$X,20,0)=1,0.05,0.005)),VLOOKUP(基本信息!$H2,各地政策!$A:$X,20,0))))</f>
        <v>87.32</v>
      </c>
      <c r="AC2" s="90">
        <f>IF(VLOOKUP(基本信息!$I2,各地政策!$A:$X,24,0)="进位",ROUNDUP(基本信息!AL2*基本信息!AQ2,VLOOKUP(基本信息!$I2,各地政策!$A:$X,23,0)),IF(VLOOKUP(基本信息!$I2,各地政策!$A:$X,24,0)="四舍五入",ROUND(基本信息!AL2*基本信息!AQ2,VLOOKUP(基本信息!$I2,各地政策!$A:$X,23,0)),ROUND(基本信息!AL2*基本信息!AQ2-IF(VLOOKUP(基本信息!$I2,各地政策!$A:$X,23,0)=0,0.5,IF(VLOOKUP(基本信息!$I2,各地政策!$A:$X,23,0)=1,0.05,0.005)),VLOOKUP(基本信息!$I2,各地政策!$A:$X,23,0))))</f>
        <v>4365.8999999999996</v>
      </c>
      <c r="AD2" s="90">
        <f>IF(VLOOKUP(基本信息!$I2,各地政策!$A:$X,24,0)="进位",ROUNDUP(基本信息!AM2*基本信息!AR2,VLOOKUP(基本信息!$I2,各地政策!$A:$X,23,0)),IF(VLOOKUP(基本信息!$I2,各地政策!$A:$X,24,0)="四舍五入",ROUND(基本信息!AM2*基本信息!AR2,VLOOKUP(基本信息!$I2,各地政策!$A:$X,23,0)),ROUND(基本信息!AM2*基本信息!AR2-IF(VLOOKUP(基本信息!$I2,各地政策!$A:$X,23,0)=0,0.5,IF(VLOOKUP(基本信息!$I2,各地政策!$A:$X,23,0)=1,0.05,0.005)),VLOOKUP(基本信息!$I2,各地政策!$A:$X,23,0))))</f>
        <v>0</v>
      </c>
      <c r="AE2" s="90">
        <f>基本信息!DU2+基本信息!DV2+基本信息!DW2</f>
        <v>0</v>
      </c>
      <c r="AF2" s="90">
        <f>基本信息!DX2</f>
        <v>0</v>
      </c>
      <c r="AG2" s="90">
        <f>基本信息!BF2</f>
        <v>0</v>
      </c>
      <c r="AH2" s="90">
        <f>基本信息!BG2</f>
        <v>0</v>
      </c>
      <c r="AI2" s="90">
        <f>基本信息!BH2+基本信息!DZ2</f>
        <v>0</v>
      </c>
      <c r="AJ2" s="90">
        <f>IF(基本信息!P2="税前",SUM(C2:J2)+SUM(O2:W2)-SUM(K2:N2)-SUM(X2:X2)+Y2-AG2-AH2+AI2,0)</f>
        <v>39055.1</v>
      </c>
      <c r="AK2" s="90">
        <f>IF(基本信息!J2=3,MAX(AJ2*0.2,800),5000)</f>
        <v>5000</v>
      </c>
      <c r="AL2" s="90">
        <f>IF(基本信息!P2="税前",SUMIF(YTD!$A$2:$A$2386,$A2,YTD!$BB$2:$BB$2386)+SUMIF(YTD!$A$2:$A$2386,$A2,YTD!$AM$2:$AM$2386)+AJ2,0)</f>
        <v>240461.97855670101</v>
      </c>
      <c r="AM2" s="90">
        <f>SUMIF(YTD!$A$2:$A$2386,$A2,YTD!$AM$2:$AM$2386)+SUM(Z2:AF2)</f>
        <v>44478.12</v>
      </c>
      <c r="AN2" s="90">
        <f>SUMIF(YTD!$A$2:$A$2386,$A2,YTD!$AN$2:$AN$2386)+计算结果!AK2</f>
        <v>30000</v>
      </c>
      <c r="AO2" s="90">
        <f>基本信息!CO2</f>
        <v>24000</v>
      </c>
      <c r="AP2" s="90">
        <f>基本信息!CP2</f>
        <v>0</v>
      </c>
      <c r="AQ2" s="90">
        <f>基本信息!CQ2</f>
        <v>6000</v>
      </c>
      <c r="AR2" s="90">
        <f>基本信息!CR2</f>
        <v>0</v>
      </c>
      <c r="AS2" s="90">
        <f>基本信息!CS2</f>
        <v>18000</v>
      </c>
      <c r="AT2" s="232" cm="1">
        <f t="array" ref="AT2">SUMPRODUCT((基本信息!$B$2:$B$2375=$A2)*(基本信息!$CU$2:$CV$2375))+SUMIF(YTD!$A$2:$A$2386,$A2,YTD!$AT$2:$AT$2386)</f>
        <v>0</v>
      </c>
      <c r="AU2" s="233">
        <f>SUM(AN2:AT2,CE2)</f>
        <v>78000</v>
      </c>
      <c r="AV2" s="90">
        <f>IF(基本信息!P2="税前",AL2-AM2-AU2,0)</f>
        <v>117983.85855670102</v>
      </c>
      <c r="AW2" s="90" cm="1">
        <f t="array" ref="AW2">IF(基本信息!J2=1,MAX((AV2)*{0.03,0.1,0.2,0.25,0.3,0.35,0.45}-12*{0,210,1410,2660,4410,7160,15160},0),IF(基本信息!J2=4,MAX((AL2-AL2*0.2-AU2)*{0.03,0.1,0.2,0.25,0.3,0.35,0.45}-12*{0,210,1410,2660,4410,7160,15160},0),0))</f>
        <v>9278.3858556701016</v>
      </c>
      <c r="AX2" s="90" cm="1">
        <f t="array" ref="AX2">MAX(ROUND(IF(基本信息!J2=3,MAX((AJ2-IF(AJ2&lt;4000,800,AJ2*0.2))*10%*{2,3,4}-1000*{0,2,7},0),IF(基本信息!J2=2,MAX((AJ2-SUM(Z2:AG2)-AK2)*{0.03,0.1,0.2,0.25,0.3,0.35,0.45}-{0,210,1410,2660,4410,7160,15160},0),IF(基本信息!P2="税前",AW2-ROUND(SUMIF(YTD!$A$2:$A$2386,$A2,YTD!$CD$2:$CD$2386),2),0))),2),0)</f>
        <v>1872.85</v>
      </c>
      <c r="AY2" s="142">
        <f>基本信息!BI2+基本信息!EA2</f>
        <v>58.5</v>
      </c>
      <c r="AZ2" s="142">
        <f>IF(基本信息!P2="税前",0,SUM(C2:J2)-SUM(K2:N2)+SUM(O2:W2)-X2+Y2+AI2)+AY2</f>
        <v>58.5</v>
      </c>
      <c r="BA2" s="142">
        <f>IF(OR(基本信息!J2=1,基本信息!J2=4),IF(基本信息!P2="税前",AL2-AM2-AW2+AZ2,AZ2+SUMIF(YTD!$A$2:$A$2386,$A2,YTD!$BA$2:$BA$2386)),IF(基本信息!P2="税前",AJ2-SUM(Z2:AG2)-AX2+AZ2,AZ2))</f>
        <v>186763.9727010309</v>
      </c>
      <c r="BB2" s="142" cm="1">
        <f t="array" ref="BB2">IF(基本信息!J2=3,LOOKUP(AJ2-AX2+AZ2,{0,800,3360,21000,49500},(AJ2-AX2+AZ2-{0,160,0,2000,7000})*{1,5,25,25,25}/{1,4,21,19,17}),IF(基本信息!J2=2,MAX((BA2-AK2-10*{0,21,141,266,441,716,1516})/(1-5%*{0.6,2,4,5,6,7,9})+AK2,BA2),IF(基本信息!J2=4,MAX((BA2-AU2-(AL2*0.2)-120*{0,21,141,266,441,716,1516})/(1-5%*{0.6,2,4,5,6,7,9})+AU2+(AL2*0.2),BA2),MAX((BA2-AU2-120*{0,21,141,266,441,716,1516})/(1-5%*{0.6,2,4,5,6,7,9})+AU2,BA2))))</f>
        <v>196048.85855670099</v>
      </c>
      <c r="BC2" s="142">
        <f>IF(OR(基本信息!J2=1,基本信息!J2=4),BB2-IFERROR(VLOOKUP($A2,YTD!$A:$BB,54,0),0),BB2)+SUM(Z2:AF2)</f>
        <v>39120.099999999984</v>
      </c>
      <c r="BD2" s="142" cm="1">
        <f t="array" ref="BD2">IF(基本信息!J2=4,MAX((BB2-BB2*0.2-AU2)*{0.03,0.1,0.2,0.25,0.3,0.35,0.45}-12*{0,210,1410,2660,4410,7160,15160},0),IF(基本信息!J2=3,MAX((BB2-IF(BB2&lt;4000,800,BB2*0.2))*10%*{2,3,4}-1000*{0,2,7},0),IF(基本信息!J2=2,MAX((BB2-AK2)*{0.03,0.1,0.2,0.25,0.3,0.35,0.45}-{0,210,1410,2660,4410,7160,15160},0),MAX((BB2-AU2)*{0.03,0.1,0.2,0.25,0.3,0.35,0.45}-12*{0,210,1410,2660,4410,7160,15160},0))))</f>
        <v>9284.8858556700998</v>
      </c>
      <c r="BE2" s="90">
        <f>MAX(ROUND(IF(基本信息!J2=1,BD2-AX2-ROUND(SUMIF(YTD!$A$2:$A$2386,$A2,YTD!$CD$2:$CD$2386),2),IF(基本信息!J2=4,BD2-AX2-ROUND(SUMIF(YTD!$A$2:$A$2386,$A2,YTD!$CD$2:$CD$2386),2),BD2-AX2)),2),0)</f>
        <v>6.5</v>
      </c>
      <c r="BF2" s="90">
        <f ca="1">IF(YEARFRAC(基本信息!AB2,TODAY())*12-1&lt;192,基本信息!AC2,0)</f>
        <v>0</v>
      </c>
      <c r="BG2" s="90">
        <f>IF(VLOOKUP(基本信息!$I2,各地政策!$A:$X,24,0)="进位",ROUNDUP(基本信息!AM2*基本信息!AS2,VLOOKUP(基本信息!$I2,各地政策!$A:$X,23,0)),IF(VLOOKUP(基本信息!$I2,各地政策!$A:$X,24,0)="四舍五入",ROUND(基本信息!AM2*基本信息!AS2,VLOOKUP(基本信息!$I2,各地政策!$A:$X,23,0)),ROUND(基本信息!AM2*基本信息!AS2-IF(VLOOKUP(基本信息!$I2,各地政策!$A:$X,23,0)=0,0.5,IF(VLOOKUP(基本信息!$I2,各地政策!$A:$X,23,0)=1,0.05,0.005)),VLOOKUP(基本信息!$I2,各地政策!$A:$X,23,0))))</f>
        <v>0</v>
      </c>
      <c r="BH2" s="59">
        <f>基本信息!EB2</f>
        <v>439.8</v>
      </c>
      <c r="BI2" s="59">
        <f>基本信息!EC2</f>
        <v>0</v>
      </c>
      <c r="BJ2" s="59">
        <f>基本信息!BJ2</f>
        <v>0</v>
      </c>
      <c r="BK2" s="59">
        <f>基本信息!BL2+基本信息!DY2+基本信息!ED2</f>
        <v>0</v>
      </c>
      <c r="BL2" s="59">
        <f>基本信息!BK2+基本信息!EE2</f>
        <v>0</v>
      </c>
      <c r="BM2" s="59">
        <f>基本信息!EG2</f>
        <v>0</v>
      </c>
      <c r="BN2" s="59" cm="1">
        <f t="array" ref="BN2">IF(基本信息!J2=2,MAX((BM2/6)*{0.03,0.1,0.2,0.25,0.3,0.35,0.45}-{0,210,1410,2660,4410,7160,15160},0)*6,ROUND((BM2)*LOOKUP(-(BM2)/12,-{99999,80,55,35,25,12,3,0,-9}*1000,{9,7,6,5,4,2,0.6,0,0}*5%)-LOOKUP(-(BM2)/12,-{99999,80,55,35,25,12,3,0,-9}*1000,{1516,716,441,266,141,21,0,0}*10),2))</f>
        <v>0</v>
      </c>
      <c r="BO2" s="59">
        <f>基本信息!EH2</f>
        <v>0</v>
      </c>
      <c r="BP2" s="59" cm="1">
        <f t="array" ref="BP2">IFERROR(ROUND(MAX((基本信息!EH2-基本信息!EI2)*{0.03,0.1,0.2,0.25,0.3,0.35,0.45}-12*{0,210,1410,2660,4410,7160,15160},0),2),0)</f>
        <v>0</v>
      </c>
      <c r="BQ2" s="59">
        <f>基本信息!EK2</f>
        <v>0</v>
      </c>
      <c r="BR2" s="59" cm="1">
        <f t="array" ref="BR2">ROUND((BQ2)*LOOKUP(-BQ2,-{99999,96,66,42,30,14.4,3.6,0,-9}*10000,{9,7,6,5,4,2,0.6,0,0}*5%)-LOOKUP(-BQ2,-{99999,96,66,42,30,14.4,3.6,0,-9}*10000,{18192,8592,5292,3192,1692,252,0,0}*10),2)</f>
        <v>0</v>
      </c>
      <c r="BS2" s="144">
        <f ca="1">SUM(C2:J2)+SUM(O2:W2)+Y2+AY2+BF2+BK2+BM2+BO2+BH2+BJ2+BI2+BQ2</f>
        <v>39553.4</v>
      </c>
      <c r="BT2" s="142">
        <f>IF(基本信息!P2="税前",SUM(K2:N2)+SUM(X2,Z2:AH2)+AX2+BG2+BL2+BN2+BP2+BR2,SUM(K2:N2,X2,BL2,BN2,BP2,BR2))</f>
        <v>9199.4699999999993</v>
      </c>
      <c r="BU2" s="142">
        <f t="shared" ref="BU2" ca="1" si="0">ROUND(BS2-BT2,2)</f>
        <v>30353.93</v>
      </c>
      <c r="BV2" s="90">
        <f>IF(VLOOKUP(基本信息!$H2,各地政策!$A:$X,21,0)="进位",ROUNDUP(基本信息!AF2*基本信息!AU2,VLOOKUP(基本信息!$H2,各地政策!$A:$X,20,0)),IF(VLOOKUP(基本信息!$H2,各地政策!$A:$X,21,0)="四舍五入",ROUND(基本信息!AF2*基本信息!AU2,VLOOKUP(基本信息!$H2,各地政策!$A:$X,20,0)),ROUND(基本信息!AF2*基本信息!AU2-IF(VLOOKUP(基本信息!$H2,各地政策!$A:$X,20,0)=0,0.5,IF(VLOOKUP(基本信息!$H2,各地政策!$A:$X,20,0)=1,0.05,0.005)),VLOOKUP(基本信息!$H2,各地政策!$A:$X,20,0))))</f>
        <v>4675.17</v>
      </c>
      <c r="BW2" s="90">
        <f>IF(VLOOKUP(基本信息!$H2,各地政策!$A:$X,21,0)="进位",ROUNDUP(基本信息!AG2*基本信息!AV2,VLOOKUP(基本信息!$H2,各地政策!$A:$X,20,0)),IF(VLOOKUP(基本信息!$H2,各地政策!$A:$X,21,0)="四舍五入",ROUND(基本信息!AG2*基本信息!AV2,VLOOKUP(基本信息!$H2,各地政策!$A:$X,20,0)),ROUND(基本信息!AG2*基本信息!AV2-IF(VLOOKUP(基本信息!$H2,各地政策!$A:$X,20,0)=0,0.5,IF(VLOOKUP(基本信息!$H2,各地政策!$A:$X,20,0)=1,0.05,0.005)),VLOOKUP(基本信息!$H2,各地政策!$A:$X,20,0))))+基本信息!BC2</f>
        <v>1683.3</v>
      </c>
      <c r="BX2" s="90">
        <f>IF(VLOOKUP(基本信息!$H2,各地政策!$A:$X,21,0)="进位",ROUNDUP(基本信息!AH2*基本信息!AW2,VLOOKUP(基本信息!$H2,各地政策!$A:$X,20,0)),IF(VLOOKUP(基本信息!$H2,各地政策!$A:$X,21,0)="四舍五入",ROUND(基本信息!AH2*基本信息!AW2,VLOOKUP(基本信息!$H2,各地政策!$A:$X,20,0)),ROUND(基本信息!AH2*基本信息!AW2-IF(VLOOKUP(基本信息!$H2,各地政策!$A:$X,20,0)=0,0.5,IF(VLOOKUP(基本信息!$H2,各地政策!$A:$X,20,0)=1,0.05,0.005)),VLOOKUP(基本信息!$H2,各地政策!$A:$X,20,0))))</f>
        <v>349.27</v>
      </c>
      <c r="BY2" s="90">
        <f>IF(VLOOKUP(基本信息!$H2,各地政策!$A:$X,21,0)="进位",ROUNDUP(基本信息!AI2*基本信息!AX2,VLOOKUP(基本信息!$H2,各地政策!$A:$X,20,0)),IF(VLOOKUP(基本信息!$H2,各地政策!$A:$X,21,0)="四舍五入",ROUND(基本信息!AI2*基本信息!AX2,VLOOKUP(基本信息!$H2,各地政策!$A:$X,20,0)),ROUND(基本信息!AI2*基本信息!AX2-IF(VLOOKUP(基本信息!$H2,各地政策!$A:$X,20,0)=0,0.5,IF(VLOOKUP(基本信息!$H2,各地政策!$A:$X,20,0)=1,0.05,0.005)),VLOOKUP(基本信息!$H2,各地政策!$A:$X,20,0))))</f>
        <v>168.33</v>
      </c>
      <c r="BZ2" s="90">
        <f>IF(VLOOKUP(基本信息!$H2,各地政策!$A:$X,21,0)="进位",ROUNDUP(基本信息!AJ2*基本信息!AY2,VLOOKUP(基本信息!$H2,各地政策!$A:$X,20,0)),IF(VLOOKUP(基本信息!$H2,各地政策!$A:$X,21,0)="四舍五入",ROUND(基本信息!AJ2*基本信息!AY2,VLOOKUP(基本信息!$H2,各地政策!$A:$X,20,0)),ROUND(基本信息!AJ2*基本信息!AY2-IF(VLOOKUP(基本信息!$H2,各地政策!$A:$X,20,0)=0,0.5,IF(VLOOKUP(基本信息!$H2,各地政策!$A:$X,20,0)=1,0.05,0.005)),VLOOKUP(基本信息!$H2,各地政策!$A:$X,20,0))))+基本信息!BD2</f>
        <v>206.84</v>
      </c>
      <c r="CA2" s="90">
        <f>IF(VLOOKUP(基本信息!$H2,各地政策!$A:$X,21,0)="进位",ROUNDUP(基本信息!AK2*基本信息!AZ2+基本信息!BE2,VLOOKUP(基本信息!$H2,各地政策!$A:$X,20,0)),IF(VLOOKUP(基本信息!$H2,各地政策!$A:$X,21,0)="四舍五入",ROUND(基本信息!AK2*基本信息!AZ2+基本信息!BE2,VLOOKUP(基本信息!$H2,各地政策!$A:$X,20,0)),ROUND(基本信息!AK2*基本信息!AZ2+基本信息!BE2-IF(VLOOKUP(基本信息!$H2,各地政策!$A:$X,20,0)=0,0.5,IF(VLOOKUP(基本信息!$H2,各地政策!$A:$X,20,0)=1,0.05,0.005)),VLOOKUP(基本信息!$H2,各地政策!$A:$X,20,0))))</f>
        <v>56</v>
      </c>
      <c r="CB2" s="90">
        <f>IF(VLOOKUP(基本信息!$I2,各地政策!$A:$X,24,0)="进位",ROUNDUP(基本信息!AL2*(基本信息!BA2),VLOOKUP(基本信息!$I2,各地政策!$A:$X,23,0)),IF(VLOOKUP(基本信息!$I2,各地政策!$A:$X,24,0)="四舍五入",ROUND(基本信息!AL2*(基本信息!BA2),VLOOKUP(基本信息!$I2,各地政策!$A:$X,23,0)),ROUND(基本信息!AL2*(基本信息!BA2)-IF(VLOOKUP(基本信息!$I2,各地政策!$A:$X,23,0)=0,0.5,IF(VLOOKUP(基本信息!$I2,各地政策!$A:$X,23,0)=1,0.05,0.005)),VLOOKUP(基本信息!$I2,各地政策!$A:$X,23,0))))</f>
        <v>4365.8999999999996</v>
      </c>
      <c r="CC2" s="90">
        <f>IF(VLOOKUP(基本信息!$I2,各地政策!$A:$X,24,0)="进位",ROUNDUP(基本信息!AM2*(基本信息!BB2),VLOOKUP(基本信息!$I2,各地政策!$A:$X,23,0)),IF(VLOOKUP(基本信息!$I2,各地政策!$A:$X,24,0)="四舍五入",ROUND(基本信息!AM2*(基本信息!BB2),VLOOKUP(基本信息!$I2,各地政策!$A:$X,23,0)),ROUND(基本信息!AM2*(基本信息!BB2)-IF(VLOOKUP(基本信息!$I2,各地政策!$A:$X,23,0)=0,0.5,IF(VLOOKUP(基本信息!$I2,各地政策!$A:$X,23,0)=1,0.05,0.005)),VLOOKUP(基本信息!$I2,各地政策!$A:$X,23,0))))</f>
        <v>0</v>
      </c>
      <c r="CD2" s="90">
        <f>AX2+BE2+IFERROR(VLOOKUP($A2,YTD!$A:$CD,82,0),0)</f>
        <v>9284.89</v>
      </c>
      <c r="CE2" s="232">
        <f>基本信息!CT2</f>
        <v>0</v>
      </c>
      <c r="CF2" s="184">
        <f ca="1">'S-Payroll Report'!X8</f>
        <v>0</v>
      </c>
      <c r="CG2" s="184">
        <f>'S-Payroll Report'!AD8</f>
        <v>0</v>
      </c>
      <c r="CH2" s="184">
        <f>'S-Payroll Report'!AC8</f>
        <v>0</v>
      </c>
      <c r="CI2" s="184">
        <f>'S-Payroll Report'!AA8</f>
        <v>450</v>
      </c>
      <c r="CJ2" s="184">
        <f>'S-Payroll Report'!AF8</f>
        <v>30.47</v>
      </c>
      <c r="CK2" s="184">
        <f>基本信息!EM2+基本信息!EN2+基本信息!EO2</f>
        <v>0</v>
      </c>
    </row>
    <row r="3" spans="1:89">
      <c r="A3" s="180" t="str">
        <f>IF(基本信息!B3="","",基本信息!B3)</f>
        <v/>
      </c>
      <c r="B3" s="64" t="str">
        <f>IF(基本信息!C3="","",基本信息!C3)</f>
        <v/>
      </c>
      <c r="C3" s="90">
        <f>基本信息!Q3+基本信息!R3*基本信息!CW3</f>
        <v>0</v>
      </c>
      <c r="D3" s="90">
        <f>基本信息!S3</f>
        <v>0</v>
      </c>
      <c r="E3" s="90">
        <f>基本信息!CX3</f>
        <v>0</v>
      </c>
      <c r="F3" s="90">
        <f>基本信息!CY3</f>
        <v>0</v>
      </c>
      <c r="G3" s="90">
        <f>基本信息!CZ3</f>
        <v>0</v>
      </c>
      <c r="H3" s="90">
        <f>ROUND(C3*基本信息!DA3*1.5/(21.75*8),2)</f>
        <v>0</v>
      </c>
      <c r="I3" s="90">
        <f>ROUND(C3*基本信息!DB3*2/(21.75*8),2)</f>
        <v>0</v>
      </c>
      <c r="J3" s="90">
        <f>ROUND(C3*基本信息!DC3*3/(21.75*8),2)</f>
        <v>0</v>
      </c>
      <c r="K3" s="90">
        <f>ROUND(IF(AND(基本信息!DD3=23,基本信息!DE3=12),((C3+D3)*12/21.75+(C3+D3)-(C3+D3)*11/21.75)/2,IF(基本信息!DE3&gt;基本信息!DD3/2,(C3+D3)-(C3+D3)*(基本信息!DD3-基本信息!DE3)/21.75,(C3+D3)*基本信息!DE3/21.75)),2)</f>
        <v>0</v>
      </c>
      <c r="L3" s="90">
        <f>MAX(0,ROUND((C3+D3)*基本信息!DF3/21.75,2))</f>
        <v>0</v>
      </c>
      <c r="M3" s="90">
        <f>MAX(0,ROUND((C3+D3)*基本信息!DG3/21.75,2))</f>
        <v>0</v>
      </c>
      <c r="N3" s="90">
        <f>基本信息!DI3</f>
        <v>0</v>
      </c>
      <c r="O3" s="90">
        <f>基本信息!T3+基本信息!DJ3</f>
        <v>0</v>
      </c>
      <c r="P3" s="90">
        <f>基本信息!U3+基本信息!DK3</f>
        <v>0</v>
      </c>
      <c r="Q3" s="90">
        <f>基本信息!V3</f>
        <v>0</v>
      </c>
      <c r="R3" s="90">
        <f>基本信息!W3*基本信息!DL3</f>
        <v>0</v>
      </c>
      <c r="S3" s="90">
        <f>基本信息!X3*基本信息!DM3</f>
        <v>0</v>
      </c>
      <c r="T3" s="90">
        <f>基本信息!Y3*基本信息!DN3+基本信息!DO3</f>
        <v>0</v>
      </c>
      <c r="U3" s="90">
        <f>基本信息!Z3*基本信息!DP3</f>
        <v>0</v>
      </c>
      <c r="V3" s="90">
        <f>基本信息!AA3*基本信息!DQ3</f>
        <v>0</v>
      </c>
      <c r="W3" s="142">
        <f>基本信息!AD3+基本信息!DR3</f>
        <v>0</v>
      </c>
      <c r="X3" s="142">
        <f>基本信息!AE3+基本信息!DS3</f>
        <v>0</v>
      </c>
      <c r="Y3" s="142">
        <f>基本信息!DT3</f>
        <v>0</v>
      </c>
      <c r="Z3" s="90" t="e">
        <f>IF(VLOOKUP(基本信息!$H3,各地政策!$A:$X,21,0)="进位",ROUNDUP(基本信息!AF3*基本信息!AN3,VLOOKUP(基本信息!$H3,各地政策!$A:$X,20,0)),IF(VLOOKUP(基本信息!$H3,各地政策!$A:$X,21,0)="四舍五入",ROUND(基本信息!AF3*基本信息!AN3,VLOOKUP(基本信息!$H3,各地政策!$A:$X,20,0)),ROUND(基本信息!AF3*基本信息!AN3-IF(VLOOKUP(基本信息!$H3,各地政策!$A:$X,20,0)=0,0.5,IF(VLOOKUP(基本信息!$H3,各地政策!$A:$X,20,0)=1,0.05,0.005)),VLOOKUP(基本信息!$H3,各地政策!$A:$X,20,0))))</f>
        <v>#N/A</v>
      </c>
      <c r="AA3" s="90" t="e">
        <f>IF(VLOOKUP(基本信息!$H3,各地政策!$A:$X,21,0)="进位",ROUNDUP(基本信息!AG3*基本信息!AO3,VLOOKUP(基本信息!$H3,各地政策!$A:$X,20,0)),IF(VLOOKUP(基本信息!$H3,各地政策!$A:$X,21,0)="四舍五入",ROUND(基本信息!AG3*基本信息!AO3,VLOOKUP(基本信息!$H3,各地政策!$A:$X,20,0)),ROUND(基本信息!AG3*基本信息!AO3-IF(VLOOKUP(基本信息!$H3,各地政策!$A:$X,20,0)=0,0.5,IF(VLOOKUP(基本信息!$H3,各地政策!$A:$X,20,0)=1,0.05,0.005)),VLOOKUP(基本信息!$H3,各地政策!$A:$X,20,0))))+基本信息!AT3</f>
        <v>#N/A</v>
      </c>
      <c r="AB3" s="90" t="e">
        <f>IF(VLOOKUP(基本信息!$H3,各地政策!$A:$X,21,0)="进位",ROUNDUP(基本信息!AH3*基本信息!AP3,VLOOKUP(基本信息!$H3,各地政策!$A:$X,20,0)),IF(VLOOKUP(基本信息!$H3,各地政策!$A:$X,21,0)="四舍五入",ROUND(基本信息!AH3*基本信息!AP3,VLOOKUP(基本信息!$H3,各地政策!$A:$X,20,0)),ROUND(基本信息!AH3*基本信息!AP3-IF(VLOOKUP(基本信息!$H3,各地政策!$A:$X,20,0)=0,0.5,IF(VLOOKUP(基本信息!$H3,各地政策!$A:$X,20,0)=1,0.05,0.005)),VLOOKUP(基本信息!$H3,各地政策!$A:$X,20,0))))</f>
        <v>#N/A</v>
      </c>
      <c r="AC3" s="90" t="e">
        <f>IF(VLOOKUP(基本信息!$I3,各地政策!$A:$X,24,0)="进位",ROUNDUP(基本信息!AL3*基本信息!AQ3,VLOOKUP(基本信息!$I3,各地政策!$A:$X,23,0)),IF(VLOOKUP(基本信息!$I3,各地政策!$A:$X,24,0)="四舍五入",ROUND(基本信息!AL3*基本信息!AQ3,VLOOKUP(基本信息!$I3,各地政策!$A:$X,23,0)),ROUND(基本信息!AL3*基本信息!AQ3-IF(VLOOKUP(基本信息!$I3,各地政策!$A:$X,23,0)=0,0.5,IF(VLOOKUP(基本信息!$I3,各地政策!$A:$X,23,0)=1,0.05,0.005)),VLOOKUP(基本信息!$I3,各地政策!$A:$X,23,0))))</f>
        <v>#N/A</v>
      </c>
      <c r="AD3" s="90" t="e">
        <f>IF(VLOOKUP(基本信息!$I3,各地政策!$A:$X,24,0)="进位",ROUNDUP(基本信息!AM3*基本信息!AR3,VLOOKUP(基本信息!$I3,各地政策!$A:$X,23,0)),IF(VLOOKUP(基本信息!$I3,各地政策!$A:$X,24,0)="四舍五入",ROUND(基本信息!AM3*基本信息!AR3,VLOOKUP(基本信息!$I3,各地政策!$A:$X,23,0)),ROUND(基本信息!AM3*基本信息!AR3-IF(VLOOKUP(基本信息!$I3,各地政策!$A:$X,23,0)=0,0.5,IF(VLOOKUP(基本信息!$I3,各地政策!$A:$X,23,0)=1,0.05,0.005)),VLOOKUP(基本信息!$I3,各地政策!$A:$X,23,0))))</f>
        <v>#N/A</v>
      </c>
      <c r="AE3" s="90">
        <f>基本信息!DU3+基本信息!DV3+基本信息!DW3</f>
        <v>0</v>
      </c>
      <c r="AF3" s="90">
        <f>基本信息!DX3</f>
        <v>0</v>
      </c>
      <c r="AG3" s="90">
        <f>基本信息!BF3</f>
        <v>0</v>
      </c>
      <c r="AH3" s="90">
        <f>基本信息!BG3</f>
        <v>0</v>
      </c>
      <c r="AI3" s="90">
        <f>基本信息!BH3+基本信息!DZ3</f>
        <v>0</v>
      </c>
      <c r="AJ3" s="90">
        <f>IF(基本信息!P3="税前",SUM(C3:J3)+SUM(O3:W3)-SUM(K3:N3)-SUM(X3:X3)+Y3-AG3-AH3+AI3,0)</f>
        <v>0</v>
      </c>
      <c r="AK3" s="90">
        <f>IF(基本信息!J3=3,MAX(AJ3*0.2,800),5000)</f>
        <v>5000</v>
      </c>
      <c r="AL3" s="90">
        <f>IF(基本信息!P3="税前",SUMIF(YTD!$A$2:$A$2386,$A3,YTD!$BB$2:$BB$2386)+SUMIF(YTD!$A$2:$A$2386,$A3,YTD!$AM$2:$AM$2386)+AJ3,0)</f>
        <v>0</v>
      </c>
      <c r="AM3" s="90" t="e">
        <f>SUMIF(YTD!$A$2:$A$2386,$A3,YTD!$AM$2:$AM$2386)+SUM(Z3:AF3)</f>
        <v>#N/A</v>
      </c>
      <c r="AN3" s="90">
        <f>SUMIF(YTD!$A$2:$A$2386,$A3,YTD!$AN$2:$AN$2386)+计算结果!AK3</f>
        <v>5000</v>
      </c>
      <c r="AO3" s="90">
        <f>基本信息!CO3</f>
        <v>0</v>
      </c>
      <c r="AP3" s="90">
        <f>基本信息!CP3</f>
        <v>0</v>
      </c>
      <c r="AQ3" s="90">
        <f>基本信息!CQ3</f>
        <v>0</v>
      </c>
      <c r="AR3" s="90">
        <f>基本信息!CR3</f>
        <v>0</v>
      </c>
      <c r="AS3" s="90">
        <f>基本信息!CS3</f>
        <v>0</v>
      </c>
      <c r="AT3" s="232" cm="1">
        <f t="array" ref="AT3">SUMPRODUCT((基本信息!$B$2:$B$2375=$A3)*(基本信息!$CU$2:$CV$2375))+SUMIF(YTD!$A$2:$A$2386,$A3,YTD!$AT$2:$AT$2386)</f>
        <v>0</v>
      </c>
      <c r="AU3" s="233">
        <f t="shared" ref="AU3:AU9" si="1">SUM(AN3:AT3,CE3)</f>
        <v>5000</v>
      </c>
      <c r="AV3" s="90">
        <f>IF(基本信息!P3="税前",AL3-AM3-AU3,0)</f>
        <v>0</v>
      </c>
      <c r="AW3" s="90" cm="1">
        <f t="array" ref="AW3">IF(基本信息!J3=1,MAX((AV3)*{0.03,0.1,0.2,0.25,0.3,0.35,0.45}-12*{0,210,1410,2660,4410,7160,15160},0),IF(基本信息!J3=4,MAX((AL3-AL3*0.2-AU3)*{0.03,0.1,0.2,0.25,0.3,0.35,0.45}-12*{0,210,1410,2660,4410,7160,15160},0),0))</f>
        <v>0</v>
      </c>
      <c r="AX3" s="90" cm="1">
        <f t="array" ref="AX3">MAX(ROUND(IF(基本信息!J3=3,MAX((AJ3-IF(AJ3&lt;4000,800,AJ3*0.2))*10%*{2,3,4}-1000*{0,2,7},0),IF(基本信息!J3=2,MAX((AJ3-SUM(Z3:AG3)-AK3)*{0.03,0.1,0.2,0.25,0.3,0.35,0.45}-{0,210,1410,2660,4410,7160,15160},0),IF(基本信息!P3="税前",AW3-ROUND(SUMIF(YTD!$A$2:$A$2386,$A3,YTD!$CD$2:$CD$2386),2),0))),2),0)</f>
        <v>0</v>
      </c>
      <c r="AY3" s="142">
        <f>基本信息!BI3+基本信息!EA3</f>
        <v>0</v>
      </c>
      <c r="AZ3" s="142">
        <f>IF(基本信息!P3="税前",0,SUM(C3:J3)-SUM(K3:N3)+SUM(O3:W3)-X3+Y3+AI3)+AY3</f>
        <v>0</v>
      </c>
      <c r="BA3" s="142">
        <f>IF(OR(基本信息!J3=1,基本信息!J3=4),IF(基本信息!P3="税前",AL3-AM3-AW3+AZ3,AZ3+SUMIF(YTD!$A$2:$A$2386,$A3,YTD!$BA$2:$BA$2386)),IF(基本信息!P3="税前",AJ3-SUM(Z3:AG3)-AX3+AZ3+SUMIF(YTD!$A$2:$A$2386,$A3,YTD!$BA$2:$BA$2386),AZ3))</f>
        <v>0</v>
      </c>
      <c r="BB3" s="142" cm="1">
        <f t="array" ref="BB3">IF(基本信息!J3=3,LOOKUP(AJ3-AX3+AZ3,{0,800,3360,21000,49500},(AJ3-AX3+AZ3-{0,160,0,2000,7000})*{1,5,25,25,25}/{1,4,21,19,17}),IF(基本信息!J3=2,MAX((BA3-AK3-10*{0,21,141,266,441,716,1516})/(1-5%*{0.6,2,4,5,6,7,9})+AK3,BA3),IF(基本信息!J3=4,MAX((BA3-AU3-(AL3*0.2)-120*{0,21,141,266,441,716,1516})/(1-5%*{0.6,2,4,5,6,7,9})+AU3+(AL3*0.2),BA3),MAX((BA3-AU3-120*{0,21,141,266,441,716,1516})/(1-5%*{0.6,2,4,5,6,7,9})+AU3,BA3))))</f>
        <v>0</v>
      </c>
      <c r="BC3" s="142" t="e">
        <f>IF(OR(基本信息!J3=1,基本信息!J3=4),BB3-IFERROR(VLOOKUP($A3,YTD!$A:$BB,54,0),0),BB3)+SUM(Z3:AF3)</f>
        <v>#N/A</v>
      </c>
      <c r="BD3" s="142" cm="1">
        <f t="array" ref="BD3">IF(基本信息!J3=4,MAX((BB3-BB3*0.2-AU3)*{0.03,0.1,0.2,0.25,0.3,0.35,0.45}-12*{0,210,1410,2660,4410,7160,15160},0),IF(基本信息!J3=3,MAX((BB3-IF(BB3&lt;4000,800,BB3*0.2))*10%*{2,3,4}-1000*{0,2,7},0),IF(基本信息!J3=2,MAX((BB3-AK3)*{0.03,0.1,0.2,0.25,0.3,0.35,0.45}-{0,210,1410,2660,4410,7160,15160},0),MAX((BB3-AU3)*{0.03,0.1,0.2,0.25,0.3,0.35,0.45}-12*{0,210,1410,2660,4410,7160,15160},0))))</f>
        <v>0</v>
      </c>
      <c r="BE3" s="90">
        <f>MAX(ROUND(IF(基本信息!J3=1,BD3-AX3-ROUND(SUMIF(YTD!$A$2:$A$2386,$A3,YTD!$CD$2:$CD$2386),2),IF(基本信息!J3=4,BD3-AX3-ROUND(SUMIF(YTD!$A$2:$A$2386,$A3,YTD!$CD$2:$CD$2386),2),BD3-AX3)),2),0)</f>
        <v>0</v>
      </c>
      <c r="BF3" s="90">
        <f ca="1">IF(YEARFRAC(基本信息!AB3,TODAY())*12-1&lt;192,基本信息!AC3,0)</f>
        <v>0</v>
      </c>
      <c r="BG3" s="90" t="e">
        <f>IF(VLOOKUP(基本信息!$I3,各地政策!$A:$X,24,0)="进位",ROUNDUP(基本信息!AM3*基本信息!AS3,VLOOKUP(基本信息!$I3,各地政策!$A:$X,23,0)),IF(VLOOKUP(基本信息!$I3,各地政策!$A:$X,24,0)="四舍五入",ROUND(基本信息!AM3*基本信息!AS3,VLOOKUP(基本信息!$I3,各地政策!$A:$X,23,0)),ROUND(基本信息!AM3*基本信息!AS3-IF(VLOOKUP(基本信息!$I3,各地政策!$A:$X,23,0)=0,0.5,IF(VLOOKUP(基本信息!$I3,各地政策!$A:$X,23,0)=1,0.05,0.005)),VLOOKUP(基本信息!$I3,各地政策!$A:$X,23,0))))</f>
        <v>#N/A</v>
      </c>
      <c r="BH3" s="59">
        <f>基本信息!EB3</f>
        <v>0</v>
      </c>
      <c r="BI3" s="59">
        <f>基本信息!EC3</f>
        <v>0</v>
      </c>
      <c r="BJ3" s="59">
        <f>基本信息!BJ3</f>
        <v>0</v>
      </c>
      <c r="BK3" s="59">
        <f>基本信息!BL3+基本信息!DY3+基本信息!ED3</f>
        <v>0</v>
      </c>
      <c r="BL3" s="59">
        <f>基本信息!BK3+基本信息!EE3</f>
        <v>0</v>
      </c>
      <c r="BM3" s="59">
        <f>基本信息!EG3</f>
        <v>0</v>
      </c>
      <c r="BN3" s="59" cm="1">
        <f t="array" ref="BN3">IF(基本信息!J3=2,MAX((BM3/6)*{0.03,0.1,0.2,0.25,0.3,0.35,0.45}-{0,210,1410,2660,4410,7160,15160},0)*6,ROUND((BM3)*LOOKUP(-(BM3)/12,-{99999,80,55,35,25,12,3,0,-9}*1000,{9,7,6,5,4,2,0.6,0,0}*5%)-LOOKUP(-(BM3)/12,-{99999,80,55,35,25,12,3,0,-9}*1000,{1516,716,441,266,141,21,0,0}*10),2))</f>
        <v>0</v>
      </c>
      <c r="BO3" s="59">
        <f>基本信息!EH3</f>
        <v>0</v>
      </c>
      <c r="BP3" s="59" cm="1">
        <f t="array" ref="BP3">IFERROR(ROUND(MAX((基本信息!EH3-基本信息!EI3)*{0.03,0.1,0.2,0.25,0.3,0.35,0.45}-12*{0,210,1410,2660,4410,7160,15160},0),2),0)</f>
        <v>0</v>
      </c>
      <c r="BQ3" s="59">
        <f>基本信息!EK3</f>
        <v>0</v>
      </c>
      <c r="BR3" s="59" cm="1">
        <f t="array" ref="BR3">ROUND((BQ3)*LOOKUP(-BQ3,-{99999,96,66,42,30,14.4,3.6,0,-9}*10000,{9,7,6,5,4,2,0.6,0,0}*5%)-LOOKUP(-BQ3,-{99999,96,66,42,30,14.4,3.6,0,-9}*10000,{18192,8592,5292,3192,1692,252,0,0}*10),2)</f>
        <v>0</v>
      </c>
      <c r="BS3" s="144">
        <f t="shared" ref="BS3:BS9" ca="1" si="2">SUM(C3:J3)+SUM(O3:W3)+Y3+AY3+BF3+BK3+BM3+BO3+BH3+BJ3+BI3+BQ3</f>
        <v>0</v>
      </c>
      <c r="BT3" s="142">
        <f>IF(基本信息!P3="税前",SUM(K3:N3)+SUM(X3,Z3:AH3)+AX3+BG3+BL3+BN3+BP3+BR3,SUM(K3:N3,X3,BL3,BN3,BP3,BR3))</f>
        <v>0</v>
      </c>
      <c r="BU3" s="142">
        <f t="shared" ref="BU3:BU9" ca="1" si="3">ROUND(BS3-BT3,2)</f>
        <v>0</v>
      </c>
      <c r="BV3" s="90" t="e">
        <f>IF(VLOOKUP(基本信息!$H3,各地政策!$A:$X,21,0)="进位",ROUNDUP(基本信息!AF3*基本信息!AU3,VLOOKUP(基本信息!$H3,各地政策!$A:$X,20,0)),IF(VLOOKUP(基本信息!$H3,各地政策!$A:$X,21,0)="四舍五入",ROUND(基本信息!AF3*基本信息!AU3,VLOOKUP(基本信息!$H3,各地政策!$A:$X,20,0)),ROUND(基本信息!AF3*基本信息!AU3-IF(VLOOKUP(基本信息!$H3,各地政策!$A:$X,20,0)=0,0.5,IF(VLOOKUP(基本信息!$H3,各地政策!$A:$X,20,0)=1,0.05,0.005)),VLOOKUP(基本信息!$H3,各地政策!$A:$X,20,0))))</f>
        <v>#N/A</v>
      </c>
      <c r="BW3" s="90" t="e">
        <f>IF(VLOOKUP(基本信息!$H3,各地政策!$A:$X,21,0)="进位",ROUNDUP(基本信息!AG3*基本信息!AV3,VLOOKUP(基本信息!$H3,各地政策!$A:$X,20,0)),IF(VLOOKUP(基本信息!$H3,各地政策!$A:$X,21,0)="四舍五入",ROUND(基本信息!AG3*基本信息!AV3,VLOOKUP(基本信息!$H3,各地政策!$A:$X,20,0)),ROUND(基本信息!AG3*基本信息!AV3-IF(VLOOKUP(基本信息!$H3,各地政策!$A:$X,20,0)=0,0.5,IF(VLOOKUP(基本信息!$H3,各地政策!$A:$X,20,0)=1,0.05,0.005)),VLOOKUP(基本信息!$H3,各地政策!$A:$X,20,0))))+基本信息!BC3</f>
        <v>#N/A</v>
      </c>
      <c r="BX3" s="90" t="e">
        <f>IF(VLOOKUP(基本信息!$H3,各地政策!$A:$X,21,0)="进位",ROUNDUP(基本信息!AH3*基本信息!AW3,VLOOKUP(基本信息!$H3,各地政策!$A:$X,20,0)),IF(VLOOKUP(基本信息!$H3,各地政策!$A:$X,21,0)="四舍五入",ROUND(基本信息!AH3*基本信息!AW3,VLOOKUP(基本信息!$H3,各地政策!$A:$X,20,0)),ROUND(基本信息!AH3*基本信息!AW3-IF(VLOOKUP(基本信息!$H3,各地政策!$A:$X,20,0)=0,0.5,IF(VLOOKUP(基本信息!$H3,各地政策!$A:$X,20,0)=1,0.05,0.005)),VLOOKUP(基本信息!$H3,各地政策!$A:$X,20,0))))</f>
        <v>#N/A</v>
      </c>
      <c r="BY3" s="90" t="e">
        <f>IF(VLOOKUP(基本信息!$H3,各地政策!$A:$X,21,0)="进位",ROUNDUP(基本信息!AI3*基本信息!AX3,VLOOKUP(基本信息!$H3,各地政策!$A:$X,20,0)),IF(VLOOKUP(基本信息!$H3,各地政策!$A:$X,21,0)="四舍五入",ROUND(基本信息!AI3*基本信息!AX3,VLOOKUP(基本信息!$H3,各地政策!$A:$X,20,0)),ROUND(基本信息!AI3*基本信息!AX3-IF(VLOOKUP(基本信息!$H3,各地政策!$A:$X,20,0)=0,0.5,IF(VLOOKUP(基本信息!$H3,各地政策!$A:$X,20,0)=1,0.05,0.005)),VLOOKUP(基本信息!$H3,各地政策!$A:$X,20,0))))</f>
        <v>#N/A</v>
      </c>
      <c r="BZ3" s="90" t="e">
        <f>IF(VLOOKUP(基本信息!$H3,各地政策!$A:$X,21,0)="进位",ROUNDUP(基本信息!AJ3*基本信息!AY3,VLOOKUP(基本信息!$H3,各地政策!$A:$X,20,0)),IF(VLOOKUP(基本信息!$H3,各地政策!$A:$X,21,0)="四舍五入",ROUND(基本信息!AJ3*基本信息!AY3,VLOOKUP(基本信息!$H3,各地政策!$A:$X,20,0)),ROUND(基本信息!AJ3*基本信息!AY3-IF(VLOOKUP(基本信息!$H3,各地政策!$A:$X,20,0)=0,0.5,IF(VLOOKUP(基本信息!$H3,各地政策!$A:$X,20,0)=1,0.05,0.005)),VLOOKUP(基本信息!$H3,各地政策!$A:$X,20,0))))+基本信息!BD3</f>
        <v>#N/A</v>
      </c>
      <c r="CA3" s="90" t="e">
        <f>IF(VLOOKUP(基本信息!$H3,各地政策!$A:$X,21,0)="进位",ROUNDUP(基本信息!AK3*基本信息!AZ3+基本信息!BE3,VLOOKUP(基本信息!$H3,各地政策!$A:$X,20,0)),IF(VLOOKUP(基本信息!$H3,各地政策!$A:$X,21,0)="四舍五入",ROUND(基本信息!AK3*基本信息!AZ3+基本信息!BE3,VLOOKUP(基本信息!$H3,各地政策!$A:$X,20,0)),ROUND(基本信息!AK3*基本信息!AZ3+基本信息!BE3-IF(VLOOKUP(基本信息!$H3,各地政策!$A:$X,20,0)=0,0.5,IF(VLOOKUP(基本信息!$H3,各地政策!$A:$X,20,0)=1,0.05,0.005)),VLOOKUP(基本信息!$H3,各地政策!$A:$X,20,0))))</f>
        <v>#N/A</v>
      </c>
      <c r="CB3" s="90" t="e">
        <f>IF(VLOOKUP(基本信息!$I3,各地政策!$A:$X,24,0)="进位",ROUNDUP(基本信息!AL3*(基本信息!BA3),VLOOKUP(基本信息!$I3,各地政策!$A:$X,23,0)),IF(VLOOKUP(基本信息!$I3,各地政策!$A:$X,24,0)="四舍五入",ROUND(基本信息!AL3*(基本信息!BA3),VLOOKUP(基本信息!$I3,各地政策!$A:$X,23,0)),ROUND(基本信息!AL3*(基本信息!BA3)-IF(VLOOKUP(基本信息!$I3,各地政策!$A:$X,23,0)=0,0.5,IF(VLOOKUP(基本信息!$I3,各地政策!$A:$X,23,0)=1,0.05,0.005)),VLOOKUP(基本信息!$I3,各地政策!$A:$X,23,0))))</f>
        <v>#N/A</v>
      </c>
      <c r="CC3" s="90" t="e">
        <f>IF(VLOOKUP(基本信息!$I3,各地政策!$A:$X,24,0)="进位",ROUNDUP(基本信息!AM3*(基本信息!BB3),VLOOKUP(基本信息!$I3,各地政策!$A:$X,23,0)),IF(VLOOKUP(基本信息!$I3,各地政策!$A:$X,24,0)="四舍五入",ROUND(基本信息!AM3*(基本信息!BB3),VLOOKUP(基本信息!$I3,各地政策!$A:$X,23,0)),ROUND(基本信息!AM3*(基本信息!BB3)-IF(VLOOKUP(基本信息!$I3,各地政策!$A:$X,23,0)=0,0.5,IF(VLOOKUP(基本信息!$I3,各地政策!$A:$X,23,0)=1,0.05,0.005)),VLOOKUP(基本信息!$I3,各地政策!$A:$X,23,0))))</f>
        <v>#N/A</v>
      </c>
      <c r="CD3" s="90">
        <f>AX3+BE3+IFERROR(VLOOKUP($A3,YTD!$A:$CD,82,0),0)</f>
        <v>0</v>
      </c>
      <c r="CE3" s="232">
        <f>基本信息!CT3</f>
        <v>0</v>
      </c>
      <c r="CF3" s="184">
        <f>'S-Payroll Report'!X9</f>
        <v>0</v>
      </c>
      <c r="CG3" s="184">
        <f>'S-Payroll Report'!AD9</f>
        <v>0</v>
      </c>
      <c r="CH3" s="184">
        <f>'S-Payroll Report'!AC9</f>
        <v>0</v>
      </c>
      <c r="CI3" s="184">
        <f>'S-Payroll Report'!AA9</f>
        <v>0</v>
      </c>
      <c r="CJ3" s="184">
        <f>'S-Payroll Report'!AF9</f>
        <v>0</v>
      </c>
      <c r="CK3" s="184">
        <f>基本信息!EM3+基本信息!EN3+基本信息!EO3</f>
        <v>0</v>
      </c>
    </row>
    <row r="4" spans="1:89">
      <c r="A4" s="180" t="str">
        <f>IF(基本信息!B4="","",基本信息!B4)</f>
        <v/>
      </c>
      <c r="B4" s="64" t="str">
        <f>IF(基本信息!C4="","",基本信息!C4)</f>
        <v/>
      </c>
      <c r="C4" s="90">
        <f>基本信息!Q4+基本信息!R4*基本信息!CW4</f>
        <v>0</v>
      </c>
      <c r="D4" s="90">
        <f>基本信息!S4</f>
        <v>0</v>
      </c>
      <c r="E4" s="90">
        <f>基本信息!CX4</f>
        <v>0</v>
      </c>
      <c r="F4" s="90">
        <f>基本信息!CY4</f>
        <v>0</v>
      </c>
      <c r="G4" s="90">
        <f>基本信息!CZ4</f>
        <v>0</v>
      </c>
      <c r="H4" s="90">
        <f>ROUND(C4*基本信息!DA4*1.5/(21.75*8),2)</f>
        <v>0</v>
      </c>
      <c r="I4" s="90">
        <f>ROUND(C4*基本信息!DB4*2/(21.75*8),2)</f>
        <v>0</v>
      </c>
      <c r="J4" s="90">
        <f>ROUND(C4*基本信息!DC4*3/(21.75*8),2)</f>
        <v>0</v>
      </c>
      <c r="K4" s="90">
        <f>ROUND(IF(AND(基本信息!DD4=23,基本信息!DE4=12),((C4+D4)*12/21.75+(C4+D4)-(C4+D4)*11/21.75)/2,IF(基本信息!DE4&gt;基本信息!DD4/2,(C4+D4)-(C4+D4)*(基本信息!DD4-基本信息!DE4)/21.75,(C4+D4)*基本信息!DE4/21.75)),2)</f>
        <v>0</v>
      </c>
      <c r="L4" s="90">
        <f>MAX(0,ROUND((C4+D4)*基本信息!DF4/21.75,2))</f>
        <v>0</v>
      </c>
      <c r="M4" s="90">
        <f>MAX(0,ROUND((C4+D4)*基本信息!DG4/21.75,2))</f>
        <v>0</v>
      </c>
      <c r="N4" s="90">
        <f>基本信息!DI4</f>
        <v>0</v>
      </c>
      <c r="O4" s="90">
        <f>基本信息!T4+基本信息!DJ4</f>
        <v>0</v>
      </c>
      <c r="P4" s="90">
        <f>基本信息!U4+基本信息!DK4</f>
        <v>0</v>
      </c>
      <c r="Q4" s="90">
        <f>基本信息!V4</f>
        <v>0</v>
      </c>
      <c r="R4" s="90">
        <f>基本信息!W4*基本信息!DL4</f>
        <v>0</v>
      </c>
      <c r="S4" s="90">
        <f>基本信息!X4*基本信息!DM4</f>
        <v>0</v>
      </c>
      <c r="T4" s="90">
        <f>基本信息!Y4*基本信息!DN4+基本信息!DO4</f>
        <v>0</v>
      </c>
      <c r="U4" s="90">
        <f>基本信息!Z4*基本信息!DP4</f>
        <v>0</v>
      </c>
      <c r="V4" s="90">
        <f>基本信息!AA4*基本信息!DQ4</f>
        <v>0</v>
      </c>
      <c r="W4" s="142">
        <f>基本信息!AD4+基本信息!DR4</f>
        <v>0</v>
      </c>
      <c r="X4" s="142">
        <f>基本信息!AE4+基本信息!DS4</f>
        <v>0</v>
      </c>
      <c r="Y4" s="142">
        <f>基本信息!DT4</f>
        <v>0</v>
      </c>
      <c r="Z4" s="90" t="e">
        <f>IF(VLOOKUP(基本信息!$H4,各地政策!$A:$X,21,0)="进位",ROUNDUP(基本信息!AF4*基本信息!AN4,VLOOKUP(基本信息!$H4,各地政策!$A:$X,20,0)),IF(VLOOKUP(基本信息!$H4,各地政策!$A:$X,21,0)="四舍五入",ROUND(基本信息!AF4*基本信息!AN4,VLOOKUP(基本信息!$H4,各地政策!$A:$X,20,0)),ROUND(基本信息!AF4*基本信息!AN4-IF(VLOOKUP(基本信息!$H4,各地政策!$A:$X,20,0)=0,0.5,IF(VLOOKUP(基本信息!$H4,各地政策!$A:$X,20,0)=1,0.05,0.005)),VLOOKUP(基本信息!$H4,各地政策!$A:$X,20,0))))</f>
        <v>#N/A</v>
      </c>
      <c r="AA4" s="90" t="e">
        <f>IF(VLOOKUP(基本信息!$H4,各地政策!$A:$X,21,0)="进位",ROUNDUP(基本信息!AG4*基本信息!AO4,VLOOKUP(基本信息!$H4,各地政策!$A:$X,20,0)),IF(VLOOKUP(基本信息!$H4,各地政策!$A:$X,21,0)="四舍五入",ROUND(基本信息!AG4*基本信息!AO4,VLOOKUP(基本信息!$H4,各地政策!$A:$X,20,0)),ROUND(基本信息!AG4*基本信息!AO4-IF(VLOOKUP(基本信息!$H4,各地政策!$A:$X,20,0)=0,0.5,IF(VLOOKUP(基本信息!$H4,各地政策!$A:$X,20,0)=1,0.05,0.005)),VLOOKUP(基本信息!$H4,各地政策!$A:$X,20,0))))+基本信息!AT4</f>
        <v>#N/A</v>
      </c>
      <c r="AB4" s="90" t="e">
        <f>IF(VLOOKUP(基本信息!$H4,各地政策!$A:$X,21,0)="进位",ROUNDUP(基本信息!AH4*基本信息!AP4,VLOOKUP(基本信息!$H4,各地政策!$A:$X,20,0)),IF(VLOOKUP(基本信息!$H4,各地政策!$A:$X,21,0)="四舍五入",ROUND(基本信息!AH4*基本信息!AP4,VLOOKUP(基本信息!$H4,各地政策!$A:$X,20,0)),ROUND(基本信息!AH4*基本信息!AP4-IF(VLOOKUP(基本信息!$H4,各地政策!$A:$X,20,0)=0,0.5,IF(VLOOKUP(基本信息!$H4,各地政策!$A:$X,20,0)=1,0.05,0.005)),VLOOKUP(基本信息!$H4,各地政策!$A:$X,20,0))))</f>
        <v>#N/A</v>
      </c>
      <c r="AC4" s="90" t="e">
        <f>IF(VLOOKUP(基本信息!$I4,各地政策!$A:$X,24,0)="进位",ROUNDUP(基本信息!AL4*基本信息!AQ4,VLOOKUP(基本信息!$I4,各地政策!$A:$X,23,0)),IF(VLOOKUP(基本信息!$I4,各地政策!$A:$X,24,0)="四舍五入",ROUND(基本信息!AL4*基本信息!AQ4,VLOOKUP(基本信息!$I4,各地政策!$A:$X,23,0)),ROUND(基本信息!AL4*基本信息!AQ4-IF(VLOOKUP(基本信息!$I4,各地政策!$A:$X,23,0)=0,0.5,IF(VLOOKUP(基本信息!$I4,各地政策!$A:$X,23,0)=1,0.05,0.005)),VLOOKUP(基本信息!$I4,各地政策!$A:$X,23,0))))</f>
        <v>#N/A</v>
      </c>
      <c r="AD4" s="90" t="e">
        <f>IF(VLOOKUP(基本信息!$I4,各地政策!$A:$X,24,0)="进位",ROUNDUP(基本信息!AM4*基本信息!AR4,VLOOKUP(基本信息!$I4,各地政策!$A:$X,23,0)),IF(VLOOKUP(基本信息!$I4,各地政策!$A:$X,24,0)="四舍五入",ROUND(基本信息!AM4*基本信息!AR4,VLOOKUP(基本信息!$I4,各地政策!$A:$X,23,0)),ROUND(基本信息!AM4*基本信息!AR4-IF(VLOOKUP(基本信息!$I4,各地政策!$A:$X,23,0)=0,0.5,IF(VLOOKUP(基本信息!$I4,各地政策!$A:$X,23,0)=1,0.05,0.005)),VLOOKUP(基本信息!$I4,各地政策!$A:$X,23,0))))</f>
        <v>#N/A</v>
      </c>
      <c r="AE4" s="90">
        <f>基本信息!DU4+基本信息!DV4+基本信息!DW4</f>
        <v>0</v>
      </c>
      <c r="AF4" s="90">
        <f>基本信息!DX4</f>
        <v>0</v>
      </c>
      <c r="AG4" s="90">
        <f>基本信息!BF4</f>
        <v>0</v>
      </c>
      <c r="AH4" s="90">
        <f>基本信息!BG4</f>
        <v>0</v>
      </c>
      <c r="AI4" s="90">
        <f>基本信息!BH4+基本信息!DZ4</f>
        <v>0</v>
      </c>
      <c r="AJ4" s="90">
        <f>IF(基本信息!P4="税前",SUM(C4:J4)+SUM(O4:W4)-SUM(K4:N4)-SUM(X4:X4)+Y4-AG4-AH4+AI4,0)</f>
        <v>0</v>
      </c>
      <c r="AK4" s="90">
        <f>IF(基本信息!J4=3,MAX(AJ4*0.2,800),5000)</f>
        <v>5000</v>
      </c>
      <c r="AL4" s="90">
        <f>IF(基本信息!P4="税前",SUMIF(YTD!$A$2:$A$2386,$A4,YTD!$BB$2:$BB$2386)+SUMIF(YTD!$A$2:$A$2386,$A4,YTD!$AM$2:$AM$2386)+AJ4,0)</f>
        <v>0</v>
      </c>
      <c r="AM4" s="90" t="e">
        <f>SUMIF(YTD!$A$2:$A$2386,$A4,YTD!$AM$2:$AM$2386)+SUM(Z4:AF4)</f>
        <v>#N/A</v>
      </c>
      <c r="AN4" s="90">
        <f>SUMIF(YTD!$A$2:$A$2386,$A4,YTD!$AN$2:$AN$2386)+计算结果!AK4</f>
        <v>5000</v>
      </c>
      <c r="AO4" s="90">
        <f>基本信息!CO4</f>
        <v>0</v>
      </c>
      <c r="AP4" s="90">
        <f>基本信息!CP4</f>
        <v>0</v>
      </c>
      <c r="AQ4" s="90">
        <f>基本信息!CQ4</f>
        <v>0</v>
      </c>
      <c r="AR4" s="90">
        <f>基本信息!CR4</f>
        <v>0</v>
      </c>
      <c r="AS4" s="90">
        <f>基本信息!CS4</f>
        <v>0</v>
      </c>
      <c r="AT4" s="232" cm="1">
        <f t="array" ref="AT4">SUMPRODUCT((基本信息!$B$2:$B$2375=$A4)*(基本信息!$CU$2:$CV$2375))+SUMIF(YTD!$A$2:$A$2386,$A4,YTD!$AT$2:$AT$2386)</f>
        <v>0</v>
      </c>
      <c r="AU4" s="233">
        <f t="shared" si="1"/>
        <v>5000</v>
      </c>
      <c r="AV4" s="90">
        <f>IF(基本信息!P4="税前",AL4-AM4-AU4,0)</f>
        <v>0</v>
      </c>
      <c r="AW4" s="90" cm="1">
        <f t="array" ref="AW4">IF(基本信息!J4=1,MAX((AV4)*{0.03,0.1,0.2,0.25,0.3,0.35,0.45}-12*{0,210,1410,2660,4410,7160,15160},0),IF(基本信息!J4=4,MAX((AL4-AL4*0.2-AU4)*{0.03,0.1,0.2,0.25,0.3,0.35,0.45}-12*{0,210,1410,2660,4410,7160,15160},0),0))</f>
        <v>0</v>
      </c>
      <c r="AX4" s="90" cm="1">
        <f t="array" ref="AX4">MAX(ROUND(IF(基本信息!J4=3,MAX((AJ4-IF(AJ4&lt;4000,800,AJ4*0.2))*10%*{2,3,4}-1000*{0,2,7},0),IF(基本信息!J4=2,MAX((AJ4-SUM(Z4:AG4)-AK4)*{0.03,0.1,0.2,0.25,0.3,0.35,0.45}-{0,210,1410,2660,4410,7160,15160},0),IF(基本信息!P4="税前",AW4-ROUND(SUMIF(YTD!$A$2:$A$2386,$A4,YTD!$CD$2:$CD$2386),2),0))),2),0)</f>
        <v>0</v>
      </c>
      <c r="AY4" s="142">
        <f>基本信息!BI4+基本信息!EA4</f>
        <v>0</v>
      </c>
      <c r="AZ4" s="142">
        <f>IF(基本信息!P4="税前",0,SUM(C4:J4)-SUM(K4:N4)+SUM(O4:W4)-X4+Y4+AI4)+AY4</f>
        <v>0</v>
      </c>
      <c r="BA4" s="142">
        <f>IF(OR(基本信息!J4=1,基本信息!J4=4),IF(基本信息!P4="税前",AL4-AM4-AW4+AZ4,AZ4+SUMIF(YTD!$A$2:$A$2386,$A4,YTD!$BA$2:$BA$2386)),IF(基本信息!P4="税前",AJ4-SUM(Z4:AG4)-AX4+AZ4+SUMIF(YTD!$A$2:$A$2386,$A4,YTD!$BA$2:$BA$2386),AZ4))</f>
        <v>0</v>
      </c>
      <c r="BB4" s="142" cm="1">
        <f t="array" ref="BB4">IF(基本信息!J4=3,LOOKUP(AJ4-AX4+AZ4,{0,800,3360,21000,49500},(AJ4-AX4+AZ4-{0,160,0,2000,7000})*{1,5,25,25,25}/{1,4,21,19,17}),IF(基本信息!J4=2,MAX((BA4-AK4-10*{0,21,141,266,441,716,1516})/(1-5%*{0.6,2,4,5,6,7,9})+AK4,BA4),IF(基本信息!J4=4,MAX((BA4-AU4-(AL4*0.2)-120*{0,21,141,266,441,716,1516})/(1-5%*{0.6,2,4,5,6,7,9})+AU4+(AL4*0.2),BA4),MAX((BA4-AU4-120*{0,21,141,266,441,716,1516})/(1-5%*{0.6,2,4,5,6,7,9})+AU4,BA4))))</f>
        <v>0</v>
      </c>
      <c r="BC4" s="142" t="e">
        <f>IF(OR(基本信息!J4=1,基本信息!J4=4),BB4-IFERROR(VLOOKUP($A4,YTD!$A:$BB,54,0),0),BB4)+SUM(Z4:AF4)</f>
        <v>#N/A</v>
      </c>
      <c r="BD4" s="142" cm="1">
        <f t="array" ref="BD4">IF(基本信息!J4=4,MAX((BB4-BB4*0.2-AU4)*{0.03,0.1,0.2,0.25,0.3,0.35,0.45}-12*{0,210,1410,2660,4410,7160,15160},0),IF(基本信息!J4=3,MAX((BB4-IF(BB4&lt;4000,800,BB4*0.2))*10%*{2,3,4}-1000*{0,2,7},0),IF(基本信息!J4=2,MAX((BB4-AK4)*{0.03,0.1,0.2,0.25,0.3,0.35,0.45}-{0,210,1410,2660,4410,7160,15160},0),MAX((BB4-AU4)*{0.03,0.1,0.2,0.25,0.3,0.35,0.45}-12*{0,210,1410,2660,4410,7160,15160},0))))</f>
        <v>0</v>
      </c>
      <c r="BE4" s="90">
        <f>MAX(ROUND(IF(基本信息!J4=1,BD4-AX4-ROUND(SUMIF(YTD!$A$2:$A$2386,$A4,YTD!$CD$2:$CD$2386),2),IF(基本信息!J4=4,BD4-AX4-ROUND(SUMIF(YTD!$A$2:$A$2386,$A4,YTD!$CD$2:$CD$2386),2),BD4-AX4)),2),0)</f>
        <v>0</v>
      </c>
      <c r="BF4" s="90">
        <f ca="1">IF(YEARFRAC(基本信息!AB4,TODAY())*12-1&lt;192,基本信息!AC4,0)</f>
        <v>0</v>
      </c>
      <c r="BG4" s="90" t="e">
        <f>IF(VLOOKUP(基本信息!$I4,各地政策!$A:$X,24,0)="进位",ROUNDUP(基本信息!AM4*基本信息!AS4,VLOOKUP(基本信息!$I4,各地政策!$A:$X,23,0)),IF(VLOOKUP(基本信息!$I4,各地政策!$A:$X,24,0)="四舍五入",ROUND(基本信息!AM4*基本信息!AS4,VLOOKUP(基本信息!$I4,各地政策!$A:$X,23,0)),ROUND(基本信息!AM4*基本信息!AS4-IF(VLOOKUP(基本信息!$I4,各地政策!$A:$X,23,0)=0,0.5,IF(VLOOKUP(基本信息!$I4,各地政策!$A:$X,23,0)=1,0.05,0.005)),VLOOKUP(基本信息!$I4,各地政策!$A:$X,23,0))))</f>
        <v>#N/A</v>
      </c>
      <c r="BH4" s="59">
        <f>基本信息!EB4</f>
        <v>0</v>
      </c>
      <c r="BI4" s="59">
        <f>基本信息!EC4</f>
        <v>0</v>
      </c>
      <c r="BJ4" s="59">
        <f>基本信息!BJ4</f>
        <v>0</v>
      </c>
      <c r="BK4" s="59">
        <f>基本信息!BL4+基本信息!DY4+基本信息!ED4</f>
        <v>0</v>
      </c>
      <c r="BL4" s="59">
        <f>基本信息!BK4+基本信息!EE4</f>
        <v>0</v>
      </c>
      <c r="BM4" s="59">
        <f>基本信息!EG4</f>
        <v>0</v>
      </c>
      <c r="BN4" s="59" cm="1">
        <f t="array" ref="BN4">IF(基本信息!J4=2,MAX((BM4/6)*{0.03,0.1,0.2,0.25,0.3,0.35,0.45}-{0,210,1410,2660,4410,7160,15160},0)*6,ROUND((BM4)*LOOKUP(-(BM4)/12,-{99999,80,55,35,25,12,3,0,-9}*1000,{9,7,6,5,4,2,0.6,0,0}*5%)-LOOKUP(-(BM4)/12,-{99999,80,55,35,25,12,3,0,-9}*1000,{1516,716,441,266,141,21,0,0}*10),2))</f>
        <v>0</v>
      </c>
      <c r="BO4" s="59">
        <f>基本信息!EH4</f>
        <v>0</v>
      </c>
      <c r="BP4" s="59" cm="1">
        <f t="array" ref="BP4">IFERROR(ROUND(MAX((基本信息!EH4-基本信息!EI4)*{0.03,0.1,0.2,0.25,0.3,0.35,0.45}-12*{0,210,1410,2660,4410,7160,15160},0),2),0)</f>
        <v>0</v>
      </c>
      <c r="BQ4" s="59">
        <f>基本信息!EK4</f>
        <v>0</v>
      </c>
      <c r="BR4" s="59" cm="1">
        <f t="array" ref="BR4">ROUND((BQ4)*LOOKUP(-BQ4,-{99999,96,66,42,30,14.4,3.6,0,-9}*10000,{9,7,6,5,4,2,0.6,0,0}*5%)-LOOKUP(-BQ4,-{99999,96,66,42,30,14.4,3.6,0,-9}*10000,{18192,8592,5292,3192,1692,252,0,0}*10),2)</f>
        <v>0</v>
      </c>
      <c r="BS4" s="144">
        <f t="shared" ca="1" si="2"/>
        <v>0</v>
      </c>
      <c r="BT4" s="142">
        <f>IF(基本信息!P4="税前",SUM(K4:N4)+SUM(X4,Z4:AH4)+AX4+BG4+BL4+BN4+BP4+BR4,SUM(K4:N4,X4,BL4,BN4,BP4,BR4))</f>
        <v>0</v>
      </c>
      <c r="BU4" s="142">
        <f t="shared" ca="1" si="3"/>
        <v>0</v>
      </c>
      <c r="BV4" s="90" t="e">
        <f>IF(VLOOKUP(基本信息!$H4,各地政策!$A:$X,21,0)="进位",ROUNDUP(基本信息!AF4*基本信息!AU4,VLOOKUP(基本信息!$H4,各地政策!$A:$X,20,0)),IF(VLOOKUP(基本信息!$H4,各地政策!$A:$X,21,0)="四舍五入",ROUND(基本信息!AF4*基本信息!AU4,VLOOKUP(基本信息!$H4,各地政策!$A:$X,20,0)),ROUND(基本信息!AF4*基本信息!AU4-IF(VLOOKUP(基本信息!$H4,各地政策!$A:$X,20,0)=0,0.5,IF(VLOOKUP(基本信息!$H4,各地政策!$A:$X,20,0)=1,0.05,0.005)),VLOOKUP(基本信息!$H4,各地政策!$A:$X,20,0))))</f>
        <v>#N/A</v>
      </c>
      <c r="BW4" s="90" t="e">
        <f>IF(VLOOKUP(基本信息!$H4,各地政策!$A:$X,21,0)="进位",ROUNDUP(基本信息!AG4*基本信息!AV4,VLOOKUP(基本信息!$H4,各地政策!$A:$X,20,0)),IF(VLOOKUP(基本信息!$H4,各地政策!$A:$X,21,0)="四舍五入",ROUND(基本信息!AG4*基本信息!AV4,VLOOKUP(基本信息!$H4,各地政策!$A:$X,20,0)),ROUND(基本信息!AG4*基本信息!AV4-IF(VLOOKUP(基本信息!$H4,各地政策!$A:$X,20,0)=0,0.5,IF(VLOOKUP(基本信息!$H4,各地政策!$A:$X,20,0)=1,0.05,0.005)),VLOOKUP(基本信息!$H4,各地政策!$A:$X,20,0))))+基本信息!BC4</f>
        <v>#N/A</v>
      </c>
      <c r="BX4" s="90" t="e">
        <f>IF(VLOOKUP(基本信息!$H4,各地政策!$A:$X,21,0)="进位",ROUNDUP(基本信息!AH4*基本信息!AW4,VLOOKUP(基本信息!$H4,各地政策!$A:$X,20,0)),IF(VLOOKUP(基本信息!$H4,各地政策!$A:$X,21,0)="四舍五入",ROUND(基本信息!AH4*基本信息!AW4,VLOOKUP(基本信息!$H4,各地政策!$A:$X,20,0)),ROUND(基本信息!AH4*基本信息!AW4-IF(VLOOKUP(基本信息!$H4,各地政策!$A:$X,20,0)=0,0.5,IF(VLOOKUP(基本信息!$H4,各地政策!$A:$X,20,0)=1,0.05,0.005)),VLOOKUP(基本信息!$H4,各地政策!$A:$X,20,0))))</f>
        <v>#N/A</v>
      </c>
      <c r="BY4" s="90" t="e">
        <f>IF(VLOOKUP(基本信息!$H4,各地政策!$A:$X,21,0)="进位",ROUNDUP(基本信息!AI4*基本信息!AX4,VLOOKUP(基本信息!$H4,各地政策!$A:$X,20,0)),IF(VLOOKUP(基本信息!$H4,各地政策!$A:$X,21,0)="四舍五入",ROUND(基本信息!AI4*基本信息!AX4,VLOOKUP(基本信息!$H4,各地政策!$A:$X,20,0)),ROUND(基本信息!AI4*基本信息!AX4-IF(VLOOKUP(基本信息!$H4,各地政策!$A:$X,20,0)=0,0.5,IF(VLOOKUP(基本信息!$H4,各地政策!$A:$X,20,0)=1,0.05,0.005)),VLOOKUP(基本信息!$H4,各地政策!$A:$X,20,0))))</f>
        <v>#N/A</v>
      </c>
      <c r="BZ4" s="90" t="e">
        <f>IF(VLOOKUP(基本信息!$H4,各地政策!$A:$X,21,0)="进位",ROUNDUP(基本信息!AJ4*基本信息!AY4,VLOOKUP(基本信息!$H4,各地政策!$A:$X,20,0)),IF(VLOOKUP(基本信息!$H4,各地政策!$A:$X,21,0)="四舍五入",ROUND(基本信息!AJ4*基本信息!AY4,VLOOKUP(基本信息!$H4,各地政策!$A:$X,20,0)),ROUND(基本信息!AJ4*基本信息!AY4-IF(VLOOKUP(基本信息!$H4,各地政策!$A:$X,20,0)=0,0.5,IF(VLOOKUP(基本信息!$H4,各地政策!$A:$X,20,0)=1,0.05,0.005)),VLOOKUP(基本信息!$H4,各地政策!$A:$X,20,0))))+基本信息!BD4</f>
        <v>#N/A</v>
      </c>
      <c r="CA4" s="90" t="e">
        <f>IF(VLOOKUP(基本信息!$H4,各地政策!$A:$X,21,0)="进位",ROUNDUP(基本信息!AK4*基本信息!AZ4+基本信息!BE4,VLOOKUP(基本信息!$H4,各地政策!$A:$X,20,0)),IF(VLOOKUP(基本信息!$H4,各地政策!$A:$X,21,0)="四舍五入",ROUND(基本信息!AK4*基本信息!AZ4+基本信息!BE4,VLOOKUP(基本信息!$H4,各地政策!$A:$X,20,0)),ROUND(基本信息!AK4*基本信息!AZ4+基本信息!BE4-IF(VLOOKUP(基本信息!$H4,各地政策!$A:$X,20,0)=0,0.5,IF(VLOOKUP(基本信息!$H4,各地政策!$A:$X,20,0)=1,0.05,0.005)),VLOOKUP(基本信息!$H4,各地政策!$A:$X,20,0))))</f>
        <v>#N/A</v>
      </c>
      <c r="CB4" s="90" t="e">
        <f>IF(VLOOKUP(基本信息!$I4,各地政策!$A:$X,24,0)="进位",ROUNDUP(基本信息!AL4*(基本信息!BA4),VLOOKUP(基本信息!$I4,各地政策!$A:$X,23,0)),IF(VLOOKUP(基本信息!$I4,各地政策!$A:$X,24,0)="四舍五入",ROUND(基本信息!AL4*(基本信息!BA4),VLOOKUP(基本信息!$I4,各地政策!$A:$X,23,0)),ROUND(基本信息!AL4*(基本信息!BA4)-IF(VLOOKUP(基本信息!$I4,各地政策!$A:$X,23,0)=0,0.5,IF(VLOOKUP(基本信息!$I4,各地政策!$A:$X,23,0)=1,0.05,0.005)),VLOOKUP(基本信息!$I4,各地政策!$A:$X,23,0))))</f>
        <v>#N/A</v>
      </c>
      <c r="CC4" s="90" t="e">
        <f>IF(VLOOKUP(基本信息!$I4,各地政策!$A:$X,24,0)="进位",ROUNDUP(基本信息!AM4*(基本信息!BB4),VLOOKUP(基本信息!$I4,各地政策!$A:$X,23,0)),IF(VLOOKUP(基本信息!$I4,各地政策!$A:$X,24,0)="四舍五入",ROUND(基本信息!AM4*(基本信息!BB4),VLOOKUP(基本信息!$I4,各地政策!$A:$X,23,0)),ROUND(基本信息!AM4*(基本信息!BB4)-IF(VLOOKUP(基本信息!$I4,各地政策!$A:$X,23,0)=0,0.5,IF(VLOOKUP(基本信息!$I4,各地政策!$A:$X,23,0)=1,0.05,0.005)),VLOOKUP(基本信息!$I4,各地政策!$A:$X,23,0))))</f>
        <v>#N/A</v>
      </c>
      <c r="CD4" s="90">
        <f>AX4+BE4+IFERROR(VLOOKUP($A4,YTD!$A:$CD,82,0),0)</f>
        <v>0</v>
      </c>
      <c r="CE4" s="232">
        <f>基本信息!CT4</f>
        <v>0</v>
      </c>
      <c r="CF4" s="184">
        <f>'S-Payroll Report'!X10</f>
        <v>0</v>
      </c>
      <c r="CG4" s="184">
        <f>'S-Payroll Report'!AD10</f>
        <v>0</v>
      </c>
      <c r="CH4" s="184">
        <f>'S-Payroll Report'!AC10</f>
        <v>0</v>
      </c>
      <c r="CI4" s="184">
        <f>'S-Payroll Report'!AA10</f>
        <v>0</v>
      </c>
      <c r="CJ4" s="184">
        <f>'S-Payroll Report'!AF10</f>
        <v>0</v>
      </c>
      <c r="CK4" s="184">
        <f>基本信息!EM4+基本信息!EN4+基本信息!EO4</f>
        <v>0</v>
      </c>
    </row>
    <row r="5" spans="1:89">
      <c r="A5" s="180" t="str">
        <f>IF(基本信息!B5="","",基本信息!B5)</f>
        <v/>
      </c>
      <c r="B5" s="64" t="str">
        <f>IF(基本信息!C5="","",基本信息!C5)</f>
        <v/>
      </c>
      <c r="C5" s="90">
        <f>基本信息!Q5+基本信息!R5*基本信息!CW5</f>
        <v>0</v>
      </c>
      <c r="D5" s="90">
        <f>基本信息!S5</f>
        <v>0</v>
      </c>
      <c r="E5" s="90">
        <f>基本信息!CX5</f>
        <v>0</v>
      </c>
      <c r="F5" s="90">
        <f>基本信息!CY5</f>
        <v>0</v>
      </c>
      <c r="G5" s="90">
        <f>基本信息!CZ5</f>
        <v>0</v>
      </c>
      <c r="H5" s="90">
        <f>ROUND(C5*基本信息!DA5*1.5/(21.75*8),2)</f>
        <v>0</v>
      </c>
      <c r="I5" s="90">
        <f>ROUND(C5*基本信息!DB5*2/(21.75*8),2)</f>
        <v>0</v>
      </c>
      <c r="J5" s="90">
        <f>ROUND(C5*基本信息!DC5*3/(21.75*8),2)</f>
        <v>0</v>
      </c>
      <c r="K5" s="90">
        <f>ROUND(IF(AND(基本信息!DD5=23,基本信息!DE5=12),((C5+D5)*12/21.75+(C5+D5)-(C5+D5)*11/21.75)/2,IF(基本信息!DE5&gt;基本信息!DD5/2,(C5+D5)-(C5+D5)*(基本信息!DD5-基本信息!DE5)/21.75,(C5+D5)*基本信息!DE5/21.75)),2)</f>
        <v>0</v>
      </c>
      <c r="L5" s="90">
        <f>MAX(0,ROUND((C5+D5)*基本信息!DF5/21.75,2))</f>
        <v>0</v>
      </c>
      <c r="M5" s="90">
        <f>MAX(0,ROUND((C5+D5)*基本信息!DG5/21.75,2))</f>
        <v>0</v>
      </c>
      <c r="N5" s="90">
        <f>基本信息!DI5</f>
        <v>0</v>
      </c>
      <c r="O5" s="90">
        <f>基本信息!T5+基本信息!DJ5</f>
        <v>0</v>
      </c>
      <c r="P5" s="90">
        <f>基本信息!U5+基本信息!DK5</f>
        <v>0</v>
      </c>
      <c r="Q5" s="90">
        <f>基本信息!V5</f>
        <v>0</v>
      </c>
      <c r="R5" s="90">
        <f>基本信息!W5*基本信息!DL5</f>
        <v>0</v>
      </c>
      <c r="S5" s="90">
        <f>基本信息!X5*基本信息!DM5</f>
        <v>0</v>
      </c>
      <c r="T5" s="90">
        <f>基本信息!Y5*基本信息!DN5+基本信息!DO5</f>
        <v>0</v>
      </c>
      <c r="U5" s="90">
        <f>基本信息!Z5*基本信息!DP5</f>
        <v>0</v>
      </c>
      <c r="V5" s="90">
        <f>基本信息!AA5*基本信息!DQ5</f>
        <v>0</v>
      </c>
      <c r="W5" s="142">
        <f>基本信息!AD5+基本信息!DR5</f>
        <v>0</v>
      </c>
      <c r="X5" s="142">
        <f>基本信息!AE5+基本信息!DS5</f>
        <v>0</v>
      </c>
      <c r="Y5" s="142">
        <f>基本信息!DT5</f>
        <v>0</v>
      </c>
      <c r="Z5" s="90" t="e">
        <f>IF(VLOOKUP(基本信息!$H5,各地政策!$A:$X,21,0)="进位",ROUNDUP(基本信息!AF5*基本信息!AN5,VLOOKUP(基本信息!$H5,各地政策!$A:$X,20,0)),IF(VLOOKUP(基本信息!$H5,各地政策!$A:$X,21,0)="四舍五入",ROUND(基本信息!AF5*基本信息!AN5,VLOOKUP(基本信息!$H5,各地政策!$A:$X,20,0)),ROUND(基本信息!AF5*基本信息!AN5-IF(VLOOKUP(基本信息!$H5,各地政策!$A:$X,20,0)=0,0.5,IF(VLOOKUP(基本信息!$H5,各地政策!$A:$X,20,0)=1,0.05,0.005)),VLOOKUP(基本信息!$H5,各地政策!$A:$X,20,0))))</f>
        <v>#N/A</v>
      </c>
      <c r="AA5" s="90" t="e">
        <f>IF(VLOOKUP(基本信息!$H5,各地政策!$A:$X,21,0)="进位",ROUNDUP(基本信息!AG5*基本信息!AO5,VLOOKUP(基本信息!$H5,各地政策!$A:$X,20,0)),IF(VLOOKUP(基本信息!$H5,各地政策!$A:$X,21,0)="四舍五入",ROUND(基本信息!AG5*基本信息!AO5,VLOOKUP(基本信息!$H5,各地政策!$A:$X,20,0)),ROUND(基本信息!AG5*基本信息!AO5-IF(VLOOKUP(基本信息!$H5,各地政策!$A:$X,20,0)=0,0.5,IF(VLOOKUP(基本信息!$H5,各地政策!$A:$X,20,0)=1,0.05,0.005)),VLOOKUP(基本信息!$H5,各地政策!$A:$X,20,0))))+基本信息!AT5</f>
        <v>#N/A</v>
      </c>
      <c r="AB5" s="90" t="e">
        <f>IF(VLOOKUP(基本信息!$H5,各地政策!$A:$X,21,0)="进位",ROUNDUP(基本信息!AH5*基本信息!AP5,VLOOKUP(基本信息!$H5,各地政策!$A:$X,20,0)),IF(VLOOKUP(基本信息!$H5,各地政策!$A:$X,21,0)="四舍五入",ROUND(基本信息!AH5*基本信息!AP5,VLOOKUP(基本信息!$H5,各地政策!$A:$X,20,0)),ROUND(基本信息!AH5*基本信息!AP5-IF(VLOOKUP(基本信息!$H5,各地政策!$A:$X,20,0)=0,0.5,IF(VLOOKUP(基本信息!$H5,各地政策!$A:$X,20,0)=1,0.05,0.005)),VLOOKUP(基本信息!$H5,各地政策!$A:$X,20,0))))</f>
        <v>#N/A</v>
      </c>
      <c r="AC5" s="90" t="e">
        <f>IF(VLOOKUP(基本信息!$I5,各地政策!$A:$X,24,0)="进位",ROUNDUP(基本信息!AL5*基本信息!AQ5,VLOOKUP(基本信息!$I5,各地政策!$A:$X,23,0)),IF(VLOOKUP(基本信息!$I5,各地政策!$A:$X,24,0)="四舍五入",ROUND(基本信息!AL5*基本信息!AQ5,VLOOKUP(基本信息!$I5,各地政策!$A:$X,23,0)),ROUND(基本信息!AL5*基本信息!AQ5-IF(VLOOKUP(基本信息!$I5,各地政策!$A:$X,23,0)=0,0.5,IF(VLOOKUP(基本信息!$I5,各地政策!$A:$X,23,0)=1,0.05,0.005)),VLOOKUP(基本信息!$I5,各地政策!$A:$X,23,0))))</f>
        <v>#N/A</v>
      </c>
      <c r="AD5" s="90" t="e">
        <f>IF(VLOOKUP(基本信息!$I5,各地政策!$A:$X,24,0)="进位",ROUNDUP(基本信息!AM5*基本信息!AR5,VLOOKUP(基本信息!$I5,各地政策!$A:$X,23,0)),IF(VLOOKUP(基本信息!$I5,各地政策!$A:$X,24,0)="四舍五入",ROUND(基本信息!AM5*基本信息!AR5,VLOOKUP(基本信息!$I5,各地政策!$A:$X,23,0)),ROUND(基本信息!AM5*基本信息!AR5-IF(VLOOKUP(基本信息!$I5,各地政策!$A:$X,23,0)=0,0.5,IF(VLOOKUP(基本信息!$I5,各地政策!$A:$X,23,0)=1,0.05,0.005)),VLOOKUP(基本信息!$I5,各地政策!$A:$X,23,0))))</f>
        <v>#N/A</v>
      </c>
      <c r="AE5" s="90">
        <f>基本信息!DU5+基本信息!DV5+基本信息!DW5</f>
        <v>0</v>
      </c>
      <c r="AF5" s="90">
        <f>基本信息!DX5</f>
        <v>0</v>
      </c>
      <c r="AG5" s="90">
        <f>基本信息!BF5</f>
        <v>0</v>
      </c>
      <c r="AH5" s="90">
        <f>基本信息!BG5</f>
        <v>0</v>
      </c>
      <c r="AI5" s="90">
        <f>基本信息!BH5+基本信息!DZ5</f>
        <v>0</v>
      </c>
      <c r="AJ5" s="90">
        <f>IF(基本信息!P5="税前",SUM(C5:J5)+SUM(O5:W5)-SUM(K5:N5)-SUM(X5:X5)+Y5-AG5-AH5+AI5,0)</f>
        <v>0</v>
      </c>
      <c r="AK5" s="90">
        <f>IF(基本信息!J5=3,MAX(AJ5*0.2,800),5000)</f>
        <v>5000</v>
      </c>
      <c r="AL5" s="90">
        <f>IF(基本信息!P5="税前",SUMIF(YTD!$A$2:$A$2386,$A5,YTD!$BB$2:$BB$2386)+SUMIF(YTD!$A$2:$A$2386,$A5,YTD!$AM$2:$AM$2386)+AJ5,0)</f>
        <v>0</v>
      </c>
      <c r="AM5" s="90" t="e">
        <f>SUMIF(YTD!$A$2:$A$2386,$A5,YTD!$AM$2:$AM$2386)+SUM(Z5:AF5)</f>
        <v>#N/A</v>
      </c>
      <c r="AN5" s="90">
        <f>SUMIF(YTD!$A$2:$A$2386,$A5,YTD!$AN$2:$AN$2386)+计算结果!AK5</f>
        <v>5000</v>
      </c>
      <c r="AO5" s="90">
        <f>基本信息!CO5</f>
        <v>0</v>
      </c>
      <c r="AP5" s="90">
        <f>基本信息!CP5</f>
        <v>0</v>
      </c>
      <c r="AQ5" s="90">
        <f>基本信息!CQ5</f>
        <v>0</v>
      </c>
      <c r="AR5" s="90">
        <f>基本信息!CR5</f>
        <v>0</v>
      </c>
      <c r="AS5" s="90">
        <f>基本信息!CS5</f>
        <v>0</v>
      </c>
      <c r="AT5" s="232" cm="1">
        <f t="array" ref="AT5">SUMPRODUCT((基本信息!$B$2:$B$2375=$A5)*(基本信息!$CU$2:$CV$2375))+SUMIF(YTD!$A$2:$A$2386,$A5,YTD!$AT$2:$AT$2386)</f>
        <v>0</v>
      </c>
      <c r="AU5" s="233">
        <f t="shared" si="1"/>
        <v>5000</v>
      </c>
      <c r="AV5" s="90">
        <f>IF(基本信息!P5="税前",AL5-AM5-AU5,0)</f>
        <v>0</v>
      </c>
      <c r="AW5" s="90" cm="1">
        <f t="array" ref="AW5">IF(基本信息!J5=1,MAX((AV5)*{0.03,0.1,0.2,0.25,0.3,0.35,0.45}-12*{0,210,1410,2660,4410,7160,15160},0),IF(基本信息!J5=4,MAX((AL5-AL5*0.2-AU5)*{0.03,0.1,0.2,0.25,0.3,0.35,0.45}-12*{0,210,1410,2660,4410,7160,15160},0),0))</f>
        <v>0</v>
      </c>
      <c r="AX5" s="90" cm="1">
        <f t="array" ref="AX5">MAX(ROUND(IF(基本信息!J5=3,MAX((AJ5-IF(AJ5&lt;4000,800,AJ5*0.2))*10%*{2,3,4}-1000*{0,2,7},0),IF(基本信息!J5=2,MAX((AJ5-SUM(Z5:AG5)-AK5)*{0.03,0.1,0.2,0.25,0.3,0.35,0.45}-{0,210,1410,2660,4410,7160,15160},0),IF(基本信息!P5="税前",AW5-ROUND(SUMIF(YTD!$A$2:$A$2386,$A5,YTD!$CD$2:$CD$2386),2),0))),2),0)</f>
        <v>0</v>
      </c>
      <c r="AY5" s="142">
        <f>基本信息!BI5+基本信息!EA5</f>
        <v>0</v>
      </c>
      <c r="AZ5" s="142">
        <f>IF(基本信息!P5="税前",0,SUM(C5:J5)-SUM(K5:N5)+SUM(O5:W5)-X5+Y5+AI5)+AY5</f>
        <v>0</v>
      </c>
      <c r="BA5" s="142">
        <f>IF(OR(基本信息!J5=1,基本信息!J5=4),IF(基本信息!P5="税前",AL5-AM5-AW5+AZ5,AZ5+SUMIF(YTD!$A$2:$A$2386,$A5,YTD!$BA$2:$BA$2386)),IF(基本信息!P5="税前",AJ5-SUM(Z5:AG5)-AX5+AZ5+SUMIF(YTD!$A$2:$A$2386,$A5,YTD!$BA$2:$BA$2386),AZ5))</f>
        <v>0</v>
      </c>
      <c r="BB5" s="142" cm="1">
        <f t="array" ref="BB5">IF(基本信息!J5=3,LOOKUP(AJ5-AX5+AZ5,{0,800,3360,21000,49500},(AJ5-AX5+AZ5-{0,160,0,2000,7000})*{1,5,25,25,25}/{1,4,21,19,17}),IF(基本信息!J5=2,MAX((BA5-AK5-10*{0,21,141,266,441,716,1516})/(1-5%*{0.6,2,4,5,6,7,9})+AK5,BA5),IF(基本信息!J5=4,MAX((BA5-AU5-(AL5*0.2)-120*{0,21,141,266,441,716,1516})/(1-5%*{0.6,2,4,5,6,7,9})+AU5+(AL5*0.2),BA5),MAX((BA5-AU5-120*{0,21,141,266,441,716,1516})/(1-5%*{0.6,2,4,5,6,7,9})+AU5,BA5))))</f>
        <v>0</v>
      </c>
      <c r="BC5" s="142" t="e">
        <f>IF(OR(基本信息!J5=1,基本信息!J5=4),BB5-IFERROR(VLOOKUP($A5,YTD!$A:$BB,54,0),0),BB5)+SUM(Z5:AF5)</f>
        <v>#N/A</v>
      </c>
      <c r="BD5" s="142" cm="1">
        <f t="array" ref="BD5">IF(基本信息!J5=4,MAX((BB5-BB5*0.2-AU5)*{0.03,0.1,0.2,0.25,0.3,0.35,0.45}-12*{0,210,1410,2660,4410,7160,15160},0),IF(基本信息!J5=3,MAX((BB5-IF(BB5&lt;4000,800,BB5*0.2))*10%*{2,3,4}-1000*{0,2,7},0),IF(基本信息!J5=2,MAX((BB5-AK5)*{0.03,0.1,0.2,0.25,0.3,0.35,0.45}-{0,210,1410,2660,4410,7160,15160},0),MAX((BB5-AU5)*{0.03,0.1,0.2,0.25,0.3,0.35,0.45}-12*{0,210,1410,2660,4410,7160,15160},0))))</f>
        <v>0</v>
      </c>
      <c r="BE5" s="90">
        <f>MAX(ROUND(IF(基本信息!J5=1,BD5-AX5-ROUND(SUMIF(YTD!$A$2:$A$2386,$A5,YTD!$CD$2:$CD$2386),2),IF(基本信息!J5=4,BD5-AX5-ROUND(SUMIF(YTD!$A$2:$A$2386,$A5,YTD!$CD$2:$CD$2386),2),BD5-AX5)),2),0)</f>
        <v>0</v>
      </c>
      <c r="BF5" s="90">
        <f ca="1">IF(YEARFRAC(基本信息!AB5,TODAY())*12-1&lt;192,基本信息!AC5,0)</f>
        <v>0</v>
      </c>
      <c r="BG5" s="90" t="e">
        <f>IF(VLOOKUP(基本信息!$I5,各地政策!$A:$X,24,0)="进位",ROUNDUP(基本信息!AM5*基本信息!AS5,VLOOKUP(基本信息!$I5,各地政策!$A:$X,23,0)),IF(VLOOKUP(基本信息!$I5,各地政策!$A:$X,24,0)="四舍五入",ROUND(基本信息!AM5*基本信息!AS5,VLOOKUP(基本信息!$I5,各地政策!$A:$X,23,0)),ROUND(基本信息!AM5*基本信息!AS5-IF(VLOOKUP(基本信息!$I5,各地政策!$A:$X,23,0)=0,0.5,IF(VLOOKUP(基本信息!$I5,各地政策!$A:$X,23,0)=1,0.05,0.005)),VLOOKUP(基本信息!$I5,各地政策!$A:$X,23,0))))</f>
        <v>#N/A</v>
      </c>
      <c r="BH5" s="59">
        <f>基本信息!EB5</f>
        <v>0</v>
      </c>
      <c r="BI5" s="59">
        <f>基本信息!EC5</f>
        <v>0</v>
      </c>
      <c r="BJ5" s="59">
        <f>基本信息!BJ5</f>
        <v>0</v>
      </c>
      <c r="BK5" s="59">
        <f>基本信息!BL5+基本信息!DY5+基本信息!ED5</f>
        <v>0</v>
      </c>
      <c r="BL5" s="59">
        <f>基本信息!BK5+基本信息!EE5</f>
        <v>0</v>
      </c>
      <c r="BM5" s="59">
        <f>基本信息!EG5</f>
        <v>0</v>
      </c>
      <c r="BN5" s="59" cm="1">
        <f t="array" ref="BN5">IF(基本信息!J5=2,MAX((BM5/6)*{0.03,0.1,0.2,0.25,0.3,0.35,0.45}-{0,210,1410,2660,4410,7160,15160},0)*6,ROUND((BM5)*LOOKUP(-(BM5)/12,-{99999,80,55,35,25,12,3,0,-9}*1000,{9,7,6,5,4,2,0.6,0,0}*5%)-LOOKUP(-(BM5)/12,-{99999,80,55,35,25,12,3,0,-9}*1000,{1516,716,441,266,141,21,0,0}*10),2))</f>
        <v>0</v>
      </c>
      <c r="BO5" s="59">
        <f>基本信息!EH5</f>
        <v>0</v>
      </c>
      <c r="BP5" s="59" cm="1">
        <f t="array" ref="BP5">IFERROR(ROUND(MAX((基本信息!EH5-基本信息!EI5)*{0.03,0.1,0.2,0.25,0.3,0.35,0.45}-12*{0,210,1410,2660,4410,7160,15160},0),2),0)</f>
        <v>0</v>
      </c>
      <c r="BQ5" s="59">
        <f>基本信息!EK5</f>
        <v>0</v>
      </c>
      <c r="BR5" s="59" cm="1">
        <f t="array" ref="BR5">ROUND((BQ5)*LOOKUP(-BQ5,-{99999,96,66,42,30,14.4,3.6,0,-9}*10000,{9,7,6,5,4,2,0.6,0,0}*5%)-LOOKUP(-BQ5,-{99999,96,66,42,30,14.4,3.6,0,-9}*10000,{18192,8592,5292,3192,1692,252,0,0}*10),2)</f>
        <v>0</v>
      </c>
      <c r="BS5" s="144">
        <f t="shared" ca="1" si="2"/>
        <v>0</v>
      </c>
      <c r="BT5" s="142">
        <f>IF(基本信息!P5="税前",SUM(K5:N5)+SUM(X5,Z5:AH5)+AX5+BG5+BL5+BN5+BP5+BR5,SUM(K5:N5,X5,BL5,BN5,BP5,BR5))</f>
        <v>0</v>
      </c>
      <c r="BU5" s="142">
        <f t="shared" ca="1" si="3"/>
        <v>0</v>
      </c>
      <c r="BV5" s="90" t="e">
        <f>IF(VLOOKUP(基本信息!$H5,各地政策!$A:$X,21,0)="进位",ROUNDUP(基本信息!AF5*基本信息!AU5,VLOOKUP(基本信息!$H5,各地政策!$A:$X,20,0)),IF(VLOOKUP(基本信息!$H5,各地政策!$A:$X,21,0)="四舍五入",ROUND(基本信息!AF5*基本信息!AU5,VLOOKUP(基本信息!$H5,各地政策!$A:$X,20,0)),ROUND(基本信息!AF5*基本信息!AU5-IF(VLOOKUP(基本信息!$H5,各地政策!$A:$X,20,0)=0,0.5,IF(VLOOKUP(基本信息!$H5,各地政策!$A:$X,20,0)=1,0.05,0.005)),VLOOKUP(基本信息!$H5,各地政策!$A:$X,20,0))))</f>
        <v>#N/A</v>
      </c>
      <c r="BW5" s="90" t="e">
        <f>IF(VLOOKUP(基本信息!$H5,各地政策!$A:$X,21,0)="进位",ROUNDUP(基本信息!AG5*基本信息!AV5,VLOOKUP(基本信息!$H5,各地政策!$A:$X,20,0)),IF(VLOOKUP(基本信息!$H5,各地政策!$A:$X,21,0)="四舍五入",ROUND(基本信息!AG5*基本信息!AV5,VLOOKUP(基本信息!$H5,各地政策!$A:$X,20,0)),ROUND(基本信息!AG5*基本信息!AV5-IF(VLOOKUP(基本信息!$H5,各地政策!$A:$X,20,0)=0,0.5,IF(VLOOKUP(基本信息!$H5,各地政策!$A:$X,20,0)=1,0.05,0.005)),VLOOKUP(基本信息!$H5,各地政策!$A:$X,20,0))))+基本信息!BC5</f>
        <v>#N/A</v>
      </c>
      <c r="BX5" s="90" t="e">
        <f>IF(VLOOKUP(基本信息!$H5,各地政策!$A:$X,21,0)="进位",ROUNDUP(基本信息!AH5*基本信息!AW5,VLOOKUP(基本信息!$H5,各地政策!$A:$X,20,0)),IF(VLOOKUP(基本信息!$H5,各地政策!$A:$X,21,0)="四舍五入",ROUND(基本信息!AH5*基本信息!AW5,VLOOKUP(基本信息!$H5,各地政策!$A:$X,20,0)),ROUND(基本信息!AH5*基本信息!AW5-IF(VLOOKUP(基本信息!$H5,各地政策!$A:$X,20,0)=0,0.5,IF(VLOOKUP(基本信息!$H5,各地政策!$A:$X,20,0)=1,0.05,0.005)),VLOOKUP(基本信息!$H5,各地政策!$A:$X,20,0))))</f>
        <v>#N/A</v>
      </c>
      <c r="BY5" s="90" t="e">
        <f>IF(VLOOKUP(基本信息!$H5,各地政策!$A:$X,21,0)="进位",ROUNDUP(基本信息!AI5*基本信息!AX5,VLOOKUP(基本信息!$H5,各地政策!$A:$X,20,0)),IF(VLOOKUP(基本信息!$H5,各地政策!$A:$X,21,0)="四舍五入",ROUND(基本信息!AI5*基本信息!AX5,VLOOKUP(基本信息!$H5,各地政策!$A:$X,20,0)),ROUND(基本信息!AI5*基本信息!AX5-IF(VLOOKUP(基本信息!$H5,各地政策!$A:$X,20,0)=0,0.5,IF(VLOOKUP(基本信息!$H5,各地政策!$A:$X,20,0)=1,0.05,0.005)),VLOOKUP(基本信息!$H5,各地政策!$A:$X,20,0))))</f>
        <v>#N/A</v>
      </c>
      <c r="BZ5" s="90" t="e">
        <f>IF(VLOOKUP(基本信息!$H5,各地政策!$A:$X,21,0)="进位",ROUNDUP(基本信息!AJ5*基本信息!AY5,VLOOKUP(基本信息!$H5,各地政策!$A:$X,20,0)),IF(VLOOKUP(基本信息!$H5,各地政策!$A:$X,21,0)="四舍五入",ROUND(基本信息!AJ5*基本信息!AY5,VLOOKUP(基本信息!$H5,各地政策!$A:$X,20,0)),ROUND(基本信息!AJ5*基本信息!AY5-IF(VLOOKUP(基本信息!$H5,各地政策!$A:$X,20,0)=0,0.5,IF(VLOOKUP(基本信息!$H5,各地政策!$A:$X,20,0)=1,0.05,0.005)),VLOOKUP(基本信息!$H5,各地政策!$A:$X,20,0))))+基本信息!BD5</f>
        <v>#N/A</v>
      </c>
      <c r="CA5" s="90" t="e">
        <f>IF(VLOOKUP(基本信息!$H5,各地政策!$A:$X,21,0)="进位",ROUNDUP(基本信息!AK5*基本信息!AZ5+基本信息!BE5,VLOOKUP(基本信息!$H5,各地政策!$A:$X,20,0)),IF(VLOOKUP(基本信息!$H5,各地政策!$A:$X,21,0)="四舍五入",ROUND(基本信息!AK5*基本信息!AZ5+基本信息!BE5,VLOOKUP(基本信息!$H5,各地政策!$A:$X,20,0)),ROUND(基本信息!AK5*基本信息!AZ5+基本信息!BE5-IF(VLOOKUP(基本信息!$H5,各地政策!$A:$X,20,0)=0,0.5,IF(VLOOKUP(基本信息!$H5,各地政策!$A:$X,20,0)=1,0.05,0.005)),VLOOKUP(基本信息!$H5,各地政策!$A:$X,20,0))))</f>
        <v>#N/A</v>
      </c>
      <c r="CB5" s="90" t="e">
        <f>IF(VLOOKUP(基本信息!$I5,各地政策!$A:$X,24,0)="进位",ROUNDUP(基本信息!AL5*(基本信息!BA5),VLOOKUP(基本信息!$I5,各地政策!$A:$X,23,0)),IF(VLOOKUP(基本信息!$I5,各地政策!$A:$X,24,0)="四舍五入",ROUND(基本信息!AL5*(基本信息!BA5),VLOOKUP(基本信息!$I5,各地政策!$A:$X,23,0)),ROUND(基本信息!AL5*(基本信息!BA5)-IF(VLOOKUP(基本信息!$I5,各地政策!$A:$X,23,0)=0,0.5,IF(VLOOKUP(基本信息!$I5,各地政策!$A:$X,23,0)=1,0.05,0.005)),VLOOKUP(基本信息!$I5,各地政策!$A:$X,23,0))))</f>
        <v>#N/A</v>
      </c>
      <c r="CC5" s="90" t="e">
        <f>IF(VLOOKUP(基本信息!$I5,各地政策!$A:$X,24,0)="进位",ROUNDUP(基本信息!AM5*(基本信息!BB5),VLOOKUP(基本信息!$I5,各地政策!$A:$X,23,0)),IF(VLOOKUP(基本信息!$I5,各地政策!$A:$X,24,0)="四舍五入",ROUND(基本信息!AM5*(基本信息!BB5),VLOOKUP(基本信息!$I5,各地政策!$A:$X,23,0)),ROUND(基本信息!AM5*(基本信息!BB5)-IF(VLOOKUP(基本信息!$I5,各地政策!$A:$X,23,0)=0,0.5,IF(VLOOKUP(基本信息!$I5,各地政策!$A:$X,23,0)=1,0.05,0.005)),VLOOKUP(基本信息!$I5,各地政策!$A:$X,23,0))))</f>
        <v>#N/A</v>
      </c>
      <c r="CD5" s="90">
        <f>AX5+BE5+IFERROR(VLOOKUP($A5,YTD!$A:$CD,82,0),0)</f>
        <v>0</v>
      </c>
      <c r="CE5" s="232">
        <f>基本信息!CT5</f>
        <v>0</v>
      </c>
      <c r="CF5" s="184">
        <f ca="1">'S-Payroll Report'!X11</f>
        <v>0</v>
      </c>
      <c r="CG5" s="184">
        <f>'S-Payroll Report'!AD11</f>
        <v>0</v>
      </c>
      <c r="CH5" s="184">
        <f>'S-Payroll Report'!AC11</f>
        <v>0</v>
      </c>
      <c r="CI5" s="184">
        <f>'S-Payroll Report'!AA11</f>
        <v>450</v>
      </c>
      <c r="CJ5" s="184">
        <f>'S-Payroll Report'!AF11</f>
        <v>30.47</v>
      </c>
      <c r="CK5" s="184">
        <f>基本信息!EM5+基本信息!EN5+基本信息!EO5</f>
        <v>0</v>
      </c>
    </row>
    <row r="6" spans="1:89">
      <c r="A6" s="180" t="str">
        <f>IF(基本信息!B6="","",基本信息!B6)</f>
        <v/>
      </c>
      <c r="B6" s="64" t="str">
        <f>IF(基本信息!C6="","",基本信息!C6)</f>
        <v/>
      </c>
      <c r="C6" s="90">
        <f>基本信息!Q6+基本信息!R6*基本信息!CW6</f>
        <v>0</v>
      </c>
      <c r="D6" s="90">
        <f>基本信息!S6</f>
        <v>0</v>
      </c>
      <c r="E6" s="90">
        <f>基本信息!CX6</f>
        <v>0</v>
      </c>
      <c r="F6" s="90">
        <f>基本信息!CY6</f>
        <v>0</v>
      </c>
      <c r="G6" s="90">
        <f>基本信息!CZ6</f>
        <v>0</v>
      </c>
      <c r="H6" s="90">
        <f>ROUND(C6*基本信息!DA6*1.5/(21.75*8),2)</f>
        <v>0</v>
      </c>
      <c r="I6" s="90">
        <f>ROUND(C6*基本信息!DB6*2/(21.75*8),2)</f>
        <v>0</v>
      </c>
      <c r="J6" s="90">
        <f>ROUND(C6*基本信息!DC6*3/(21.75*8),2)</f>
        <v>0</v>
      </c>
      <c r="K6" s="90">
        <f>ROUND(IF(AND(基本信息!DD6=23,基本信息!DE6=12),((C6+D6)*12/21.75+(C6+D6)-(C6+D6)*11/21.75)/2,IF(基本信息!DE6&gt;基本信息!DD6/2,(C6+D6)-(C6+D6)*(基本信息!DD6-基本信息!DE6)/21.75,(C6+D6)*基本信息!DE6/21.75)),2)</f>
        <v>0</v>
      </c>
      <c r="L6" s="90">
        <f>MAX(0,ROUND((C6+D6)*基本信息!DF6/21.75,2))</f>
        <v>0</v>
      </c>
      <c r="M6" s="90">
        <f>MAX(0,ROUND((C6+D6)*基本信息!DG6/21.75,2))</f>
        <v>0</v>
      </c>
      <c r="N6" s="90">
        <f>基本信息!DI6</f>
        <v>0</v>
      </c>
      <c r="O6" s="90">
        <f>基本信息!T6+基本信息!DJ6</f>
        <v>0</v>
      </c>
      <c r="P6" s="90">
        <f>基本信息!U6+基本信息!DK6</f>
        <v>0</v>
      </c>
      <c r="Q6" s="90">
        <f>基本信息!V6</f>
        <v>0</v>
      </c>
      <c r="R6" s="90">
        <f>基本信息!W6*基本信息!DL6</f>
        <v>0</v>
      </c>
      <c r="S6" s="90">
        <f>基本信息!X6*基本信息!DM6</f>
        <v>0</v>
      </c>
      <c r="T6" s="90">
        <f>基本信息!Y6*基本信息!DN6+基本信息!DO6</f>
        <v>0</v>
      </c>
      <c r="U6" s="90">
        <f>基本信息!Z6*基本信息!DP6</f>
        <v>0</v>
      </c>
      <c r="V6" s="90">
        <f>基本信息!AA6*基本信息!DQ6</f>
        <v>0</v>
      </c>
      <c r="W6" s="142">
        <f>基本信息!AD6+基本信息!DR6</f>
        <v>0</v>
      </c>
      <c r="X6" s="142">
        <f>基本信息!AE6+基本信息!DS6</f>
        <v>0</v>
      </c>
      <c r="Y6" s="142">
        <f>基本信息!DT6</f>
        <v>0</v>
      </c>
      <c r="Z6" s="90" t="e">
        <f>IF(VLOOKUP(基本信息!$H6,各地政策!$A:$X,21,0)="进位",ROUNDUP(基本信息!AF6*基本信息!AN6,VLOOKUP(基本信息!$H6,各地政策!$A:$X,20,0)),IF(VLOOKUP(基本信息!$H6,各地政策!$A:$X,21,0)="四舍五入",ROUND(基本信息!AF6*基本信息!AN6,VLOOKUP(基本信息!$H6,各地政策!$A:$X,20,0)),ROUND(基本信息!AF6*基本信息!AN6-IF(VLOOKUP(基本信息!$H6,各地政策!$A:$X,20,0)=0,0.5,IF(VLOOKUP(基本信息!$H6,各地政策!$A:$X,20,0)=1,0.05,0.005)),VLOOKUP(基本信息!$H6,各地政策!$A:$X,20,0))))</f>
        <v>#N/A</v>
      </c>
      <c r="AA6" s="90" t="e">
        <f>IF(VLOOKUP(基本信息!$H6,各地政策!$A:$X,21,0)="进位",ROUNDUP(基本信息!AG6*基本信息!AO6,VLOOKUP(基本信息!$H6,各地政策!$A:$X,20,0)),IF(VLOOKUP(基本信息!$H6,各地政策!$A:$X,21,0)="四舍五入",ROUND(基本信息!AG6*基本信息!AO6,VLOOKUP(基本信息!$H6,各地政策!$A:$X,20,0)),ROUND(基本信息!AG6*基本信息!AO6-IF(VLOOKUP(基本信息!$H6,各地政策!$A:$X,20,0)=0,0.5,IF(VLOOKUP(基本信息!$H6,各地政策!$A:$X,20,0)=1,0.05,0.005)),VLOOKUP(基本信息!$H6,各地政策!$A:$X,20,0))))+基本信息!AT6</f>
        <v>#N/A</v>
      </c>
      <c r="AB6" s="90" t="e">
        <f>IF(VLOOKUP(基本信息!$H6,各地政策!$A:$X,21,0)="进位",ROUNDUP(基本信息!AH6*基本信息!AP6,VLOOKUP(基本信息!$H6,各地政策!$A:$X,20,0)),IF(VLOOKUP(基本信息!$H6,各地政策!$A:$X,21,0)="四舍五入",ROUND(基本信息!AH6*基本信息!AP6,VLOOKUP(基本信息!$H6,各地政策!$A:$X,20,0)),ROUND(基本信息!AH6*基本信息!AP6-IF(VLOOKUP(基本信息!$H6,各地政策!$A:$X,20,0)=0,0.5,IF(VLOOKUP(基本信息!$H6,各地政策!$A:$X,20,0)=1,0.05,0.005)),VLOOKUP(基本信息!$H6,各地政策!$A:$X,20,0))))</f>
        <v>#N/A</v>
      </c>
      <c r="AC6" s="90" t="e">
        <f>IF(VLOOKUP(基本信息!$I6,各地政策!$A:$X,24,0)="进位",ROUNDUP(基本信息!AL6*基本信息!AQ6,VLOOKUP(基本信息!$I6,各地政策!$A:$X,23,0)),IF(VLOOKUP(基本信息!$I6,各地政策!$A:$X,24,0)="四舍五入",ROUND(基本信息!AL6*基本信息!AQ6,VLOOKUP(基本信息!$I6,各地政策!$A:$X,23,0)),ROUND(基本信息!AL6*基本信息!AQ6-IF(VLOOKUP(基本信息!$I6,各地政策!$A:$X,23,0)=0,0.5,IF(VLOOKUP(基本信息!$I6,各地政策!$A:$X,23,0)=1,0.05,0.005)),VLOOKUP(基本信息!$I6,各地政策!$A:$X,23,0))))</f>
        <v>#N/A</v>
      </c>
      <c r="AD6" s="90" t="e">
        <f>IF(VLOOKUP(基本信息!$I6,各地政策!$A:$X,24,0)="进位",ROUNDUP(基本信息!AM6*基本信息!AR6,VLOOKUP(基本信息!$I6,各地政策!$A:$X,23,0)),IF(VLOOKUP(基本信息!$I6,各地政策!$A:$X,24,0)="四舍五入",ROUND(基本信息!AM6*基本信息!AR6,VLOOKUP(基本信息!$I6,各地政策!$A:$X,23,0)),ROUND(基本信息!AM6*基本信息!AR6-IF(VLOOKUP(基本信息!$I6,各地政策!$A:$X,23,0)=0,0.5,IF(VLOOKUP(基本信息!$I6,各地政策!$A:$X,23,0)=1,0.05,0.005)),VLOOKUP(基本信息!$I6,各地政策!$A:$X,23,0))))</f>
        <v>#N/A</v>
      </c>
      <c r="AE6" s="90">
        <f>基本信息!DU6+基本信息!DV6+基本信息!DW6</f>
        <v>0</v>
      </c>
      <c r="AF6" s="90">
        <f>基本信息!DX6</f>
        <v>0</v>
      </c>
      <c r="AG6" s="90">
        <f>基本信息!BF6</f>
        <v>0</v>
      </c>
      <c r="AH6" s="90">
        <f>基本信息!BG6</f>
        <v>0</v>
      </c>
      <c r="AI6" s="90">
        <f>基本信息!BH6+基本信息!DZ6</f>
        <v>0</v>
      </c>
      <c r="AJ6" s="90">
        <f>IF(基本信息!P6="税前",SUM(C6:J6)+SUM(O6:W6)-SUM(K6:N6)-SUM(X6:X6)+Y6-AG6-AH6+AI6,0)</f>
        <v>0</v>
      </c>
      <c r="AK6" s="90">
        <f>IF(基本信息!J6=3,MAX(AJ6*0.2,800),5000)</f>
        <v>5000</v>
      </c>
      <c r="AL6" s="90">
        <f>IF(基本信息!P6="税前",SUMIF(YTD!$A$2:$A$2386,$A6,YTD!$BB$2:$BB$2386)+SUMIF(YTD!$A$2:$A$2386,$A6,YTD!$AM$2:$AM$2386)+AJ6,0)</f>
        <v>0</v>
      </c>
      <c r="AM6" s="90" t="e">
        <f>SUMIF(YTD!$A$2:$A$2386,$A6,YTD!$AM$2:$AM$2386)+SUM(Z6:AF6)</f>
        <v>#N/A</v>
      </c>
      <c r="AN6" s="90">
        <f>SUMIF(YTD!$A$2:$A$2386,$A6,YTD!$AN$2:$AN$2386)+计算结果!AK6</f>
        <v>5000</v>
      </c>
      <c r="AO6" s="90">
        <f>基本信息!CO6</f>
        <v>0</v>
      </c>
      <c r="AP6" s="90">
        <f>基本信息!CP6</f>
        <v>0</v>
      </c>
      <c r="AQ6" s="90">
        <f>基本信息!CQ6</f>
        <v>0</v>
      </c>
      <c r="AR6" s="90">
        <f>基本信息!CR6</f>
        <v>0</v>
      </c>
      <c r="AS6" s="90">
        <f>基本信息!CS6</f>
        <v>0</v>
      </c>
      <c r="AT6" s="232" cm="1">
        <f t="array" ref="AT6">SUMPRODUCT((基本信息!$B$2:$B$2375=$A6)*(基本信息!$CU$2:$CV$2375))+SUMIF(YTD!$A$2:$A$2386,$A6,YTD!$AT$2:$AT$2386)</f>
        <v>0</v>
      </c>
      <c r="AU6" s="233">
        <f t="shared" si="1"/>
        <v>5000</v>
      </c>
      <c r="AV6" s="90">
        <f>IF(基本信息!P6="税前",AL6-AM6-AU6,0)</f>
        <v>0</v>
      </c>
      <c r="AW6" s="90" cm="1">
        <f t="array" ref="AW6">IF(基本信息!J6=1,MAX((AV6)*{0.03,0.1,0.2,0.25,0.3,0.35,0.45}-12*{0,210,1410,2660,4410,7160,15160},0),IF(基本信息!J6=4,MAX((AL6-AL6*0.2-AU6)*{0.03,0.1,0.2,0.25,0.3,0.35,0.45}-12*{0,210,1410,2660,4410,7160,15160},0),0))</f>
        <v>0</v>
      </c>
      <c r="AX6" s="90" cm="1">
        <f t="array" ref="AX6">MAX(ROUND(IF(基本信息!J6=3,MAX((AJ6-IF(AJ6&lt;4000,800,AJ6*0.2))*10%*{2,3,4}-1000*{0,2,7},0),IF(基本信息!J6=2,MAX((AJ6-SUM(Z6:AG6)-AK6)*{0.03,0.1,0.2,0.25,0.3,0.35,0.45}-{0,210,1410,2660,4410,7160,15160},0),IF(基本信息!P6="税前",AW6-ROUND(SUMIF(YTD!$A$2:$A$2386,$A6,YTD!$CD$2:$CD$2386),2),0))),2),0)</f>
        <v>0</v>
      </c>
      <c r="AY6" s="142">
        <f>基本信息!BI6+基本信息!EA6</f>
        <v>0</v>
      </c>
      <c r="AZ6" s="142">
        <f>IF(基本信息!P6="税前",0,SUM(C6:J6)-SUM(K6:N6)+SUM(O6:W6)-X6+Y6+AI6)+AY6</f>
        <v>0</v>
      </c>
      <c r="BA6" s="142">
        <f>IF(OR(基本信息!J6=1,基本信息!J6=4),IF(基本信息!P6="税前",AL6-AM6-AW6+AZ6,AZ6+SUMIF(YTD!$A$2:$A$2386,$A6,YTD!$BA$2:$BA$2386)),IF(基本信息!P6="税前",AJ6-SUM(Z6:AG6)-AX6+AZ6+SUMIF(YTD!$A$2:$A$2386,$A6,YTD!$BA$2:$BA$2386),AZ6))</f>
        <v>0</v>
      </c>
      <c r="BB6" s="142" cm="1">
        <f t="array" ref="BB6">IF(基本信息!J6=3,LOOKUP(AJ6-AX6+AZ6,{0,800,3360,21000,49500},(AJ6-AX6+AZ6-{0,160,0,2000,7000})*{1,5,25,25,25}/{1,4,21,19,17}),IF(基本信息!J6=2,MAX((BA6-AK6-10*{0,21,141,266,441,716,1516})/(1-5%*{0.6,2,4,5,6,7,9})+AK6,BA6),IF(基本信息!J6=4,MAX((BA6-AU6-(AL6*0.2)-120*{0,21,141,266,441,716,1516})/(1-5%*{0.6,2,4,5,6,7,9})+AU6+(AL6*0.2),BA6),MAX((BA6-AU6-120*{0,21,141,266,441,716,1516})/(1-5%*{0.6,2,4,5,6,7,9})+AU6,BA6))))</f>
        <v>0</v>
      </c>
      <c r="BC6" s="142" t="e">
        <f>IF(OR(基本信息!J6=1,基本信息!J6=4),BB6-IFERROR(VLOOKUP($A6,YTD!$A:$BB,54,0),0),BB6)+SUM(Z6:AF6)</f>
        <v>#N/A</v>
      </c>
      <c r="BD6" s="142" cm="1">
        <f t="array" ref="BD6">IF(基本信息!J6=4,MAX((BB6-BB6*0.2-AU6)*{0.03,0.1,0.2,0.25,0.3,0.35,0.45}-12*{0,210,1410,2660,4410,7160,15160},0),IF(基本信息!J6=3,MAX((BB6-IF(BB6&lt;4000,800,BB6*0.2))*10%*{2,3,4}-1000*{0,2,7},0),IF(基本信息!J6=2,MAX((BB6-AK6)*{0.03,0.1,0.2,0.25,0.3,0.35,0.45}-{0,210,1410,2660,4410,7160,15160},0),MAX((BB6-AU6)*{0.03,0.1,0.2,0.25,0.3,0.35,0.45}-12*{0,210,1410,2660,4410,7160,15160},0))))</f>
        <v>0</v>
      </c>
      <c r="BE6" s="90">
        <f>MAX(ROUND(IF(基本信息!J6=1,BD6-AX6-ROUND(SUMIF(YTD!$A$2:$A$2386,$A6,YTD!$CD$2:$CD$2386),2),IF(基本信息!J6=4,BD6-AX6-ROUND(SUMIF(YTD!$A$2:$A$2386,$A6,YTD!$CD$2:$CD$2386),2),BD6-AX6)),2),0)</f>
        <v>0</v>
      </c>
      <c r="BF6" s="90">
        <f ca="1">IF(YEARFRAC(基本信息!AB6,TODAY())*12-1&lt;192,基本信息!AC6,0)</f>
        <v>0</v>
      </c>
      <c r="BG6" s="90" t="e">
        <f>IF(VLOOKUP(基本信息!$I6,各地政策!$A:$X,24,0)="进位",ROUNDUP(基本信息!AM6*基本信息!AS6,VLOOKUP(基本信息!$I6,各地政策!$A:$X,23,0)),IF(VLOOKUP(基本信息!$I6,各地政策!$A:$X,24,0)="四舍五入",ROUND(基本信息!AM6*基本信息!AS6,VLOOKUP(基本信息!$I6,各地政策!$A:$X,23,0)),ROUND(基本信息!AM6*基本信息!AS6-IF(VLOOKUP(基本信息!$I6,各地政策!$A:$X,23,0)=0,0.5,IF(VLOOKUP(基本信息!$I6,各地政策!$A:$X,23,0)=1,0.05,0.005)),VLOOKUP(基本信息!$I6,各地政策!$A:$X,23,0))))</f>
        <v>#N/A</v>
      </c>
      <c r="BH6" s="59">
        <f>基本信息!EB6</f>
        <v>0</v>
      </c>
      <c r="BI6" s="59">
        <f>基本信息!EC6</f>
        <v>0</v>
      </c>
      <c r="BJ6" s="59">
        <f>基本信息!BJ6</f>
        <v>0</v>
      </c>
      <c r="BK6" s="59">
        <f>基本信息!BL6+基本信息!DY6+基本信息!ED6</f>
        <v>0</v>
      </c>
      <c r="BL6" s="59">
        <f>基本信息!BK6+基本信息!EE6</f>
        <v>0</v>
      </c>
      <c r="BM6" s="59">
        <f>基本信息!EG6</f>
        <v>0</v>
      </c>
      <c r="BN6" s="59" cm="1">
        <f t="array" ref="BN6">IF(基本信息!J6=2,MAX((BM6/6)*{0.03,0.1,0.2,0.25,0.3,0.35,0.45}-{0,210,1410,2660,4410,7160,15160},0)*6,ROUND((BM6)*LOOKUP(-(BM6)/12,-{99999,80,55,35,25,12,3,0,-9}*1000,{9,7,6,5,4,2,0.6,0,0}*5%)-LOOKUP(-(BM6)/12,-{99999,80,55,35,25,12,3,0,-9}*1000,{1516,716,441,266,141,21,0,0}*10),2))</f>
        <v>0</v>
      </c>
      <c r="BO6" s="59">
        <f>基本信息!EH6</f>
        <v>0</v>
      </c>
      <c r="BP6" s="59" cm="1">
        <f t="array" ref="BP6">IFERROR(ROUND(MAX((基本信息!EH6-基本信息!EI6)*{0.03,0.1,0.2,0.25,0.3,0.35,0.45}-12*{0,210,1410,2660,4410,7160,15160},0),2),0)</f>
        <v>0</v>
      </c>
      <c r="BQ6" s="59">
        <f>基本信息!EK6</f>
        <v>0</v>
      </c>
      <c r="BR6" s="59" cm="1">
        <f t="array" ref="BR6">ROUND((BQ6)*LOOKUP(-BQ6,-{99999,96,66,42,30,14.4,3.6,0,-9}*10000,{9,7,6,5,4,2,0.6,0,0}*5%)-LOOKUP(-BQ6,-{99999,96,66,42,30,14.4,3.6,0,-9}*10000,{18192,8592,5292,3192,1692,252,0,0}*10),2)</f>
        <v>0</v>
      </c>
      <c r="BS6" s="144">
        <f t="shared" ca="1" si="2"/>
        <v>0</v>
      </c>
      <c r="BT6" s="142">
        <f>IF(基本信息!P6="税前",SUM(K6:N6)+SUM(X6,Z6:AH6)+AX6+BG6+BL6+BN6+BP6+BR6,SUM(K6:N6,X6,BL6,BN6,BP6,BR6))</f>
        <v>0</v>
      </c>
      <c r="BU6" s="142">
        <f t="shared" ca="1" si="3"/>
        <v>0</v>
      </c>
      <c r="BV6" s="90" t="e">
        <f>IF(VLOOKUP(基本信息!$H6,各地政策!$A:$X,21,0)="进位",ROUNDUP(基本信息!AF6*基本信息!AU6,VLOOKUP(基本信息!$H6,各地政策!$A:$X,20,0)),IF(VLOOKUP(基本信息!$H6,各地政策!$A:$X,21,0)="四舍五入",ROUND(基本信息!AF6*基本信息!AU6,VLOOKUP(基本信息!$H6,各地政策!$A:$X,20,0)),ROUND(基本信息!AF6*基本信息!AU6-IF(VLOOKUP(基本信息!$H6,各地政策!$A:$X,20,0)=0,0.5,IF(VLOOKUP(基本信息!$H6,各地政策!$A:$X,20,0)=1,0.05,0.005)),VLOOKUP(基本信息!$H6,各地政策!$A:$X,20,0))))</f>
        <v>#N/A</v>
      </c>
      <c r="BW6" s="90" t="e">
        <f>IF(VLOOKUP(基本信息!$H6,各地政策!$A:$X,21,0)="进位",ROUNDUP(基本信息!AG6*基本信息!AV6,VLOOKUP(基本信息!$H6,各地政策!$A:$X,20,0)),IF(VLOOKUP(基本信息!$H6,各地政策!$A:$X,21,0)="四舍五入",ROUND(基本信息!AG6*基本信息!AV6,VLOOKUP(基本信息!$H6,各地政策!$A:$X,20,0)),ROUND(基本信息!AG6*基本信息!AV6-IF(VLOOKUP(基本信息!$H6,各地政策!$A:$X,20,0)=0,0.5,IF(VLOOKUP(基本信息!$H6,各地政策!$A:$X,20,0)=1,0.05,0.005)),VLOOKUP(基本信息!$H6,各地政策!$A:$X,20,0))))+基本信息!BC6</f>
        <v>#N/A</v>
      </c>
      <c r="BX6" s="90" t="e">
        <f>IF(VLOOKUP(基本信息!$H6,各地政策!$A:$X,21,0)="进位",ROUNDUP(基本信息!AH6*基本信息!AW6,VLOOKUP(基本信息!$H6,各地政策!$A:$X,20,0)),IF(VLOOKUP(基本信息!$H6,各地政策!$A:$X,21,0)="四舍五入",ROUND(基本信息!AH6*基本信息!AW6,VLOOKUP(基本信息!$H6,各地政策!$A:$X,20,0)),ROUND(基本信息!AH6*基本信息!AW6-IF(VLOOKUP(基本信息!$H6,各地政策!$A:$X,20,0)=0,0.5,IF(VLOOKUP(基本信息!$H6,各地政策!$A:$X,20,0)=1,0.05,0.005)),VLOOKUP(基本信息!$H6,各地政策!$A:$X,20,0))))</f>
        <v>#N/A</v>
      </c>
      <c r="BY6" s="90" t="e">
        <f>IF(VLOOKUP(基本信息!$H6,各地政策!$A:$X,21,0)="进位",ROUNDUP(基本信息!AI6*基本信息!AX6,VLOOKUP(基本信息!$H6,各地政策!$A:$X,20,0)),IF(VLOOKUP(基本信息!$H6,各地政策!$A:$X,21,0)="四舍五入",ROUND(基本信息!AI6*基本信息!AX6,VLOOKUP(基本信息!$H6,各地政策!$A:$X,20,0)),ROUND(基本信息!AI6*基本信息!AX6-IF(VLOOKUP(基本信息!$H6,各地政策!$A:$X,20,0)=0,0.5,IF(VLOOKUP(基本信息!$H6,各地政策!$A:$X,20,0)=1,0.05,0.005)),VLOOKUP(基本信息!$H6,各地政策!$A:$X,20,0))))</f>
        <v>#N/A</v>
      </c>
      <c r="BZ6" s="90" t="e">
        <f>IF(VLOOKUP(基本信息!$H6,各地政策!$A:$X,21,0)="进位",ROUNDUP(基本信息!AJ6*基本信息!AY6,VLOOKUP(基本信息!$H6,各地政策!$A:$X,20,0)),IF(VLOOKUP(基本信息!$H6,各地政策!$A:$X,21,0)="四舍五入",ROUND(基本信息!AJ6*基本信息!AY6,VLOOKUP(基本信息!$H6,各地政策!$A:$X,20,0)),ROUND(基本信息!AJ6*基本信息!AY6-IF(VLOOKUP(基本信息!$H6,各地政策!$A:$X,20,0)=0,0.5,IF(VLOOKUP(基本信息!$H6,各地政策!$A:$X,20,0)=1,0.05,0.005)),VLOOKUP(基本信息!$H6,各地政策!$A:$X,20,0))))+基本信息!BD6</f>
        <v>#N/A</v>
      </c>
      <c r="CA6" s="90" t="e">
        <f>IF(VLOOKUP(基本信息!$H6,各地政策!$A:$X,21,0)="进位",ROUNDUP(基本信息!AK6*基本信息!AZ6+基本信息!BE6,VLOOKUP(基本信息!$H6,各地政策!$A:$X,20,0)),IF(VLOOKUP(基本信息!$H6,各地政策!$A:$X,21,0)="四舍五入",ROUND(基本信息!AK6*基本信息!AZ6+基本信息!BE6,VLOOKUP(基本信息!$H6,各地政策!$A:$X,20,0)),ROUND(基本信息!AK6*基本信息!AZ6+基本信息!BE6-IF(VLOOKUP(基本信息!$H6,各地政策!$A:$X,20,0)=0,0.5,IF(VLOOKUP(基本信息!$H6,各地政策!$A:$X,20,0)=1,0.05,0.005)),VLOOKUP(基本信息!$H6,各地政策!$A:$X,20,0))))</f>
        <v>#N/A</v>
      </c>
      <c r="CB6" s="90" t="e">
        <f>IF(VLOOKUP(基本信息!$I6,各地政策!$A:$X,24,0)="进位",ROUNDUP(基本信息!AL6*(基本信息!BA6),VLOOKUP(基本信息!$I6,各地政策!$A:$X,23,0)),IF(VLOOKUP(基本信息!$I6,各地政策!$A:$X,24,0)="四舍五入",ROUND(基本信息!AL6*(基本信息!BA6),VLOOKUP(基本信息!$I6,各地政策!$A:$X,23,0)),ROUND(基本信息!AL6*(基本信息!BA6)-IF(VLOOKUP(基本信息!$I6,各地政策!$A:$X,23,0)=0,0.5,IF(VLOOKUP(基本信息!$I6,各地政策!$A:$X,23,0)=1,0.05,0.005)),VLOOKUP(基本信息!$I6,各地政策!$A:$X,23,0))))</f>
        <v>#N/A</v>
      </c>
      <c r="CC6" s="90" t="e">
        <f>IF(VLOOKUP(基本信息!$I6,各地政策!$A:$X,24,0)="进位",ROUNDUP(基本信息!AM6*(基本信息!BB6),VLOOKUP(基本信息!$I6,各地政策!$A:$X,23,0)),IF(VLOOKUP(基本信息!$I6,各地政策!$A:$X,24,0)="四舍五入",ROUND(基本信息!AM6*(基本信息!BB6),VLOOKUP(基本信息!$I6,各地政策!$A:$X,23,0)),ROUND(基本信息!AM6*(基本信息!BB6)-IF(VLOOKUP(基本信息!$I6,各地政策!$A:$X,23,0)=0,0.5,IF(VLOOKUP(基本信息!$I6,各地政策!$A:$X,23,0)=1,0.05,0.005)),VLOOKUP(基本信息!$I6,各地政策!$A:$X,23,0))))</f>
        <v>#N/A</v>
      </c>
      <c r="CD6" s="90">
        <f>AX6+BE6+IFERROR(VLOOKUP($A6,YTD!$A:$CD,82,0),0)</f>
        <v>0</v>
      </c>
      <c r="CE6" s="232">
        <f>基本信息!CT6</f>
        <v>0</v>
      </c>
      <c r="CF6" s="184">
        <f>'S-Payroll Report'!X12</f>
        <v>0</v>
      </c>
      <c r="CG6" s="184">
        <f>'S-Payroll Report'!AD12</f>
        <v>0</v>
      </c>
      <c r="CH6" s="184">
        <f>'S-Payroll Report'!AC12</f>
        <v>0</v>
      </c>
      <c r="CI6" s="184">
        <f>'S-Payroll Report'!AA12</f>
        <v>0</v>
      </c>
      <c r="CJ6" s="184">
        <f>'S-Payroll Report'!AF12</f>
        <v>0</v>
      </c>
      <c r="CK6" s="184">
        <f>基本信息!EM6+基本信息!EN6+基本信息!EO6</f>
        <v>0</v>
      </c>
    </row>
    <row r="7" spans="1:89">
      <c r="A7" s="180" t="str">
        <f>IF(基本信息!B7="","",基本信息!B7)</f>
        <v/>
      </c>
      <c r="B7" s="64" t="str">
        <f>IF(基本信息!C7="","",基本信息!C7)</f>
        <v/>
      </c>
      <c r="C7" s="90">
        <f>基本信息!Q7+基本信息!R7*基本信息!CW7</f>
        <v>0</v>
      </c>
      <c r="D7" s="90">
        <f>基本信息!S7</f>
        <v>0</v>
      </c>
      <c r="E7" s="90">
        <f>基本信息!CX7</f>
        <v>0</v>
      </c>
      <c r="F7" s="90">
        <f>基本信息!CY7</f>
        <v>0</v>
      </c>
      <c r="G7" s="90">
        <f>基本信息!CZ7</f>
        <v>0</v>
      </c>
      <c r="H7" s="90">
        <f>ROUND(C7*基本信息!DA7*1.5/(21.75*8),2)</f>
        <v>0</v>
      </c>
      <c r="I7" s="90">
        <f>ROUND(C7*基本信息!DB7*2/(21.75*8),2)</f>
        <v>0</v>
      </c>
      <c r="J7" s="90">
        <f>ROUND(C7*基本信息!DC7*3/(21.75*8),2)</f>
        <v>0</v>
      </c>
      <c r="K7" s="90">
        <f>ROUND(IF(AND(基本信息!DD7=23,基本信息!DE7=12),((C7+D7)*12/21.75+(C7+D7)-(C7+D7)*11/21.75)/2,IF(基本信息!DE7&gt;基本信息!DD7/2,(C7+D7)-(C7+D7)*(基本信息!DD7-基本信息!DE7)/21.75,(C7+D7)*基本信息!DE7/21.75)),2)</f>
        <v>0</v>
      </c>
      <c r="L7" s="90">
        <f>MAX(0,ROUND((C7+D7)*基本信息!DF7/21.75,2))</f>
        <v>0</v>
      </c>
      <c r="M7" s="90">
        <f>MAX(0,ROUND((C7+D7)*基本信息!DG7/21.75,2))</f>
        <v>0</v>
      </c>
      <c r="N7" s="90">
        <f>基本信息!DI7</f>
        <v>0</v>
      </c>
      <c r="O7" s="90">
        <f>基本信息!T7+基本信息!DJ7</f>
        <v>0</v>
      </c>
      <c r="P7" s="90">
        <f>基本信息!U7+基本信息!DK7</f>
        <v>0</v>
      </c>
      <c r="Q7" s="90">
        <f>基本信息!V7</f>
        <v>0</v>
      </c>
      <c r="R7" s="90">
        <f>基本信息!W7*基本信息!DL7</f>
        <v>0</v>
      </c>
      <c r="S7" s="90">
        <f>基本信息!X7*基本信息!DM7</f>
        <v>0</v>
      </c>
      <c r="T7" s="90">
        <f>基本信息!Y7*基本信息!DN7+基本信息!DO7</f>
        <v>0</v>
      </c>
      <c r="U7" s="90">
        <f>基本信息!Z7*基本信息!DP7</f>
        <v>0</v>
      </c>
      <c r="V7" s="90">
        <f>基本信息!AA7*基本信息!DQ7</f>
        <v>0</v>
      </c>
      <c r="W7" s="142">
        <f>基本信息!AD7+基本信息!DR7</f>
        <v>0</v>
      </c>
      <c r="X7" s="142">
        <f>基本信息!AE7+基本信息!DS7</f>
        <v>0</v>
      </c>
      <c r="Y7" s="142">
        <f>基本信息!DT7</f>
        <v>0</v>
      </c>
      <c r="Z7" s="90" t="e">
        <f>IF(VLOOKUP(基本信息!$H7,各地政策!$A:$X,21,0)="进位",ROUNDUP(基本信息!AF7*基本信息!AN7,VLOOKUP(基本信息!$H7,各地政策!$A:$X,20,0)),IF(VLOOKUP(基本信息!$H7,各地政策!$A:$X,21,0)="四舍五入",ROUND(基本信息!AF7*基本信息!AN7,VLOOKUP(基本信息!$H7,各地政策!$A:$X,20,0)),ROUND(基本信息!AF7*基本信息!AN7-IF(VLOOKUP(基本信息!$H7,各地政策!$A:$X,20,0)=0,0.5,IF(VLOOKUP(基本信息!$H7,各地政策!$A:$X,20,0)=1,0.05,0.005)),VLOOKUP(基本信息!$H7,各地政策!$A:$X,20,0))))</f>
        <v>#N/A</v>
      </c>
      <c r="AA7" s="90" t="e">
        <f>IF(VLOOKUP(基本信息!$H7,各地政策!$A:$X,21,0)="进位",ROUNDUP(基本信息!AG7*基本信息!AO7,VLOOKUP(基本信息!$H7,各地政策!$A:$X,20,0)),IF(VLOOKUP(基本信息!$H7,各地政策!$A:$X,21,0)="四舍五入",ROUND(基本信息!AG7*基本信息!AO7,VLOOKUP(基本信息!$H7,各地政策!$A:$X,20,0)),ROUND(基本信息!AG7*基本信息!AO7-IF(VLOOKUP(基本信息!$H7,各地政策!$A:$X,20,0)=0,0.5,IF(VLOOKUP(基本信息!$H7,各地政策!$A:$X,20,0)=1,0.05,0.005)),VLOOKUP(基本信息!$H7,各地政策!$A:$X,20,0))))+基本信息!AT7</f>
        <v>#N/A</v>
      </c>
      <c r="AB7" s="90" t="e">
        <f>IF(VLOOKUP(基本信息!$H7,各地政策!$A:$X,21,0)="进位",ROUNDUP(基本信息!AH7*基本信息!AP7,VLOOKUP(基本信息!$H7,各地政策!$A:$X,20,0)),IF(VLOOKUP(基本信息!$H7,各地政策!$A:$X,21,0)="四舍五入",ROUND(基本信息!AH7*基本信息!AP7,VLOOKUP(基本信息!$H7,各地政策!$A:$X,20,0)),ROUND(基本信息!AH7*基本信息!AP7-IF(VLOOKUP(基本信息!$H7,各地政策!$A:$X,20,0)=0,0.5,IF(VLOOKUP(基本信息!$H7,各地政策!$A:$X,20,0)=1,0.05,0.005)),VLOOKUP(基本信息!$H7,各地政策!$A:$X,20,0))))</f>
        <v>#N/A</v>
      </c>
      <c r="AC7" s="90" t="e">
        <f>IF(VLOOKUP(基本信息!$I7,各地政策!$A:$X,24,0)="进位",ROUNDUP(基本信息!AL7*基本信息!AQ7,VLOOKUP(基本信息!$I7,各地政策!$A:$X,23,0)),IF(VLOOKUP(基本信息!$I7,各地政策!$A:$X,24,0)="四舍五入",ROUND(基本信息!AL7*基本信息!AQ7,VLOOKUP(基本信息!$I7,各地政策!$A:$X,23,0)),ROUND(基本信息!AL7*基本信息!AQ7-IF(VLOOKUP(基本信息!$I7,各地政策!$A:$X,23,0)=0,0.5,IF(VLOOKUP(基本信息!$I7,各地政策!$A:$X,23,0)=1,0.05,0.005)),VLOOKUP(基本信息!$I7,各地政策!$A:$X,23,0))))</f>
        <v>#N/A</v>
      </c>
      <c r="AD7" s="90" t="e">
        <f>IF(VLOOKUP(基本信息!$I7,各地政策!$A:$X,24,0)="进位",ROUNDUP(基本信息!AM7*基本信息!AR7,VLOOKUP(基本信息!$I7,各地政策!$A:$X,23,0)),IF(VLOOKUP(基本信息!$I7,各地政策!$A:$X,24,0)="四舍五入",ROUND(基本信息!AM7*基本信息!AR7,VLOOKUP(基本信息!$I7,各地政策!$A:$X,23,0)),ROUND(基本信息!AM7*基本信息!AR7-IF(VLOOKUP(基本信息!$I7,各地政策!$A:$X,23,0)=0,0.5,IF(VLOOKUP(基本信息!$I7,各地政策!$A:$X,23,0)=1,0.05,0.005)),VLOOKUP(基本信息!$I7,各地政策!$A:$X,23,0))))</f>
        <v>#N/A</v>
      </c>
      <c r="AE7" s="90">
        <f>基本信息!DU7+基本信息!DV7+基本信息!DW7</f>
        <v>0</v>
      </c>
      <c r="AF7" s="90">
        <f>基本信息!DX7</f>
        <v>0</v>
      </c>
      <c r="AG7" s="90">
        <f>基本信息!BF7</f>
        <v>0</v>
      </c>
      <c r="AH7" s="90">
        <f>基本信息!BG7</f>
        <v>0</v>
      </c>
      <c r="AI7" s="90">
        <f>基本信息!BH7+基本信息!DZ7</f>
        <v>0</v>
      </c>
      <c r="AJ7" s="90">
        <f>IF(基本信息!P7="税前",SUM(C7:J7)+SUM(O7:W7)-SUM(K7:N7)-SUM(X7:X7)+Y7-AG7-AH7+AI7,0)</f>
        <v>0</v>
      </c>
      <c r="AK7" s="90">
        <f>IF(基本信息!J7=3,MAX(AJ7*0.2,800),5000)</f>
        <v>5000</v>
      </c>
      <c r="AL7" s="90">
        <f>IF(基本信息!P7="税前",SUMIF(YTD!$A$2:$A$2386,$A7,YTD!$BB$2:$BB$2386)+SUMIF(YTD!$A$2:$A$2386,$A7,YTD!$AM$2:$AM$2386)+AJ7,0)</f>
        <v>0</v>
      </c>
      <c r="AM7" s="90" t="e">
        <f>SUMIF(YTD!$A$2:$A$2386,$A7,YTD!$AM$2:$AM$2386)+SUM(Z7:AF7)</f>
        <v>#N/A</v>
      </c>
      <c r="AN7" s="90">
        <f>SUMIF(YTD!$A$2:$A$2386,$A7,YTD!$AN$2:$AN$2386)+计算结果!AK7</f>
        <v>5000</v>
      </c>
      <c r="AO7" s="90">
        <f>基本信息!CO7</f>
        <v>0</v>
      </c>
      <c r="AP7" s="90">
        <f>基本信息!CP7</f>
        <v>0</v>
      </c>
      <c r="AQ7" s="90">
        <f>基本信息!CQ7</f>
        <v>0</v>
      </c>
      <c r="AR7" s="90">
        <f>基本信息!CR7</f>
        <v>0</v>
      </c>
      <c r="AS7" s="90">
        <f>基本信息!CS7</f>
        <v>0</v>
      </c>
      <c r="AT7" s="232" cm="1">
        <f t="array" ref="AT7">SUMPRODUCT((基本信息!$B$2:$B$2375=$A7)*(基本信息!$CU$2:$CV$2375))+SUMIF(YTD!$A$2:$A$2386,$A7,YTD!$AT$2:$AT$2386)</f>
        <v>0</v>
      </c>
      <c r="AU7" s="233">
        <f t="shared" si="1"/>
        <v>5000</v>
      </c>
      <c r="AV7" s="90">
        <f>IF(基本信息!P7="税前",AL7-AM7-AU7,0)</f>
        <v>0</v>
      </c>
      <c r="AW7" s="90" cm="1">
        <f t="array" ref="AW7">IF(基本信息!J7=1,MAX((AV7)*{0.03,0.1,0.2,0.25,0.3,0.35,0.45}-12*{0,210,1410,2660,4410,7160,15160},0),IF(基本信息!J7=4,MAX((AL7-AL7*0.2-AU7)*{0.03,0.1,0.2,0.25,0.3,0.35,0.45}-12*{0,210,1410,2660,4410,7160,15160},0),0))</f>
        <v>0</v>
      </c>
      <c r="AX7" s="90" cm="1">
        <f t="array" ref="AX7">MAX(ROUND(IF(基本信息!J7=3,MAX((AJ7-IF(AJ7&lt;4000,800,AJ7*0.2))*10%*{2,3,4}-1000*{0,2,7},0),IF(基本信息!J7=2,MAX((AJ7-SUM(Z7:AG7)-AK7)*{0.03,0.1,0.2,0.25,0.3,0.35,0.45}-{0,210,1410,2660,4410,7160,15160},0),IF(基本信息!P7="税前",AW7-ROUND(SUMIF(YTD!$A$2:$A$2386,$A7,YTD!$CD$2:$CD$2386),2),0))),2),0)</f>
        <v>0</v>
      </c>
      <c r="AY7" s="142">
        <f>基本信息!BI7+基本信息!EA7</f>
        <v>0</v>
      </c>
      <c r="AZ7" s="142">
        <f>IF(基本信息!P7="税前",0,SUM(C7:J7)-SUM(K7:N7)+SUM(O7:W7)-X7+Y7+AI7)+AY7</f>
        <v>0</v>
      </c>
      <c r="BA7" s="142">
        <f>IF(OR(基本信息!J7=1,基本信息!J7=4),IF(基本信息!P7="税前",AL7-AM7-AW7+AZ7,AZ7+SUMIF(YTD!$A$2:$A$2386,$A7,YTD!$BA$2:$BA$2386)),IF(基本信息!P7="税前",AJ7-SUM(Z7:AG7)-AX7+AZ7+SUMIF(YTD!$A$2:$A$2386,$A7,YTD!$BA$2:$BA$2386),AZ7))</f>
        <v>0</v>
      </c>
      <c r="BB7" s="142" cm="1">
        <f t="array" ref="BB7">IF(基本信息!J7=3,LOOKUP(AJ7-AX7+AZ7,{0,800,3360,21000,49500},(AJ7-AX7+AZ7-{0,160,0,2000,7000})*{1,5,25,25,25}/{1,4,21,19,17}),IF(基本信息!J7=2,MAX((BA7-AK7-10*{0,21,141,266,441,716,1516})/(1-5%*{0.6,2,4,5,6,7,9})+AK7,BA7),IF(基本信息!J7=4,MAX((BA7-AU7-(AL7*0.2)-120*{0,21,141,266,441,716,1516})/(1-5%*{0.6,2,4,5,6,7,9})+AU7+(AL7*0.2),BA7),MAX((BA7-AU7-120*{0,21,141,266,441,716,1516})/(1-5%*{0.6,2,4,5,6,7,9})+AU7,BA7))))</f>
        <v>0</v>
      </c>
      <c r="BC7" s="142" t="e">
        <f>IF(OR(基本信息!J7=1,基本信息!J7=4),BB7-IFERROR(VLOOKUP($A7,YTD!$A:$BB,54,0),0),BB7)+SUM(Z7:AF7)</f>
        <v>#N/A</v>
      </c>
      <c r="BD7" s="142" cm="1">
        <f t="array" ref="BD7">IF(基本信息!J7=4,MAX((BB7-BB7*0.2-AU7)*{0.03,0.1,0.2,0.25,0.3,0.35,0.45}-12*{0,210,1410,2660,4410,7160,15160},0),IF(基本信息!J7=3,MAX((BB7-IF(BB7&lt;4000,800,BB7*0.2))*10%*{2,3,4}-1000*{0,2,7},0),IF(基本信息!J7=2,MAX((BB7-AK7)*{0.03,0.1,0.2,0.25,0.3,0.35,0.45}-{0,210,1410,2660,4410,7160,15160},0),MAX((BB7-AU7)*{0.03,0.1,0.2,0.25,0.3,0.35,0.45}-12*{0,210,1410,2660,4410,7160,15160},0))))</f>
        <v>0</v>
      </c>
      <c r="BE7" s="90">
        <f>MAX(ROUND(IF(基本信息!J7=1,BD7-AX7-ROUND(SUMIF(YTD!$A$2:$A$2386,$A7,YTD!$CD$2:$CD$2386),2),IF(基本信息!J7=4,BD7-AX7-ROUND(SUMIF(YTD!$A$2:$A$2386,$A7,YTD!$CD$2:$CD$2386),2),BD7-AX7)),2),0)</f>
        <v>0</v>
      </c>
      <c r="BF7" s="90">
        <f ca="1">IF(YEARFRAC(基本信息!AB7,TODAY())*12-1&lt;192,基本信息!AC7,0)</f>
        <v>0</v>
      </c>
      <c r="BG7" s="90" t="e">
        <f>IF(VLOOKUP(基本信息!$I7,各地政策!$A:$X,24,0)="进位",ROUNDUP(基本信息!AM7*基本信息!AS7,VLOOKUP(基本信息!$I7,各地政策!$A:$X,23,0)),IF(VLOOKUP(基本信息!$I7,各地政策!$A:$X,24,0)="四舍五入",ROUND(基本信息!AM7*基本信息!AS7,VLOOKUP(基本信息!$I7,各地政策!$A:$X,23,0)),ROUND(基本信息!AM7*基本信息!AS7-IF(VLOOKUP(基本信息!$I7,各地政策!$A:$X,23,0)=0,0.5,IF(VLOOKUP(基本信息!$I7,各地政策!$A:$X,23,0)=1,0.05,0.005)),VLOOKUP(基本信息!$I7,各地政策!$A:$X,23,0))))</f>
        <v>#N/A</v>
      </c>
      <c r="BH7" s="59">
        <f>基本信息!EB7</f>
        <v>0</v>
      </c>
      <c r="BI7" s="59">
        <f>基本信息!EC7</f>
        <v>0</v>
      </c>
      <c r="BJ7" s="59">
        <f>基本信息!BJ7</f>
        <v>0</v>
      </c>
      <c r="BK7" s="59">
        <f>基本信息!BL7+基本信息!DY7+基本信息!ED7</f>
        <v>0</v>
      </c>
      <c r="BL7" s="59">
        <f>基本信息!BK7+基本信息!EE7</f>
        <v>0</v>
      </c>
      <c r="BM7" s="59">
        <f>基本信息!EG7</f>
        <v>0</v>
      </c>
      <c r="BN7" s="59" cm="1">
        <f t="array" ref="BN7">IF(基本信息!J7=2,MAX((BM7/6)*{0.03,0.1,0.2,0.25,0.3,0.35,0.45}-{0,210,1410,2660,4410,7160,15160},0)*6,ROUND((BM7)*LOOKUP(-(BM7)/12,-{99999,80,55,35,25,12,3,0,-9}*1000,{9,7,6,5,4,2,0.6,0,0}*5%)-LOOKUP(-(BM7)/12,-{99999,80,55,35,25,12,3,0,-9}*1000,{1516,716,441,266,141,21,0,0}*10),2))</f>
        <v>0</v>
      </c>
      <c r="BO7" s="59">
        <f>基本信息!EH7</f>
        <v>0</v>
      </c>
      <c r="BP7" s="59" cm="1">
        <f t="array" ref="BP7">IFERROR(ROUND(MAX((基本信息!EH7-基本信息!EI7)*{0.03,0.1,0.2,0.25,0.3,0.35,0.45}-12*{0,210,1410,2660,4410,7160,15160},0),2),0)</f>
        <v>0</v>
      </c>
      <c r="BQ7" s="59">
        <f>基本信息!EK7</f>
        <v>0</v>
      </c>
      <c r="BR7" s="59" cm="1">
        <f t="array" ref="BR7">ROUND((BQ7)*LOOKUP(-BQ7,-{99999,96,66,42,30,14.4,3.6,0,-9}*10000,{9,7,6,5,4,2,0.6,0,0}*5%)-LOOKUP(-BQ7,-{99999,96,66,42,30,14.4,3.6,0,-9}*10000,{18192,8592,5292,3192,1692,252,0,0}*10),2)</f>
        <v>0</v>
      </c>
      <c r="BS7" s="144">
        <f t="shared" ca="1" si="2"/>
        <v>0</v>
      </c>
      <c r="BT7" s="142">
        <f>IF(基本信息!P7="税前",SUM(K7:N7)+SUM(X7,Z7:AH7)+AX7+BG7+BL7+BN7+BP7+BR7,SUM(K7:N7,X7,BL7,BN7,BP7,BR7))</f>
        <v>0</v>
      </c>
      <c r="BU7" s="142">
        <f t="shared" ca="1" si="3"/>
        <v>0</v>
      </c>
      <c r="BV7" s="90" t="e">
        <f>IF(VLOOKUP(基本信息!$H7,各地政策!$A:$X,21,0)="进位",ROUNDUP(基本信息!AF7*基本信息!AU7,VLOOKUP(基本信息!$H7,各地政策!$A:$X,20,0)),IF(VLOOKUP(基本信息!$H7,各地政策!$A:$X,21,0)="四舍五入",ROUND(基本信息!AF7*基本信息!AU7,VLOOKUP(基本信息!$H7,各地政策!$A:$X,20,0)),ROUND(基本信息!AF7*基本信息!AU7-IF(VLOOKUP(基本信息!$H7,各地政策!$A:$X,20,0)=0,0.5,IF(VLOOKUP(基本信息!$H7,各地政策!$A:$X,20,0)=1,0.05,0.005)),VLOOKUP(基本信息!$H7,各地政策!$A:$X,20,0))))</f>
        <v>#N/A</v>
      </c>
      <c r="BW7" s="90" t="e">
        <f>IF(VLOOKUP(基本信息!$H7,各地政策!$A:$X,21,0)="进位",ROUNDUP(基本信息!AG7*基本信息!AV7,VLOOKUP(基本信息!$H7,各地政策!$A:$X,20,0)),IF(VLOOKUP(基本信息!$H7,各地政策!$A:$X,21,0)="四舍五入",ROUND(基本信息!AG7*基本信息!AV7,VLOOKUP(基本信息!$H7,各地政策!$A:$X,20,0)),ROUND(基本信息!AG7*基本信息!AV7-IF(VLOOKUP(基本信息!$H7,各地政策!$A:$X,20,0)=0,0.5,IF(VLOOKUP(基本信息!$H7,各地政策!$A:$X,20,0)=1,0.05,0.005)),VLOOKUP(基本信息!$H7,各地政策!$A:$X,20,0))))+基本信息!BC7</f>
        <v>#N/A</v>
      </c>
      <c r="BX7" s="90" t="e">
        <f>IF(VLOOKUP(基本信息!$H7,各地政策!$A:$X,21,0)="进位",ROUNDUP(基本信息!AH7*基本信息!AW7,VLOOKUP(基本信息!$H7,各地政策!$A:$X,20,0)),IF(VLOOKUP(基本信息!$H7,各地政策!$A:$X,21,0)="四舍五入",ROUND(基本信息!AH7*基本信息!AW7,VLOOKUP(基本信息!$H7,各地政策!$A:$X,20,0)),ROUND(基本信息!AH7*基本信息!AW7-IF(VLOOKUP(基本信息!$H7,各地政策!$A:$X,20,0)=0,0.5,IF(VLOOKUP(基本信息!$H7,各地政策!$A:$X,20,0)=1,0.05,0.005)),VLOOKUP(基本信息!$H7,各地政策!$A:$X,20,0))))</f>
        <v>#N/A</v>
      </c>
      <c r="BY7" s="90" t="e">
        <f>IF(VLOOKUP(基本信息!$H7,各地政策!$A:$X,21,0)="进位",ROUNDUP(基本信息!AI7*基本信息!AX7,VLOOKUP(基本信息!$H7,各地政策!$A:$X,20,0)),IF(VLOOKUP(基本信息!$H7,各地政策!$A:$X,21,0)="四舍五入",ROUND(基本信息!AI7*基本信息!AX7,VLOOKUP(基本信息!$H7,各地政策!$A:$X,20,0)),ROUND(基本信息!AI7*基本信息!AX7-IF(VLOOKUP(基本信息!$H7,各地政策!$A:$X,20,0)=0,0.5,IF(VLOOKUP(基本信息!$H7,各地政策!$A:$X,20,0)=1,0.05,0.005)),VLOOKUP(基本信息!$H7,各地政策!$A:$X,20,0))))</f>
        <v>#N/A</v>
      </c>
      <c r="BZ7" s="90" t="e">
        <f>IF(VLOOKUP(基本信息!$H7,各地政策!$A:$X,21,0)="进位",ROUNDUP(基本信息!AJ7*基本信息!AY7,VLOOKUP(基本信息!$H7,各地政策!$A:$X,20,0)),IF(VLOOKUP(基本信息!$H7,各地政策!$A:$X,21,0)="四舍五入",ROUND(基本信息!AJ7*基本信息!AY7,VLOOKUP(基本信息!$H7,各地政策!$A:$X,20,0)),ROUND(基本信息!AJ7*基本信息!AY7-IF(VLOOKUP(基本信息!$H7,各地政策!$A:$X,20,0)=0,0.5,IF(VLOOKUP(基本信息!$H7,各地政策!$A:$X,20,0)=1,0.05,0.005)),VLOOKUP(基本信息!$H7,各地政策!$A:$X,20,0))))+基本信息!BD7</f>
        <v>#N/A</v>
      </c>
      <c r="CA7" s="90" t="e">
        <f>IF(VLOOKUP(基本信息!$H7,各地政策!$A:$X,21,0)="进位",ROUNDUP(基本信息!AK7*基本信息!AZ7+基本信息!BE7,VLOOKUP(基本信息!$H7,各地政策!$A:$X,20,0)),IF(VLOOKUP(基本信息!$H7,各地政策!$A:$X,21,0)="四舍五入",ROUND(基本信息!AK7*基本信息!AZ7+基本信息!BE7,VLOOKUP(基本信息!$H7,各地政策!$A:$X,20,0)),ROUND(基本信息!AK7*基本信息!AZ7+基本信息!BE7-IF(VLOOKUP(基本信息!$H7,各地政策!$A:$X,20,0)=0,0.5,IF(VLOOKUP(基本信息!$H7,各地政策!$A:$X,20,0)=1,0.05,0.005)),VLOOKUP(基本信息!$H7,各地政策!$A:$X,20,0))))</f>
        <v>#N/A</v>
      </c>
      <c r="CB7" s="90" t="e">
        <f>IF(VLOOKUP(基本信息!$I7,各地政策!$A:$X,24,0)="进位",ROUNDUP(基本信息!AL7*(基本信息!BA7),VLOOKUP(基本信息!$I7,各地政策!$A:$X,23,0)),IF(VLOOKUP(基本信息!$I7,各地政策!$A:$X,24,0)="四舍五入",ROUND(基本信息!AL7*(基本信息!BA7),VLOOKUP(基本信息!$I7,各地政策!$A:$X,23,0)),ROUND(基本信息!AL7*(基本信息!BA7)-IF(VLOOKUP(基本信息!$I7,各地政策!$A:$X,23,0)=0,0.5,IF(VLOOKUP(基本信息!$I7,各地政策!$A:$X,23,0)=1,0.05,0.005)),VLOOKUP(基本信息!$I7,各地政策!$A:$X,23,0))))</f>
        <v>#N/A</v>
      </c>
      <c r="CC7" s="90" t="e">
        <f>IF(VLOOKUP(基本信息!$I7,各地政策!$A:$X,24,0)="进位",ROUNDUP(基本信息!AM7*(基本信息!BB7),VLOOKUP(基本信息!$I7,各地政策!$A:$X,23,0)),IF(VLOOKUP(基本信息!$I7,各地政策!$A:$X,24,0)="四舍五入",ROUND(基本信息!AM7*(基本信息!BB7),VLOOKUP(基本信息!$I7,各地政策!$A:$X,23,0)),ROUND(基本信息!AM7*(基本信息!BB7)-IF(VLOOKUP(基本信息!$I7,各地政策!$A:$X,23,0)=0,0.5,IF(VLOOKUP(基本信息!$I7,各地政策!$A:$X,23,0)=1,0.05,0.005)),VLOOKUP(基本信息!$I7,各地政策!$A:$X,23,0))))</f>
        <v>#N/A</v>
      </c>
      <c r="CD7" s="90">
        <f>AX7+BE7+IFERROR(VLOOKUP($A7,YTD!$A:$CD,82,0),0)</f>
        <v>0</v>
      </c>
      <c r="CE7" s="232">
        <f>基本信息!CT7</f>
        <v>0</v>
      </c>
      <c r="CF7" s="184">
        <f>'S-Payroll Report'!X13</f>
        <v>0</v>
      </c>
      <c r="CG7" s="184">
        <f>'S-Payroll Report'!AD13</f>
        <v>0</v>
      </c>
      <c r="CH7" s="184">
        <f>'S-Payroll Report'!AC13</f>
        <v>0</v>
      </c>
      <c r="CI7" s="184">
        <f>'S-Payroll Report'!AA13</f>
        <v>0</v>
      </c>
      <c r="CJ7" s="184">
        <f>'S-Payroll Report'!AF13</f>
        <v>0</v>
      </c>
      <c r="CK7" s="184">
        <f>基本信息!EM7+基本信息!EN7+基本信息!EO7</f>
        <v>0</v>
      </c>
    </row>
    <row r="8" spans="1:89">
      <c r="A8" s="180" t="str">
        <f>IF(基本信息!B8="","",基本信息!B8)</f>
        <v/>
      </c>
      <c r="B8" s="64" t="str">
        <f>IF(基本信息!C8="","",基本信息!C8)</f>
        <v/>
      </c>
      <c r="C8" s="90">
        <f>基本信息!Q8+基本信息!R8*基本信息!CW8</f>
        <v>0</v>
      </c>
      <c r="D8" s="90">
        <f>基本信息!S8</f>
        <v>0</v>
      </c>
      <c r="E8" s="90">
        <f>基本信息!CX8</f>
        <v>0</v>
      </c>
      <c r="F8" s="90">
        <f>基本信息!CY8</f>
        <v>0</v>
      </c>
      <c r="G8" s="90">
        <f>基本信息!CZ8</f>
        <v>0</v>
      </c>
      <c r="H8" s="90">
        <f>ROUND(C8*基本信息!DA8*1.5/(21.75*8),2)</f>
        <v>0</v>
      </c>
      <c r="I8" s="90">
        <f>ROUND(C8*基本信息!DB8*2/(21.75*8),2)</f>
        <v>0</v>
      </c>
      <c r="J8" s="90">
        <f>ROUND(C8*基本信息!DC8*3/(21.75*8),2)</f>
        <v>0</v>
      </c>
      <c r="K8" s="90">
        <f>ROUND(IF(AND(基本信息!DD8=23,基本信息!DE8=12),((C8+D8)*12/21.75+(C8+D8)-(C8+D8)*11/21.75)/2,IF(基本信息!DE8&gt;基本信息!DD8/2,(C8+D8)-(C8+D8)*(基本信息!DD8-基本信息!DE8)/21.75,(C8+D8)*基本信息!DE8/21.75)),2)</f>
        <v>0</v>
      </c>
      <c r="L8" s="90">
        <f>MAX(0,ROUND((C8+D8)*基本信息!DF8/21.75,2))</f>
        <v>0</v>
      </c>
      <c r="M8" s="90">
        <f>MAX(0,ROUND((C8+D8)*基本信息!DG8/21.75,2))</f>
        <v>0</v>
      </c>
      <c r="N8" s="90">
        <f>基本信息!DI8</f>
        <v>0</v>
      </c>
      <c r="O8" s="90">
        <f>基本信息!T8+基本信息!DJ8</f>
        <v>0</v>
      </c>
      <c r="P8" s="90">
        <f>基本信息!U8+基本信息!DK8</f>
        <v>0</v>
      </c>
      <c r="Q8" s="90">
        <f>基本信息!V8</f>
        <v>0</v>
      </c>
      <c r="R8" s="90">
        <f>基本信息!W8*基本信息!DL8</f>
        <v>0</v>
      </c>
      <c r="S8" s="90">
        <f>基本信息!X8*基本信息!DM8</f>
        <v>0</v>
      </c>
      <c r="T8" s="90">
        <f>基本信息!Y8*基本信息!DN8+基本信息!DO8</f>
        <v>0</v>
      </c>
      <c r="U8" s="90">
        <f>基本信息!Z8*基本信息!DP8</f>
        <v>0</v>
      </c>
      <c r="V8" s="90">
        <f>基本信息!AA8*基本信息!DQ8</f>
        <v>0</v>
      </c>
      <c r="W8" s="142">
        <f>基本信息!AD8+基本信息!DR8</f>
        <v>0</v>
      </c>
      <c r="X8" s="142">
        <f>基本信息!AE8+基本信息!DS8</f>
        <v>0</v>
      </c>
      <c r="Y8" s="142">
        <f>基本信息!DT8</f>
        <v>0</v>
      </c>
      <c r="Z8" s="90" t="e">
        <f>IF(VLOOKUP(基本信息!$H8,各地政策!$A:$X,21,0)="进位",ROUNDUP(基本信息!AF8*基本信息!AN8,VLOOKUP(基本信息!$H8,各地政策!$A:$X,20,0)),IF(VLOOKUP(基本信息!$H8,各地政策!$A:$X,21,0)="四舍五入",ROUND(基本信息!AF8*基本信息!AN8,VLOOKUP(基本信息!$H8,各地政策!$A:$X,20,0)),ROUND(基本信息!AF8*基本信息!AN8-IF(VLOOKUP(基本信息!$H8,各地政策!$A:$X,20,0)=0,0.5,IF(VLOOKUP(基本信息!$H8,各地政策!$A:$X,20,0)=1,0.05,0.005)),VLOOKUP(基本信息!$H8,各地政策!$A:$X,20,0))))</f>
        <v>#N/A</v>
      </c>
      <c r="AA8" s="90" t="e">
        <f>IF(VLOOKUP(基本信息!$H8,各地政策!$A:$X,21,0)="进位",ROUNDUP(基本信息!AG8*基本信息!AO8,VLOOKUP(基本信息!$H8,各地政策!$A:$X,20,0)),IF(VLOOKUP(基本信息!$H8,各地政策!$A:$X,21,0)="四舍五入",ROUND(基本信息!AG8*基本信息!AO8,VLOOKUP(基本信息!$H8,各地政策!$A:$X,20,0)),ROUND(基本信息!AG8*基本信息!AO8-IF(VLOOKUP(基本信息!$H8,各地政策!$A:$X,20,0)=0,0.5,IF(VLOOKUP(基本信息!$H8,各地政策!$A:$X,20,0)=1,0.05,0.005)),VLOOKUP(基本信息!$H8,各地政策!$A:$X,20,0))))+基本信息!AT8</f>
        <v>#N/A</v>
      </c>
      <c r="AB8" s="90" t="e">
        <f>IF(VLOOKUP(基本信息!$H8,各地政策!$A:$X,21,0)="进位",ROUNDUP(基本信息!AH8*基本信息!AP8,VLOOKUP(基本信息!$H8,各地政策!$A:$X,20,0)),IF(VLOOKUP(基本信息!$H8,各地政策!$A:$X,21,0)="四舍五入",ROUND(基本信息!AH8*基本信息!AP8,VLOOKUP(基本信息!$H8,各地政策!$A:$X,20,0)),ROUND(基本信息!AH8*基本信息!AP8-IF(VLOOKUP(基本信息!$H8,各地政策!$A:$X,20,0)=0,0.5,IF(VLOOKUP(基本信息!$H8,各地政策!$A:$X,20,0)=1,0.05,0.005)),VLOOKUP(基本信息!$H8,各地政策!$A:$X,20,0))))</f>
        <v>#N/A</v>
      </c>
      <c r="AC8" s="90" t="e">
        <f>IF(VLOOKUP(基本信息!$I8,各地政策!$A:$X,24,0)="进位",ROUNDUP(基本信息!AL8*基本信息!AQ8,VLOOKUP(基本信息!$I8,各地政策!$A:$X,23,0)),IF(VLOOKUP(基本信息!$I8,各地政策!$A:$X,24,0)="四舍五入",ROUND(基本信息!AL8*基本信息!AQ8,VLOOKUP(基本信息!$I8,各地政策!$A:$X,23,0)),ROUND(基本信息!AL8*基本信息!AQ8-IF(VLOOKUP(基本信息!$I8,各地政策!$A:$X,23,0)=0,0.5,IF(VLOOKUP(基本信息!$I8,各地政策!$A:$X,23,0)=1,0.05,0.005)),VLOOKUP(基本信息!$I8,各地政策!$A:$X,23,0))))</f>
        <v>#N/A</v>
      </c>
      <c r="AD8" s="90" t="e">
        <f>IF(VLOOKUP(基本信息!$I8,各地政策!$A:$X,24,0)="进位",ROUNDUP(基本信息!AM8*基本信息!AR8,VLOOKUP(基本信息!$I8,各地政策!$A:$X,23,0)),IF(VLOOKUP(基本信息!$I8,各地政策!$A:$X,24,0)="四舍五入",ROUND(基本信息!AM8*基本信息!AR8,VLOOKUP(基本信息!$I8,各地政策!$A:$X,23,0)),ROUND(基本信息!AM8*基本信息!AR8-IF(VLOOKUP(基本信息!$I8,各地政策!$A:$X,23,0)=0,0.5,IF(VLOOKUP(基本信息!$I8,各地政策!$A:$X,23,0)=1,0.05,0.005)),VLOOKUP(基本信息!$I8,各地政策!$A:$X,23,0))))</f>
        <v>#N/A</v>
      </c>
      <c r="AE8" s="90">
        <f>基本信息!DU8+基本信息!DV8+基本信息!DW8</f>
        <v>0</v>
      </c>
      <c r="AF8" s="90">
        <f>基本信息!DX8</f>
        <v>0</v>
      </c>
      <c r="AG8" s="90">
        <f>基本信息!BF8</f>
        <v>0</v>
      </c>
      <c r="AH8" s="90">
        <f>基本信息!BG8</f>
        <v>0</v>
      </c>
      <c r="AI8" s="90">
        <f>基本信息!BH8+基本信息!DZ8</f>
        <v>0</v>
      </c>
      <c r="AJ8" s="90">
        <f>IF(基本信息!P8="税前",SUM(C8:J8)+SUM(O8:W8)-SUM(K8:N8)-SUM(X8:X8)+Y8-AG8-AH8+AI8,0)</f>
        <v>0</v>
      </c>
      <c r="AK8" s="90">
        <f>IF(基本信息!J8=3,MAX(AJ8*0.2,800),5000)</f>
        <v>5000</v>
      </c>
      <c r="AL8" s="90">
        <f>IF(基本信息!P8="税前",SUMIF(YTD!$A$2:$A$2386,$A8,YTD!$BB$2:$BB$2386)+SUMIF(YTD!$A$2:$A$2386,$A8,YTD!$AM$2:$AM$2386)+AJ8,0)</f>
        <v>0</v>
      </c>
      <c r="AM8" s="90" t="e">
        <f>SUMIF(YTD!$A$2:$A$2386,$A8,YTD!$AM$2:$AM$2386)+SUM(Z8:AF8)</f>
        <v>#N/A</v>
      </c>
      <c r="AN8" s="90">
        <f>SUMIF(YTD!$A$2:$A$2386,$A8,YTD!$AN$2:$AN$2386)+计算结果!AK8</f>
        <v>5000</v>
      </c>
      <c r="AO8" s="90">
        <f>基本信息!CO8</f>
        <v>0</v>
      </c>
      <c r="AP8" s="90">
        <f>基本信息!CP8</f>
        <v>0</v>
      </c>
      <c r="AQ8" s="90">
        <f>基本信息!CQ8</f>
        <v>0</v>
      </c>
      <c r="AR8" s="90">
        <f>基本信息!CR8</f>
        <v>0</v>
      </c>
      <c r="AS8" s="90">
        <f>基本信息!CS8</f>
        <v>0</v>
      </c>
      <c r="AT8" s="232" cm="1">
        <f t="array" ref="AT8">SUMPRODUCT((基本信息!$B$2:$B$2375=$A8)*(基本信息!$CU$2:$CV$2375))+SUMIF(YTD!$A$2:$A$2386,$A8,YTD!$AT$2:$AT$2386)</f>
        <v>0</v>
      </c>
      <c r="AU8" s="233">
        <f t="shared" si="1"/>
        <v>5000</v>
      </c>
      <c r="AV8" s="90">
        <f>IF(基本信息!P8="税前",AL8-AM8-AU8,0)</f>
        <v>0</v>
      </c>
      <c r="AW8" s="90" cm="1">
        <f t="array" ref="AW8">IF(基本信息!J8=1,MAX((AV8)*{0.03,0.1,0.2,0.25,0.3,0.35,0.45}-12*{0,210,1410,2660,4410,7160,15160},0),IF(基本信息!J8=4,MAX((AL8-AL8*0.2-AU8)*{0.03,0.1,0.2,0.25,0.3,0.35,0.45}-12*{0,210,1410,2660,4410,7160,15160},0),0))</f>
        <v>0</v>
      </c>
      <c r="AX8" s="90" cm="1">
        <f t="array" ref="AX8">MAX(ROUND(IF(基本信息!J8=3,MAX((AJ8-IF(AJ8&lt;4000,800,AJ8*0.2))*10%*{2,3,4}-1000*{0,2,7},0),IF(基本信息!J8=2,MAX((AJ8-SUM(Z8:AG8)-AK8)*{0.03,0.1,0.2,0.25,0.3,0.35,0.45}-{0,210,1410,2660,4410,7160,15160},0),IF(基本信息!P8="税前",AW8-ROUND(SUMIF(YTD!$A$2:$A$2386,$A8,YTD!$CD$2:$CD$2386),2),0))),2),0)</f>
        <v>0</v>
      </c>
      <c r="AY8" s="142">
        <f>基本信息!BI8+基本信息!EA8</f>
        <v>0</v>
      </c>
      <c r="AZ8" s="142">
        <f>IF(基本信息!P8="税前",0,SUM(C8:J8)-SUM(K8:N8)+SUM(O8:W8)-X8+Y8+AI8)+AY8</f>
        <v>0</v>
      </c>
      <c r="BA8" s="142">
        <f>IF(OR(基本信息!J8=1,基本信息!J8=4),IF(基本信息!P8="税前",AL8-AM8-AW8+AZ8,AZ8+SUMIF(YTD!$A$2:$A$2386,$A8,YTD!$BA$2:$BA$2386)),IF(基本信息!P8="税前",AJ8-SUM(Z8:AG8)-AX8+AZ8+SUMIF(YTD!$A$2:$A$2386,$A8,YTD!$BA$2:$BA$2386),AZ8))</f>
        <v>0</v>
      </c>
      <c r="BB8" s="142" cm="1">
        <f t="array" ref="BB8">IF(基本信息!J8=3,LOOKUP(AJ8-AX8+AZ8,{0,800,3360,21000,49500},(AJ8-AX8+AZ8-{0,160,0,2000,7000})*{1,5,25,25,25}/{1,4,21,19,17}),IF(基本信息!J8=2,MAX((BA8-AK8-10*{0,21,141,266,441,716,1516})/(1-5%*{0.6,2,4,5,6,7,9})+AK8,BA8),IF(基本信息!J8=4,MAX((BA8-AU8-(AL8*0.2)-120*{0,21,141,266,441,716,1516})/(1-5%*{0.6,2,4,5,6,7,9})+AU8+(AL8*0.2),BA8),MAX((BA8-AU8-120*{0,21,141,266,441,716,1516})/(1-5%*{0.6,2,4,5,6,7,9})+AU8,BA8))))</f>
        <v>0</v>
      </c>
      <c r="BC8" s="142" t="e">
        <f>IF(OR(基本信息!J8=1,基本信息!J8=4),BB8-IFERROR(VLOOKUP($A8,YTD!$A:$BB,54,0),0),BB8)+SUM(Z8:AF8)</f>
        <v>#N/A</v>
      </c>
      <c r="BD8" s="142" cm="1">
        <f t="array" ref="BD8">IF(基本信息!J8=4,MAX((BB8-BB8*0.2-AU8)*{0.03,0.1,0.2,0.25,0.3,0.35,0.45}-12*{0,210,1410,2660,4410,7160,15160},0),IF(基本信息!J8=3,MAX((BB8-IF(BB8&lt;4000,800,BB8*0.2))*10%*{2,3,4}-1000*{0,2,7},0),IF(基本信息!J8=2,MAX((BB8-AK8)*{0.03,0.1,0.2,0.25,0.3,0.35,0.45}-{0,210,1410,2660,4410,7160,15160},0),MAX((BB8-AU8)*{0.03,0.1,0.2,0.25,0.3,0.35,0.45}-12*{0,210,1410,2660,4410,7160,15160},0))))</f>
        <v>0</v>
      </c>
      <c r="BE8" s="90">
        <f>MAX(ROUND(IF(基本信息!J8=1,BD8-AX8-ROUND(SUMIF(YTD!$A$2:$A$2386,$A8,YTD!$CD$2:$CD$2386),2),IF(基本信息!J8=4,BD8-AX8-ROUND(SUMIF(YTD!$A$2:$A$2386,$A8,YTD!$CD$2:$CD$2386),2),BD8-AX8)),2),0)</f>
        <v>0</v>
      </c>
      <c r="BF8" s="90">
        <f ca="1">IF(YEARFRAC(基本信息!AB8,TODAY())*12-1&lt;192,基本信息!AC8,0)</f>
        <v>0</v>
      </c>
      <c r="BG8" s="90" t="e">
        <f>IF(VLOOKUP(基本信息!$I8,各地政策!$A:$X,24,0)="进位",ROUNDUP(基本信息!AM8*基本信息!AS8,VLOOKUP(基本信息!$I8,各地政策!$A:$X,23,0)),IF(VLOOKUP(基本信息!$I8,各地政策!$A:$X,24,0)="四舍五入",ROUND(基本信息!AM8*基本信息!AS8,VLOOKUP(基本信息!$I8,各地政策!$A:$X,23,0)),ROUND(基本信息!AM8*基本信息!AS8-IF(VLOOKUP(基本信息!$I8,各地政策!$A:$X,23,0)=0,0.5,IF(VLOOKUP(基本信息!$I8,各地政策!$A:$X,23,0)=1,0.05,0.005)),VLOOKUP(基本信息!$I8,各地政策!$A:$X,23,0))))</f>
        <v>#N/A</v>
      </c>
      <c r="BH8" s="59">
        <f>基本信息!EB8</f>
        <v>0</v>
      </c>
      <c r="BI8" s="59">
        <f>基本信息!EC8</f>
        <v>0</v>
      </c>
      <c r="BJ8" s="59">
        <f>基本信息!BJ8</f>
        <v>0</v>
      </c>
      <c r="BK8" s="59">
        <f>基本信息!BL8+基本信息!DY8+基本信息!ED8</f>
        <v>0</v>
      </c>
      <c r="BL8" s="59">
        <f>基本信息!BK8+基本信息!EE8</f>
        <v>0</v>
      </c>
      <c r="BM8" s="59">
        <f>基本信息!EG8</f>
        <v>0</v>
      </c>
      <c r="BN8" s="59" cm="1">
        <f t="array" ref="BN8">IF(基本信息!J8=2,MAX((BM8/6)*{0.03,0.1,0.2,0.25,0.3,0.35,0.45}-{0,210,1410,2660,4410,7160,15160},0)*6,ROUND((BM8)*LOOKUP(-(BM8)/12,-{99999,80,55,35,25,12,3,0,-9}*1000,{9,7,6,5,4,2,0.6,0,0}*5%)-LOOKUP(-(BM8)/12,-{99999,80,55,35,25,12,3,0,-9}*1000,{1516,716,441,266,141,21,0,0}*10),2))</f>
        <v>0</v>
      </c>
      <c r="BO8" s="59">
        <f>基本信息!EH8</f>
        <v>0</v>
      </c>
      <c r="BP8" s="59" cm="1">
        <f t="array" ref="BP8">IFERROR(ROUND(MAX((基本信息!EH8-基本信息!EI8)*{0.03,0.1,0.2,0.25,0.3,0.35,0.45}-12*{0,210,1410,2660,4410,7160,15160},0),2),0)</f>
        <v>0</v>
      </c>
      <c r="BQ8" s="59">
        <f>基本信息!EK8</f>
        <v>0</v>
      </c>
      <c r="BR8" s="59" cm="1">
        <f t="array" ref="BR8">ROUND((BQ8)*LOOKUP(-BQ8,-{99999,96,66,42,30,14.4,3.6,0,-9}*10000,{9,7,6,5,4,2,0.6,0,0}*5%)-LOOKUP(-BQ8,-{99999,96,66,42,30,14.4,3.6,0,-9}*10000,{18192,8592,5292,3192,1692,252,0,0}*10),2)</f>
        <v>0</v>
      </c>
      <c r="BS8" s="144">
        <f t="shared" ca="1" si="2"/>
        <v>0</v>
      </c>
      <c r="BT8" s="142">
        <f>IF(基本信息!P8="税前",SUM(K8:N8)+SUM(X8,Z8:AH8)+AX8+BG8+BL8+BN8+BP8+BR8,SUM(K8:N8,X8,BL8,BN8,BP8,BR8))</f>
        <v>0</v>
      </c>
      <c r="BU8" s="142">
        <f t="shared" ca="1" si="3"/>
        <v>0</v>
      </c>
      <c r="BV8" s="90" t="e">
        <f>IF(VLOOKUP(基本信息!$H8,各地政策!$A:$X,21,0)="进位",ROUNDUP(基本信息!AF8*基本信息!AU8,VLOOKUP(基本信息!$H8,各地政策!$A:$X,20,0)),IF(VLOOKUP(基本信息!$H8,各地政策!$A:$X,21,0)="四舍五入",ROUND(基本信息!AF8*基本信息!AU8,VLOOKUP(基本信息!$H8,各地政策!$A:$X,20,0)),ROUND(基本信息!AF8*基本信息!AU8-IF(VLOOKUP(基本信息!$H8,各地政策!$A:$X,20,0)=0,0.5,IF(VLOOKUP(基本信息!$H8,各地政策!$A:$X,20,0)=1,0.05,0.005)),VLOOKUP(基本信息!$H8,各地政策!$A:$X,20,0))))</f>
        <v>#N/A</v>
      </c>
      <c r="BW8" s="90" t="e">
        <f>IF(VLOOKUP(基本信息!$H8,各地政策!$A:$X,21,0)="进位",ROUNDUP(基本信息!AG8*基本信息!AV8,VLOOKUP(基本信息!$H8,各地政策!$A:$X,20,0)),IF(VLOOKUP(基本信息!$H8,各地政策!$A:$X,21,0)="四舍五入",ROUND(基本信息!AG8*基本信息!AV8,VLOOKUP(基本信息!$H8,各地政策!$A:$X,20,0)),ROUND(基本信息!AG8*基本信息!AV8-IF(VLOOKUP(基本信息!$H8,各地政策!$A:$X,20,0)=0,0.5,IF(VLOOKUP(基本信息!$H8,各地政策!$A:$X,20,0)=1,0.05,0.005)),VLOOKUP(基本信息!$H8,各地政策!$A:$X,20,0))))+基本信息!BC8</f>
        <v>#N/A</v>
      </c>
      <c r="BX8" s="90" t="e">
        <f>IF(VLOOKUP(基本信息!$H8,各地政策!$A:$X,21,0)="进位",ROUNDUP(基本信息!AH8*基本信息!AW8,VLOOKUP(基本信息!$H8,各地政策!$A:$X,20,0)),IF(VLOOKUP(基本信息!$H8,各地政策!$A:$X,21,0)="四舍五入",ROUND(基本信息!AH8*基本信息!AW8,VLOOKUP(基本信息!$H8,各地政策!$A:$X,20,0)),ROUND(基本信息!AH8*基本信息!AW8-IF(VLOOKUP(基本信息!$H8,各地政策!$A:$X,20,0)=0,0.5,IF(VLOOKUP(基本信息!$H8,各地政策!$A:$X,20,0)=1,0.05,0.005)),VLOOKUP(基本信息!$H8,各地政策!$A:$X,20,0))))</f>
        <v>#N/A</v>
      </c>
      <c r="BY8" s="90" t="e">
        <f>IF(VLOOKUP(基本信息!$H8,各地政策!$A:$X,21,0)="进位",ROUNDUP(基本信息!AI8*基本信息!AX8,VLOOKUP(基本信息!$H8,各地政策!$A:$X,20,0)),IF(VLOOKUP(基本信息!$H8,各地政策!$A:$X,21,0)="四舍五入",ROUND(基本信息!AI8*基本信息!AX8,VLOOKUP(基本信息!$H8,各地政策!$A:$X,20,0)),ROUND(基本信息!AI8*基本信息!AX8-IF(VLOOKUP(基本信息!$H8,各地政策!$A:$X,20,0)=0,0.5,IF(VLOOKUP(基本信息!$H8,各地政策!$A:$X,20,0)=1,0.05,0.005)),VLOOKUP(基本信息!$H8,各地政策!$A:$X,20,0))))</f>
        <v>#N/A</v>
      </c>
      <c r="BZ8" s="90" t="e">
        <f>IF(VLOOKUP(基本信息!$H8,各地政策!$A:$X,21,0)="进位",ROUNDUP(基本信息!AJ8*基本信息!AY8,VLOOKUP(基本信息!$H8,各地政策!$A:$X,20,0)),IF(VLOOKUP(基本信息!$H8,各地政策!$A:$X,21,0)="四舍五入",ROUND(基本信息!AJ8*基本信息!AY8,VLOOKUP(基本信息!$H8,各地政策!$A:$X,20,0)),ROUND(基本信息!AJ8*基本信息!AY8-IF(VLOOKUP(基本信息!$H8,各地政策!$A:$X,20,0)=0,0.5,IF(VLOOKUP(基本信息!$H8,各地政策!$A:$X,20,0)=1,0.05,0.005)),VLOOKUP(基本信息!$H8,各地政策!$A:$X,20,0))))+基本信息!BD8</f>
        <v>#N/A</v>
      </c>
      <c r="CA8" s="90" t="e">
        <f>IF(VLOOKUP(基本信息!$H8,各地政策!$A:$X,21,0)="进位",ROUNDUP(基本信息!AK8*基本信息!AZ8+基本信息!BE8,VLOOKUP(基本信息!$H8,各地政策!$A:$X,20,0)),IF(VLOOKUP(基本信息!$H8,各地政策!$A:$X,21,0)="四舍五入",ROUND(基本信息!AK8*基本信息!AZ8+基本信息!BE8,VLOOKUP(基本信息!$H8,各地政策!$A:$X,20,0)),ROUND(基本信息!AK8*基本信息!AZ8+基本信息!BE8-IF(VLOOKUP(基本信息!$H8,各地政策!$A:$X,20,0)=0,0.5,IF(VLOOKUP(基本信息!$H8,各地政策!$A:$X,20,0)=1,0.05,0.005)),VLOOKUP(基本信息!$H8,各地政策!$A:$X,20,0))))</f>
        <v>#N/A</v>
      </c>
      <c r="CB8" s="90" t="e">
        <f>IF(VLOOKUP(基本信息!$I8,各地政策!$A:$X,24,0)="进位",ROUNDUP(基本信息!AL8*(基本信息!BA8),VLOOKUP(基本信息!$I8,各地政策!$A:$X,23,0)),IF(VLOOKUP(基本信息!$I8,各地政策!$A:$X,24,0)="四舍五入",ROUND(基本信息!AL8*(基本信息!BA8),VLOOKUP(基本信息!$I8,各地政策!$A:$X,23,0)),ROUND(基本信息!AL8*(基本信息!BA8)-IF(VLOOKUP(基本信息!$I8,各地政策!$A:$X,23,0)=0,0.5,IF(VLOOKUP(基本信息!$I8,各地政策!$A:$X,23,0)=1,0.05,0.005)),VLOOKUP(基本信息!$I8,各地政策!$A:$X,23,0))))</f>
        <v>#N/A</v>
      </c>
      <c r="CC8" s="90" t="e">
        <f>IF(VLOOKUP(基本信息!$I8,各地政策!$A:$X,24,0)="进位",ROUNDUP(基本信息!AM8*(基本信息!BB8),VLOOKUP(基本信息!$I8,各地政策!$A:$X,23,0)),IF(VLOOKUP(基本信息!$I8,各地政策!$A:$X,24,0)="四舍五入",ROUND(基本信息!AM8*(基本信息!BB8),VLOOKUP(基本信息!$I8,各地政策!$A:$X,23,0)),ROUND(基本信息!AM8*(基本信息!BB8)-IF(VLOOKUP(基本信息!$I8,各地政策!$A:$X,23,0)=0,0.5,IF(VLOOKUP(基本信息!$I8,各地政策!$A:$X,23,0)=1,0.05,0.005)),VLOOKUP(基本信息!$I8,各地政策!$A:$X,23,0))))</f>
        <v>#N/A</v>
      </c>
      <c r="CD8" s="90">
        <f>AX8+BE8+IFERROR(VLOOKUP($A8,YTD!$A:$CD,82,0),0)</f>
        <v>0</v>
      </c>
      <c r="CE8" s="232">
        <f>基本信息!CT8</f>
        <v>0</v>
      </c>
      <c r="CF8" s="184">
        <f>'S-Payroll Report'!X14</f>
        <v>0</v>
      </c>
      <c r="CG8" s="184">
        <f>'S-Payroll Report'!AD14</f>
        <v>0</v>
      </c>
      <c r="CH8" s="184">
        <f>'S-Payroll Report'!AC14</f>
        <v>0</v>
      </c>
      <c r="CI8" s="184">
        <f>'S-Payroll Report'!AA14</f>
        <v>0</v>
      </c>
      <c r="CJ8" s="184">
        <f>'S-Payroll Report'!AF14</f>
        <v>0</v>
      </c>
      <c r="CK8" s="184">
        <f>基本信息!EM8+基本信息!EN8+基本信息!EO8</f>
        <v>0</v>
      </c>
    </row>
    <row r="9" spans="1:89">
      <c r="A9" s="180" t="str">
        <f>IF(基本信息!B9="","",基本信息!B9)</f>
        <v/>
      </c>
      <c r="B9" s="64" t="str">
        <f>IF(基本信息!C9="","",基本信息!C9)</f>
        <v/>
      </c>
      <c r="C9" s="90">
        <f>基本信息!Q9+基本信息!R9*基本信息!CW9</f>
        <v>0</v>
      </c>
      <c r="D9" s="90">
        <f>基本信息!S9</f>
        <v>0</v>
      </c>
      <c r="E9" s="90">
        <f>基本信息!CX9</f>
        <v>0</v>
      </c>
      <c r="F9" s="90">
        <f>基本信息!CY9</f>
        <v>0</v>
      </c>
      <c r="G9" s="90">
        <f>基本信息!CZ9</f>
        <v>0</v>
      </c>
      <c r="H9" s="90">
        <f>ROUND(C9*基本信息!DA9*1.5/(21.75*8),2)</f>
        <v>0</v>
      </c>
      <c r="I9" s="90">
        <f>ROUND(C9*基本信息!DB9*2/(21.75*8),2)</f>
        <v>0</v>
      </c>
      <c r="J9" s="90">
        <f>ROUND(C9*基本信息!DC9*3/(21.75*8),2)</f>
        <v>0</v>
      </c>
      <c r="K9" s="90">
        <f>ROUND(IF(AND(基本信息!DD9=23,基本信息!DE9=12),((C9+D9)*12/21.75+(C9+D9)-(C9+D9)*11/21.75)/2,IF(基本信息!DE9&gt;基本信息!DD9/2,(C9+D9)-(C9+D9)*(基本信息!DD9-基本信息!DE9)/21.75,(C9+D9)*基本信息!DE9/21.75)),2)</f>
        <v>0</v>
      </c>
      <c r="L9" s="90">
        <f>MAX(0,ROUND((C9+D9)*基本信息!DF9/21.75,2))</f>
        <v>0</v>
      </c>
      <c r="M9" s="90">
        <f>MAX(0,ROUND((C9+D9)*基本信息!DG9/21.75,2))</f>
        <v>0</v>
      </c>
      <c r="N9" s="90">
        <f>基本信息!DI9</f>
        <v>0</v>
      </c>
      <c r="O9" s="90">
        <f>基本信息!T9+基本信息!DJ9</f>
        <v>0</v>
      </c>
      <c r="P9" s="90">
        <f>基本信息!U9+基本信息!DK9</f>
        <v>0</v>
      </c>
      <c r="Q9" s="90">
        <f>基本信息!V9</f>
        <v>0</v>
      </c>
      <c r="R9" s="90">
        <f>基本信息!W9*基本信息!DL9</f>
        <v>0</v>
      </c>
      <c r="S9" s="90">
        <f>基本信息!X9*基本信息!DM9</f>
        <v>0</v>
      </c>
      <c r="T9" s="90">
        <f>基本信息!Y9*基本信息!DN9+基本信息!DO9</f>
        <v>0</v>
      </c>
      <c r="U9" s="90">
        <f>基本信息!Z9*基本信息!DP9</f>
        <v>0</v>
      </c>
      <c r="V9" s="90">
        <f>基本信息!AA9*基本信息!DQ9</f>
        <v>0</v>
      </c>
      <c r="W9" s="142">
        <f>基本信息!AD9+基本信息!DR9</f>
        <v>0</v>
      </c>
      <c r="X9" s="142">
        <f>基本信息!AE9+基本信息!DS9</f>
        <v>0</v>
      </c>
      <c r="Y9" s="142">
        <f>基本信息!DT9</f>
        <v>0</v>
      </c>
      <c r="Z9" s="90" t="e">
        <f>IF(VLOOKUP(基本信息!$H9,各地政策!$A:$X,21,0)="进位",ROUNDUP(基本信息!AF9*基本信息!AN9,VLOOKUP(基本信息!$H9,各地政策!$A:$X,20,0)),IF(VLOOKUP(基本信息!$H9,各地政策!$A:$X,21,0)="四舍五入",ROUND(基本信息!AF9*基本信息!AN9,VLOOKUP(基本信息!$H9,各地政策!$A:$X,20,0)),ROUND(基本信息!AF9*基本信息!AN9-IF(VLOOKUP(基本信息!$H9,各地政策!$A:$X,20,0)=0,0.5,IF(VLOOKUP(基本信息!$H9,各地政策!$A:$X,20,0)=1,0.05,0.005)),VLOOKUP(基本信息!$H9,各地政策!$A:$X,20,0))))</f>
        <v>#N/A</v>
      </c>
      <c r="AA9" s="90" t="e">
        <f>IF(VLOOKUP(基本信息!$H9,各地政策!$A:$X,21,0)="进位",ROUNDUP(基本信息!AG9*基本信息!AO9,VLOOKUP(基本信息!$H9,各地政策!$A:$X,20,0)),IF(VLOOKUP(基本信息!$H9,各地政策!$A:$X,21,0)="四舍五入",ROUND(基本信息!AG9*基本信息!AO9,VLOOKUP(基本信息!$H9,各地政策!$A:$X,20,0)),ROUND(基本信息!AG9*基本信息!AO9-IF(VLOOKUP(基本信息!$H9,各地政策!$A:$X,20,0)=0,0.5,IF(VLOOKUP(基本信息!$H9,各地政策!$A:$X,20,0)=1,0.05,0.005)),VLOOKUP(基本信息!$H9,各地政策!$A:$X,20,0))))+基本信息!AT9</f>
        <v>#N/A</v>
      </c>
      <c r="AB9" s="90" t="e">
        <f>IF(VLOOKUP(基本信息!$H9,各地政策!$A:$X,21,0)="进位",ROUNDUP(基本信息!AH9*基本信息!AP9,VLOOKUP(基本信息!$H9,各地政策!$A:$X,20,0)),IF(VLOOKUP(基本信息!$H9,各地政策!$A:$X,21,0)="四舍五入",ROUND(基本信息!AH9*基本信息!AP9,VLOOKUP(基本信息!$H9,各地政策!$A:$X,20,0)),ROUND(基本信息!AH9*基本信息!AP9-IF(VLOOKUP(基本信息!$H9,各地政策!$A:$X,20,0)=0,0.5,IF(VLOOKUP(基本信息!$H9,各地政策!$A:$X,20,0)=1,0.05,0.005)),VLOOKUP(基本信息!$H9,各地政策!$A:$X,20,0))))</f>
        <v>#N/A</v>
      </c>
      <c r="AC9" s="90" t="e">
        <f>IF(VLOOKUP(基本信息!$I9,各地政策!$A:$X,24,0)="进位",ROUNDUP(基本信息!AL9*基本信息!AQ9,VLOOKUP(基本信息!$I9,各地政策!$A:$X,23,0)),IF(VLOOKUP(基本信息!$I9,各地政策!$A:$X,24,0)="四舍五入",ROUND(基本信息!AL9*基本信息!AQ9,VLOOKUP(基本信息!$I9,各地政策!$A:$X,23,0)),ROUND(基本信息!AL9*基本信息!AQ9-IF(VLOOKUP(基本信息!$I9,各地政策!$A:$X,23,0)=0,0.5,IF(VLOOKUP(基本信息!$I9,各地政策!$A:$X,23,0)=1,0.05,0.005)),VLOOKUP(基本信息!$I9,各地政策!$A:$X,23,0))))</f>
        <v>#N/A</v>
      </c>
      <c r="AD9" s="90" t="e">
        <f>IF(VLOOKUP(基本信息!$I9,各地政策!$A:$X,24,0)="进位",ROUNDUP(基本信息!AM9*基本信息!AR9,VLOOKUP(基本信息!$I9,各地政策!$A:$X,23,0)),IF(VLOOKUP(基本信息!$I9,各地政策!$A:$X,24,0)="四舍五入",ROUND(基本信息!AM9*基本信息!AR9,VLOOKUP(基本信息!$I9,各地政策!$A:$X,23,0)),ROUND(基本信息!AM9*基本信息!AR9-IF(VLOOKUP(基本信息!$I9,各地政策!$A:$X,23,0)=0,0.5,IF(VLOOKUP(基本信息!$I9,各地政策!$A:$X,23,0)=1,0.05,0.005)),VLOOKUP(基本信息!$I9,各地政策!$A:$X,23,0))))</f>
        <v>#N/A</v>
      </c>
      <c r="AE9" s="90">
        <f>基本信息!DU9+基本信息!DV9+基本信息!DW9</f>
        <v>0</v>
      </c>
      <c r="AF9" s="90">
        <f>基本信息!DX9</f>
        <v>0</v>
      </c>
      <c r="AG9" s="90">
        <f>基本信息!BF9</f>
        <v>0</v>
      </c>
      <c r="AH9" s="90">
        <f>基本信息!BG9</f>
        <v>0</v>
      </c>
      <c r="AI9" s="90">
        <f>基本信息!BH9+基本信息!DZ9</f>
        <v>0</v>
      </c>
      <c r="AJ9" s="90">
        <f>IF(基本信息!P9="税前",SUM(C9:J9)+SUM(O9:W9)-SUM(K9:N9)-SUM(X9:X9)+Y9-AG9-AH9+AI9,0)</f>
        <v>0</v>
      </c>
      <c r="AK9" s="90">
        <f>IF(基本信息!J9=3,MAX(AJ9*0.2,800),5000)</f>
        <v>5000</v>
      </c>
      <c r="AL9" s="90">
        <f>IF(基本信息!P9="税前",SUMIF(YTD!$A$2:$A$2386,$A9,YTD!$BB$2:$BB$2386)+SUMIF(YTD!$A$2:$A$2386,$A9,YTD!$AM$2:$AM$2386)+AJ9,0)</f>
        <v>0</v>
      </c>
      <c r="AM9" s="90" t="e">
        <f>SUMIF(YTD!$A$2:$A$2386,$A9,YTD!$AM$2:$AM$2386)+SUM(Z9:AF9)</f>
        <v>#N/A</v>
      </c>
      <c r="AN9" s="90">
        <f>SUMIF(YTD!$A$2:$A$2386,$A9,YTD!$AN$2:$AN$2386)+计算结果!AK9</f>
        <v>5000</v>
      </c>
      <c r="AO9" s="90">
        <f>基本信息!CO9</f>
        <v>0</v>
      </c>
      <c r="AP9" s="90">
        <f>基本信息!CP9</f>
        <v>0</v>
      </c>
      <c r="AQ9" s="90">
        <f>基本信息!CQ9</f>
        <v>0</v>
      </c>
      <c r="AR9" s="90">
        <f>基本信息!CR9</f>
        <v>0</v>
      </c>
      <c r="AS9" s="90">
        <f>基本信息!CS9</f>
        <v>0</v>
      </c>
      <c r="AT9" s="232" cm="1">
        <f t="array" ref="AT9">SUMPRODUCT((基本信息!$B$2:$B$2375=$A9)*(基本信息!$CU$2:$CV$2375))+SUMIF(YTD!$A$2:$A$2386,$A9,YTD!$AT$2:$AT$2386)</f>
        <v>0</v>
      </c>
      <c r="AU9" s="233">
        <f t="shared" si="1"/>
        <v>5000</v>
      </c>
      <c r="AV9" s="90">
        <f>IF(基本信息!P9="税前",AL9-AM9-AU9,0)</f>
        <v>0</v>
      </c>
      <c r="AW9" s="90" cm="1">
        <f t="array" ref="AW9">IF(基本信息!J9=1,MAX((AV9)*{0.03,0.1,0.2,0.25,0.3,0.35,0.45}-12*{0,210,1410,2660,4410,7160,15160},0),IF(基本信息!J9=4,MAX((AL9-AL9*0.2-AU9)*{0.03,0.1,0.2,0.25,0.3,0.35,0.45}-12*{0,210,1410,2660,4410,7160,15160},0),0))</f>
        <v>0</v>
      </c>
      <c r="AX9" s="90" cm="1">
        <f t="array" ref="AX9">MAX(ROUND(IF(基本信息!J9=3,MAX((AJ9-IF(AJ9&lt;4000,800,AJ9*0.2))*10%*{2,3,4}-1000*{0,2,7},0),IF(基本信息!J9=2,MAX((AJ9-SUM(Z9:AG9)-AK9)*{0.03,0.1,0.2,0.25,0.3,0.35,0.45}-{0,210,1410,2660,4410,7160,15160},0),IF(基本信息!P9="税前",AW9-ROUND(SUMIF(YTD!$A$2:$A$2386,$A9,YTD!$CD$2:$CD$2386),2),0))),2),0)</f>
        <v>0</v>
      </c>
      <c r="AY9" s="142">
        <f>基本信息!BI9+基本信息!EA9</f>
        <v>0</v>
      </c>
      <c r="AZ9" s="142">
        <f>IF(基本信息!P9="税前",0,SUM(C9:J9)-SUM(K9:N9)+SUM(O9:W9)-X9+Y9+AI9)+AY9</f>
        <v>0</v>
      </c>
      <c r="BA9" s="142">
        <f>IF(OR(基本信息!J9=1,基本信息!J9=4),IF(基本信息!P9="税前",AL9-AM9-AW9+AZ9,AZ9+SUMIF(YTD!$A$2:$A$2386,$A9,YTD!$BA$2:$BA$2386)),IF(基本信息!P9="税前",AJ9-SUM(Z9:AG9)-AX9+AZ9+SUMIF(YTD!$A$2:$A$2386,$A9,YTD!$BA$2:$BA$2386),AZ9))</f>
        <v>0</v>
      </c>
      <c r="BB9" s="142" cm="1">
        <f t="array" ref="BB9">IF(基本信息!J9=3,LOOKUP(AJ9-AX9+AZ9,{0,800,3360,21000,49500},(AJ9-AX9+AZ9-{0,160,0,2000,7000})*{1,5,25,25,25}/{1,4,21,19,17}),IF(基本信息!J9=2,MAX((BA9-AK9-10*{0,21,141,266,441,716,1516})/(1-5%*{0.6,2,4,5,6,7,9})+AK9,BA9),IF(基本信息!J9=4,MAX((BA9-AU9-(AL9*0.2)-120*{0,21,141,266,441,716,1516})/(1-5%*{0.6,2,4,5,6,7,9})+AU9+(AL9*0.2),BA9),MAX((BA9-AU9-120*{0,21,141,266,441,716,1516})/(1-5%*{0.6,2,4,5,6,7,9})+AU9,BA9))))</f>
        <v>0</v>
      </c>
      <c r="BC9" s="142" t="e">
        <f>IF(OR(基本信息!J9=1,基本信息!J9=4),BB9-IFERROR(VLOOKUP($A9,YTD!$A:$BB,54,0),0),BB9)+SUM(Z9:AF9)</f>
        <v>#N/A</v>
      </c>
      <c r="BD9" s="142" cm="1">
        <f t="array" ref="BD9">IF(基本信息!J9=4,MAX((BB9-BB9*0.2-AU9)*{0.03,0.1,0.2,0.25,0.3,0.35,0.45}-12*{0,210,1410,2660,4410,7160,15160},0),IF(基本信息!J9=3,MAX((BB9-IF(BB9&lt;4000,800,BB9*0.2))*10%*{2,3,4}-1000*{0,2,7},0),IF(基本信息!J9=2,MAX((BB9-AK9)*{0.03,0.1,0.2,0.25,0.3,0.35,0.45}-{0,210,1410,2660,4410,7160,15160},0),MAX((BB9-AU9)*{0.03,0.1,0.2,0.25,0.3,0.35,0.45}-12*{0,210,1410,2660,4410,7160,15160},0))))</f>
        <v>0</v>
      </c>
      <c r="BE9" s="90">
        <f>MAX(ROUND(IF(基本信息!J9=1,BD9-AX9-ROUND(SUMIF(YTD!$A$2:$A$2386,$A9,YTD!$CD$2:$CD$2386),2),IF(基本信息!J9=4,BD9-AX9-ROUND(SUMIF(YTD!$A$2:$A$2386,$A9,YTD!$CD$2:$CD$2386),2),BD9-AX9)),2),0)</f>
        <v>0</v>
      </c>
      <c r="BF9" s="90">
        <f ca="1">IF(YEARFRAC(基本信息!AB9,TODAY())*12-1&lt;192,基本信息!AC9,0)</f>
        <v>0</v>
      </c>
      <c r="BG9" s="90" t="e">
        <f>IF(VLOOKUP(基本信息!$I9,各地政策!$A:$X,24,0)="进位",ROUNDUP(基本信息!AM9*基本信息!AS9,VLOOKUP(基本信息!$I9,各地政策!$A:$X,23,0)),IF(VLOOKUP(基本信息!$I9,各地政策!$A:$X,24,0)="四舍五入",ROUND(基本信息!AM9*基本信息!AS9,VLOOKUP(基本信息!$I9,各地政策!$A:$X,23,0)),ROUND(基本信息!AM9*基本信息!AS9-IF(VLOOKUP(基本信息!$I9,各地政策!$A:$X,23,0)=0,0.5,IF(VLOOKUP(基本信息!$I9,各地政策!$A:$X,23,0)=1,0.05,0.005)),VLOOKUP(基本信息!$I9,各地政策!$A:$X,23,0))))</f>
        <v>#N/A</v>
      </c>
      <c r="BH9" s="59">
        <f>基本信息!EB9</f>
        <v>0</v>
      </c>
      <c r="BI9" s="59">
        <f>基本信息!EC9</f>
        <v>0</v>
      </c>
      <c r="BJ9" s="59">
        <f>基本信息!BJ9</f>
        <v>0</v>
      </c>
      <c r="BK9" s="59">
        <f>基本信息!BL9+基本信息!DY9+基本信息!ED9</f>
        <v>0</v>
      </c>
      <c r="BL9" s="59">
        <f>基本信息!BK9+基本信息!EE9</f>
        <v>0</v>
      </c>
      <c r="BM9" s="59">
        <f>基本信息!EG9</f>
        <v>0</v>
      </c>
      <c r="BN9" s="59" cm="1">
        <f t="array" ref="BN9">IF(基本信息!J9=2,MAX((BM9/6)*{0.03,0.1,0.2,0.25,0.3,0.35,0.45}-{0,210,1410,2660,4410,7160,15160},0)*6,ROUND((BM9)*LOOKUP(-(BM9)/12,-{99999,80,55,35,25,12,3,0,-9}*1000,{9,7,6,5,4,2,0.6,0,0}*5%)-LOOKUP(-(BM9)/12,-{99999,80,55,35,25,12,3,0,-9}*1000,{1516,716,441,266,141,21,0,0}*10),2))</f>
        <v>0</v>
      </c>
      <c r="BO9" s="59">
        <f>基本信息!EH9</f>
        <v>0</v>
      </c>
      <c r="BP9" s="59" cm="1">
        <f t="array" ref="BP9">IFERROR(ROUND(MAX((基本信息!EH9-基本信息!EI9)*{0.03,0.1,0.2,0.25,0.3,0.35,0.45}-12*{0,210,1410,2660,4410,7160,15160},0),2),0)</f>
        <v>0</v>
      </c>
      <c r="BQ9" s="59">
        <f>基本信息!EK9</f>
        <v>0</v>
      </c>
      <c r="BR9" s="59" cm="1">
        <f t="array" ref="BR9">ROUND((BQ9)*LOOKUP(-BQ9,-{99999,96,66,42,30,14.4,3.6,0,-9}*10000,{9,7,6,5,4,2,0.6,0,0}*5%)-LOOKUP(-BQ9,-{99999,96,66,42,30,14.4,3.6,0,-9}*10000,{18192,8592,5292,3192,1692,252,0,0}*10),2)</f>
        <v>0</v>
      </c>
      <c r="BS9" s="144">
        <f t="shared" ca="1" si="2"/>
        <v>0</v>
      </c>
      <c r="BT9" s="142">
        <f>IF(基本信息!P9="税前",SUM(K9:N9)+SUM(X9,Z9:AH9)+AX9+BG9+BL9+BN9+BP9+BR9,SUM(K9:N9,X9,BL9,BN9,BP9,BR9))</f>
        <v>0</v>
      </c>
      <c r="BU9" s="142">
        <f t="shared" ca="1" si="3"/>
        <v>0</v>
      </c>
      <c r="BV9" s="90" t="e">
        <f>IF(VLOOKUP(基本信息!$H9,各地政策!$A:$X,21,0)="进位",ROUNDUP(基本信息!AF9*基本信息!AU9,VLOOKUP(基本信息!$H9,各地政策!$A:$X,20,0)),IF(VLOOKUP(基本信息!$H9,各地政策!$A:$X,21,0)="四舍五入",ROUND(基本信息!AF9*基本信息!AU9,VLOOKUP(基本信息!$H9,各地政策!$A:$X,20,0)),ROUND(基本信息!AF9*基本信息!AU9-IF(VLOOKUP(基本信息!$H9,各地政策!$A:$X,20,0)=0,0.5,IF(VLOOKUP(基本信息!$H9,各地政策!$A:$X,20,0)=1,0.05,0.005)),VLOOKUP(基本信息!$H9,各地政策!$A:$X,20,0))))</f>
        <v>#N/A</v>
      </c>
      <c r="BW9" s="90" t="e">
        <f>IF(VLOOKUP(基本信息!$H9,各地政策!$A:$X,21,0)="进位",ROUNDUP(基本信息!AG9*基本信息!AV9,VLOOKUP(基本信息!$H9,各地政策!$A:$X,20,0)),IF(VLOOKUP(基本信息!$H9,各地政策!$A:$X,21,0)="四舍五入",ROUND(基本信息!AG9*基本信息!AV9,VLOOKUP(基本信息!$H9,各地政策!$A:$X,20,0)),ROUND(基本信息!AG9*基本信息!AV9-IF(VLOOKUP(基本信息!$H9,各地政策!$A:$X,20,0)=0,0.5,IF(VLOOKUP(基本信息!$H9,各地政策!$A:$X,20,0)=1,0.05,0.005)),VLOOKUP(基本信息!$H9,各地政策!$A:$X,20,0))))+基本信息!BC9</f>
        <v>#N/A</v>
      </c>
      <c r="BX9" s="90" t="e">
        <f>IF(VLOOKUP(基本信息!$H9,各地政策!$A:$X,21,0)="进位",ROUNDUP(基本信息!AH9*基本信息!AW9,VLOOKUP(基本信息!$H9,各地政策!$A:$X,20,0)),IF(VLOOKUP(基本信息!$H9,各地政策!$A:$X,21,0)="四舍五入",ROUND(基本信息!AH9*基本信息!AW9,VLOOKUP(基本信息!$H9,各地政策!$A:$X,20,0)),ROUND(基本信息!AH9*基本信息!AW9-IF(VLOOKUP(基本信息!$H9,各地政策!$A:$X,20,0)=0,0.5,IF(VLOOKUP(基本信息!$H9,各地政策!$A:$X,20,0)=1,0.05,0.005)),VLOOKUP(基本信息!$H9,各地政策!$A:$X,20,0))))</f>
        <v>#N/A</v>
      </c>
      <c r="BY9" s="90" t="e">
        <f>IF(VLOOKUP(基本信息!$H9,各地政策!$A:$X,21,0)="进位",ROUNDUP(基本信息!AI9*基本信息!AX9,VLOOKUP(基本信息!$H9,各地政策!$A:$X,20,0)),IF(VLOOKUP(基本信息!$H9,各地政策!$A:$X,21,0)="四舍五入",ROUND(基本信息!AI9*基本信息!AX9,VLOOKUP(基本信息!$H9,各地政策!$A:$X,20,0)),ROUND(基本信息!AI9*基本信息!AX9-IF(VLOOKUP(基本信息!$H9,各地政策!$A:$X,20,0)=0,0.5,IF(VLOOKUP(基本信息!$H9,各地政策!$A:$X,20,0)=1,0.05,0.005)),VLOOKUP(基本信息!$H9,各地政策!$A:$X,20,0))))</f>
        <v>#N/A</v>
      </c>
      <c r="BZ9" s="90" t="e">
        <f>IF(VLOOKUP(基本信息!$H9,各地政策!$A:$X,21,0)="进位",ROUNDUP(基本信息!AJ9*基本信息!AY9,VLOOKUP(基本信息!$H9,各地政策!$A:$X,20,0)),IF(VLOOKUP(基本信息!$H9,各地政策!$A:$X,21,0)="四舍五入",ROUND(基本信息!AJ9*基本信息!AY9,VLOOKUP(基本信息!$H9,各地政策!$A:$X,20,0)),ROUND(基本信息!AJ9*基本信息!AY9-IF(VLOOKUP(基本信息!$H9,各地政策!$A:$X,20,0)=0,0.5,IF(VLOOKUP(基本信息!$H9,各地政策!$A:$X,20,0)=1,0.05,0.005)),VLOOKUP(基本信息!$H9,各地政策!$A:$X,20,0))))+基本信息!BD9</f>
        <v>#N/A</v>
      </c>
      <c r="CA9" s="90" t="e">
        <f>IF(VLOOKUP(基本信息!$H9,各地政策!$A:$X,21,0)="进位",ROUNDUP(基本信息!AK9*基本信息!AZ9+基本信息!BE9,VLOOKUP(基本信息!$H9,各地政策!$A:$X,20,0)),IF(VLOOKUP(基本信息!$H9,各地政策!$A:$X,21,0)="四舍五入",ROUND(基本信息!AK9*基本信息!AZ9+基本信息!BE9,VLOOKUP(基本信息!$H9,各地政策!$A:$X,20,0)),ROUND(基本信息!AK9*基本信息!AZ9+基本信息!BE9-IF(VLOOKUP(基本信息!$H9,各地政策!$A:$X,20,0)=0,0.5,IF(VLOOKUP(基本信息!$H9,各地政策!$A:$X,20,0)=1,0.05,0.005)),VLOOKUP(基本信息!$H9,各地政策!$A:$X,20,0))))</f>
        <v>#N/A</v>
      </c>
      <c r="CB9" s="90" t="e">
        <f>IF(VLOOKUP(基本信息!$I9,各地政策!$A:$X,24,0)="进位",ROUNDUP(基本信息!AL9*(基本信息!BA9),VLOOKUP(基本信息!$I9,各地政策!$A:$X,23,0)),IF(VLOOKUP(基本信息!$I9,各地政策!$A:$X,24,0)="四舍五入",ROUND(基本信息!AL9*(基本信息!BA9),VLOOKUP(基本信息!$I9,各地政策!$A:$X,23,0)),ROUND(基本信息!AL9*(基本信息!BA9)-IF(VLOOKUP(基本信息!$I9,各地政策!$A:$X,23,0)=0,0.5,IF(VLOOKUP(基本信息!$I9,各地政策!$A:$X,23,0)=1,0.05,0.005)),VLOOKUP(基本信息!$I9,各地政策!$A:$X,23,0))))</f>
        <v>#N/A</v>
      </c>
      <c r="CC9" s="90" t="e">
        <f>IF(VLOOKUP(基本信息!$I9,各地政策!$A:$X,24,0)="进位",ROUNDUP(基本信息!AM9*(基本信息!BB9),VLOOKUP(基本信息!$I9,各地政策!$A:$X,23,0)),IF(VLOOKUP(基本信息!$I9,各地政策!$A:$X,24,0)="四舍五入",ROUND(基本信息!AM9*(基本信息!BB9),VLOOKUP(基本信息!$I9,各地政策!$A:$X,23,0)),ROUND(基本信息!AM9*(基本信息!BB9)-IF(VLOOKUP(基本信息!$I9,各地政策!$A:$X,23,0)=0,0.5,IF(VLOOKUP(基本信息!$I9,各地政策!$A:$X,23,0)=1,0.05,0.005)),VLOOKUP(基本信息!$I9,各地政策!$A:$X,23,0))))</f>
        <v>#N/A</v>
      </c>
      <c r="CD9" s="90">
        <f>AX9+BE9+IFERROR(VLOOKUP($A9,YTD!$A:$CD,82,0),0)</f>
        <v>0</v>
      </c>
      <c r="CE9" s="232">
        <f>基本信息!CT9</f>
        <v>0</v>
      </c>
      <c r="CF9" s="184">
        <f>'S-Payroll Report'!X15</f>
        <v>0</v>
      </c>
      <c r="CG9" s="184">
        <f>'S-Payroll Report'!AD15</f>
        <v>0</v>
      </c>
      <c r="CH9" s="184">
        <f>'S-Payroll Report'!AC15</f>
        <v>0</v>
      </c>
      <c r="CI9" s="184">
        <f>'S-Payroll Report'!AA15</f>
        <v>0</v>
      </c>
      <c r="CJ9" s="184">
        <f>'S-Payroll Report'!AF15</f>
        <v>0</v>
      </c>
      <c r="CK9" s="184">
        <f>基本信息!EM9+基本信息!EN9+基本信息!EO9</f>
        <v>0</v>
      </c>
    </row>
    <row r="10" spans="1:89">
      <c r="BI10" s="59"/>
      <c r="BJ10" s="59"/>
      <c r="BK10" s="59"/>
      <c r="BL10" s="59"/>
      <c r="BM10" s="59"/>
      <c r="BN10" s="59"/>
      <c r="BO10" s="59"/>
      <c r="BP10" s="59"/>
      <c r="BQ10" s="59"/>
      <c r="BR10" s="144"/>
      <c r="BU10" s="90"/>
      <c r="BV10" s="90"/>
      <c r="BW10" s="90"/>
      <c r="BX10" s="90"/>
      <c r="BY10" s="90"/>
      <c r="BZ10" s="90"/>
      <c r="CA10" s="90"/>
      <c r="CB10" s="90"/>
      <c r="CC10" s="90"/>
    </row>
    <row r="11" spans="1:89">
      <c r="BI11" s="59"/>
      <c r="BJ11" s="59"/>
      <c r="BK11" s="59"/>
      <c r="BL11" s="59"/>
      <c r="BM11" s="59"/>
      <c r="BN11" s="59"/>
      <c r="BO11" s="59"/>
      <c r="BP11" s="59"/>
      <c r="BQ11" s="59"/>
      <c r="BR11" s="144"/>
      <c r="BU11" s="90"/>
      <c r="BV11" s="90"/>
      <c r="BW11" s="90"/>
      <c r="BX11" s="90"/>
      <c r="BY11" s="90"/>
      <c r="BZ11" s="90"/>
      <c r="CA11" s="90"/>
      <c r="CB11" s="90"/>
      <c r="CC11" s="90"/>
    </row>
    <row r="12" spans="1:89">
      <c r="BI12" s="59"/>
      <c r="BJ12" s="59"/>
      <c r="BK12" s="59"/>
      <c r="BL12" s="59"/>
      <c r="BM12" s="59"/>
      <c r="BN12" s="59"/>
      <c r="BO12" s="59"/>
      <c r="BP12" s="59"/>
      <c r="BQ12" s="59"/>
      <c r="BR12" s="144"/>
      <c r="BU12" s="90"/>
      <c r="BV12" s="90"/>
      <c r="BW12" s="90"/>
      <c r="BX12" s="90"/>
      <c r="BY12" s="90"/>
      <c r="BZ12" s="90"/>
      <c r="CA12" s="90"/>
      <c r="CB12" s="90"/>
      <c r="CC12" s="90"/>
    </row>
    <row r="13" spans="1:89">
      <c r="BI13" s="59"/>
      <c r="BJ13" s="59"/>
      <c r="BK13" s="59"/>
      <c r="BL13" s="59"/>
      <c r="BM13" s="59"/>
      <c r="BN13" s="59"/>
      <c r="BO13" s="59"/>
      <c r="BP13" s="59"/>
      <c r="BQ13" s="59"/>
      <c r="BR13" s="144"/>
      <c r="BU13" s="90"/>
      <c r="BV13" s="90"/>
      <c r="BW13" s="90"/>
      <c r="BX13" s="90"/>
      <c r="BY13" s="90"/>
      <c r="BZ13" s="90"/>
      <c r="CA13" s="90"/>
      <c r="CB13" s="90"/>
      <c r="CC13" s="90"/>
    </row>
    <row r="14" spans="1:89">
      <c r="BI14" s="59"/>
      <c r="BJ14" s="59"/>
      <c r="BK14" s="59"/>
      <c r="BL14" s="59"/>
      <c r="BM14" s="59"/>
      <c r="BN14" s="59"/>
      <c r="BO14" s="59"/>
      <c r="BP14" s="59"/>
      <c r="BQ14" s="59"/>
      <c r="BR14" s="144"/>
      <c r="BU14" s="90"/>
      <c r="BV14" s="90"/>
      <c r="BW14" s="90"/>
      <c r="BX14" s="90"/>
      <c r="BY14" s="90"/>
      <c r="BZ14" s="90"/>
      <c r="CA14" s="90"/>
      <c r="CB14" s="90"/>
      <c r="CC14" s="90"/>
    </row>
    <row r="15" spans="1:89">
      <c r="BI15" s="59"/>
      <c r="BJ15" s="59"/>
      <c r="BK15" s="59"/>
      <c r="BL15" s="59"/>
      <c r="BM15" s="59"/>
      <c r="BN15" s="59"/>
      <c r="BO15" s="59"/>
      <c r="BP15" s="59"/>
      <c r="BQ15" s="59"/>
      <c r="BR15" s="144"/>
      <c r="BU15" s="90"/>
      <c r="BV15" s="90"/>
      <c r="BW15" s="90"/>
      <c r="BX15" s="90"/>
      <c r="BY15" s="90"/>
      <c r="BZ15" s="90"/>
      <c r="CA15" s="90"/>
      <c r="CB15" s="90"/>
      <c r="CC15" s="90"/>
    </row>
    <row r="16" spans="1:89">
      <c r="BI16" s="59"/>
      <c r="BJ16" s="59"/>
      <c r="BK16" s="59"/>
      <c r="BL16" s="59"/>
      <c r="BM16" s="59"/>
      <c r="BN16" s="59"/>
      <c r="BO16" s="59"/>
      <c r="BP16" s="59"/>
      <c r="BQ16" s="59"/>
      <c r="BR16" s="144"/>
      <c r="BU16" s="90"/>
      <c r="BV16" s="90"/>
      <c r="BW16" s="90"/>
      <c r="BX16" s="90"/>
      <c r="BY16" s="90"/>
      <c r="BZ16" s="90"/>
      <c r="CA16" s="90"/>
      <c r="CB16" s="90"/>
      <c r="CC16" s="90"/>
    </row>
    <row r="17" spans="61:81">
      <c r="BI17" s="59"/>
      <c r="BJ17" s="59"/>
      <c r="BK17" s="59"/>
      <c r="BL17" s="59"/>
      <c r="BM17" s="59"/>
      <c r="BN17" s="59"/>
      <c r="BO17" s="59"/>
      <c r="BP17" s="59"/>
      <c r="BQ17" s="59"/>
      <c r="BR17" s="144"/>
      <c r="BU17" s="90"/>
      <c r="BV17" s="90"/>
      <c r="BW17" s="90"/>
      <c r="BX17" s="90"/>
      <c r="BY17" s="90"/>
      <c r="BZ17" s="90"/>
      <c r="CA17" s="90"/>
      <c r="CB17" s="90"/>
      <c r="CC17" s="90"/>
    </row>
    <row r="18" spans="61:81">
      <c r="BI18" s="59"/>
      <c r="BJ18" s="59"/>
      <c r="BK18" s="59"/>
      <c r="BL18" s="59"/>
      <c r="BM18" s="59"/>
      <c r="BN18" s="59"/>
      <c r="BO18" s="59"/>
      <c r="BP18" s="59"/>
      <c r="BQ18" s="59"/>
      <c r="BR18" s="144"/>
      <c r="BU18" s="90"/>
      <c r="BV18" s="90"/>
      <c r="BW18" s="90"/>
      <c r="BX18" s="90"/>
      <c r="BY18" s="90"/>
      <c r="BZ18" s="90"/>
      <c r="CA18" s="90"/>
      <c r="CB18" s="90"/>
      <c r="CC18" s="90"/>
    </row>
    <row r="19" spans="61:81">
      <c r="BI19" s="59"/>
      <c r="BJ19" s="59"/>
      <c r="BK19" s="59"/>
      <c r="BL19" s="59"/>
      <c r="BM19" s="59"/>
      <c r="BN19" s="59"/>
      <c r="BO19" s="59"/>
      <c r="BP19" s="59"/>
      <c r="BQ19" s="59"/>
      <c r="BR19" s="144"/>
      <c r="BU19" s="90"/>
      <c r="BV19" s="90"/>
      <c r="BW19" s="90"/>
      <c r="BX19" s="90"/>
      <c r="BY19" s="90"/>
      <c r="BZ19" s="90"/>
      <c r="CA19" s="90"/>
      <c r="CB19" s="90"/>
      <c r="CC19" s="90"/>
    </row>
    <row r="20" spans="61:81">
      <c r="BI20" s="59"/>
      <c r="BJ20" s="59"/>
      <c r="BK20" s="59"/>
      <c r="BL20" s="59"/>
      <c r="BM20" s="59"/>
      <c r="BN20" s="59"/>
      <c r="BO20" s="59"/>
      <c r="BP20" s="59"/>
      <c r="BQ20" s="59"/>
      <c r="BR20" s="144"/>
      <c r="BU20" s="90"/>
      <c r="BV20" s="90"/>
      <c r="BW20" s="90"/>
      <c r="BX20" s="90"/>
      <c r="BY20" s="90"/>
      <c r="BZ20" s="90"/>
      <c r="CA20" s="90"/>
      <c r="CB20" s="90"/>
      <c r="CC20" s="90"/>
    </row>
    <row r="21" spans="61:81">
      <c r="BI21" s="59"/>
      <c r="BJ21" s="59"/>
      <c r="BK21" s="59"/>
      <c r="BL21" s="59"/>
      <c r="BM21" s="59"/>
      <c r="BN21" s="59"/>
      <c r="BO21" s="59"/>
      <c r="BP21" s="59"/>
      <c r="BQ21" s="59"/>
      <c r="BR21" s="144"/>
      <c r="BU21" s="90"/>
      <c r="BV21" s="90"/>
      <c r="BW21" s="90"/>
      <c r="BX21" s="90"/>
      <c r="BY21" s="90"/>
      <c r="BZ21" s="90"/>
      <c r="CA21" s="90"/>
      <c r="CB21" s="90"/>
      <c r="CC21" s="90"/>
    </row>
    <row r="22" spans="61:81">
      <c r="BI22" s="59"/>
      <c r="BJ22" s="59"/>
      <c r="BK22" s="59"/>
      <c r="BL22" s="59"/>
      <c r="BM22" s="59"/>
      <c r="BN22" s="59"/>
      <c r="BO22" s="59"/>
      <c r="BP22" s="59"/>
      <c r="BQ22" s="59"/>
      <c r="BR22" s="144"/>
      <c r="BU22" s="90"/>
      <c r="BV22" s="90"/>
      <c r="BW22" s="90"/>
      <c r="BX22" s="90"/>
      <c r="BY22" s="90"/>
      <c r="BZ22" s="90"/>
      <c r="CA22" s="90"/>
      <c r="CB22" s="90"/>
      <c r="CC22" s="90"/>
    </row>
    <row r="23" spans="61:81">
      <c r="BI23" s="59"/>
      <c r="BJ23" s="59"/>
      <c r="BK23" s="59"/>
      <c r="BL23" s="59"/>
      <c r="BM23" s="59"/>
      <c r="BN23" s="59"/>
      <c r="BO23" s="59"/>
      <c r="BP23" s="59"/>
      <c r="BQ23" s="59"/>
      <c r="BR23" s="144"/>
      <c r="BU23" s="90"/>
      <c r="BV23" s="90"/>
      <c r="BW23" s="90"/>
      <c r="BX23" s="90"/>
      <c r="BY23" s="90"/>
      <c r="BZ23" s="90"/>
      <c r="CA23" s="90"/>
      <c r="CB23" s="90"/>
      <c r="CC23" s="90"/>
    </row>
    <row r="24" spans="61:81">
      <c r="BI24" s="59"/>
      <c r="BJ24" s="59"/>
      <c r="BK24" s="59"/>
      <c r="BL24" s="59"/>
      <c r="BM24" s="59"/>
      <c r="BN24" s="59"/>
      <c r="BO24" s="59"/>
      <c r="BP24" s="59"/>
      <c r="BQ24" s="59"/>
      <c r="BR24" s="144"/>
      <c r="BU24" s="90"/>
      <c r="BV24" s="90"/>
      <c r="BW24" s="90"/>
      <c r="BX24" s="90"/>
      <c r="BY24" s="90"/>
      <c r="BZ24" s="90"/>
      <c r="CA24" s="90"/>
      <c r="CB24" s="90"/>
      <c r="CC24" s="90"/>
    </row>
    <row r="25" spans="61:81">
      <c r="BI25" s="59"/>
      <c r="BJ25" s="59"/>
      <c r="BK25" s="59"/>
      <c r="BL25" s="59"/>
      <c r="BM25" s="59"/>
      <c r="BN25" s="59"/>
      <c r="BO25" s="59"/>
      <c r="BP25" s="59"/>
      <c r="BQ25" s="59"/>
      <c r="BR25" s="144"/>
      <c r="BU25" s="90"/>
      <c r="BV25" s="90"/>
      <c r="BW25" s="90"/>
      <c r="BX25" s="90"/>
      <c r="BY25" s="90"/>
      <c r="BZ25" s="90"/>
      <c r="CA25" s="90"/>
      <c r="CB25" s="90"/>
      <c r="CC25" s="90"/>
    </row>
    <row r="26" spans="61:81">
      <c r="BI26" s="59"/>
      <c r="BJ26" s="59"/>
      <c r="BK26" s="59"/>
      <c r="BL26" s="59"/>
      <c r="BM26" s="59"/>
      <c r="BN26" s="59"/>
      <c r="BO26" s="59"/>
      <c r="BP26" s="59"/>
      <c r="BQ26" s="59"/>
      <c r="BR26" s="144"/>
      <c r="BU26" s="90"/>
      <c r="BV26" s="90"/>
      <c r="BW26" s="90"/>
      <c r="BX26" s="90"/>
      <c r="BY26" s="90"/>
      <c r="BZ26" s="90"/>
      <c r="CA26" s="90"/>
      <c r="CB26" s="90"/>
      <c r="CC26" s="90"/>
    </row>
    <row r="27" spans="61:81">
      <c r="BI27" s="59"/>
      <c r="BJ27" s="59"/>
      <c r="BK27" s="59"/>
      <c r="BL27" s="59"/>
      <c r="BM27" s="59"/>
      <c r="BN27" s="59"/>
      <c r="BO27" s="59"/>
      <c r="BP27" s="59"/>
      <c r="BQ27" s="59"/>
      <c r="BR27" s="144"/>
      <c r="BU27" s="90"/>
      <c r="BV27" s="90"/>
      <c r="BW27" s="90"/>
      <c r="BX27" s="90"/>
      <c r="BY27" s="90"/>
      <c r="BZ27" s="90"/>
      <c r="CA27" s="90"/>
      <c r="CB27" s="90"/>
      <c r="CC27" s="90"/>
    </row>
    <row r="28" spans="61:81">
      <c r="BI28" s="59"/>
      <c r="BJ28" s="59"/>
      <c r="BK28" s="59"/>
      <c r="BL28" s="59"/>
      <c r="BM28" s="59"/>
      <c r="BN28" s="59"/>
      <c r="BO28" s="59"/>
      <c r="BP28" s="59"/>
      <c r="BQ28" s="59"/>
      <c r="BR28" s="144"/>
      <c r="BU28" s="90"/>
      <c r="BV28" s="90"/>
      <c r="BW28" s="90"/>
      <c r="BX28" s="90"/>
      <c r="BY28" s="90"/>
      <c r="BZ28" s="90"/>
      <c r="CA28" s="90"/>
      <c r="CB28" s="90"/>
      <c r="CC28" s="90"/>
    </row>
    <row r="29" spans="61:81">
      <c r="BI29" s="59"/>
      <c r="BJ29" s="59"/>
      <c r="BK29" s="59"/>
      <c r="BL29" s="59"/>
      <c r="BM29" s="59"/>
      <c r="BN29" s="59"/>
      <c r="BO29" s="59"/>
      <c r="BP29" s="59"/>
      <c r="BQ29" s="59"/>
      <c r="BR29" s="144"/>
      <c r="BU29" s="90"/>
      <c r="BV29" s="90"/>
      <c r="BW29" s="90"/>
      <c r="BX29" s="90"/>
      <c r="BY29" s="90"/>
      <c r="BZ29" s="90"/>
      <c r="CA29" s="90"/>
      <c r="CB29" s="90"/>
      <c r="CC29" s="90"/>
    </row>
    <row r="30" spans="61:81">
      <c r="BI30" s="59"/>
      <c r="BJ30" s="59"/>
      <c r="BK30" s="59"/>
      <c r="BL30" s="59"/>
      <c r="BM30" s="59"/>
      <c r="BN30" s="59"/>
      <c r="BO30" s="59"/>
      <c r="BP30" s="59"/>
      <c r="BQ30" s="59"/>
      <c r="BR30" s="144"/>
      <c r="BU30" s="90"/>
      <c r="BV30" s="90"/>
      <c r="BW30" s="90"/>
      <c r="BX30" s="90"/>
      <c r="BY30" s="90"/>
      <c r="BZ30" s="90"/>
      <c r="CA30" s="90"/>
      <c r="CB30" s="90"/>
      <c r="CC30" s="90"/>
    </row>
    <row r="31" spans="61:81">
      <c r="BI31" s="59"/>
      <c r="BJ31" s="59"/>
      <c r="BK31" s="59"/>
      <c r="BL31" s="59"/>
      <c r="BM31" s="59"/>
      <c r="BN31" s="59"/>
      <c r="BO31" s="59"/>
      <c r="BP31" s="59"/>
      <c r="BQ31" s="59"/>
      <c r="BR31" s="144"/>
      <c r="BU31" s="90"/>
      <c r="BV31" s="90"/>
      <c r="BW31" s="90"/>
      <c r="BX31" s="90"/>
      <c r="BY31" s="90"/>
      <c r="BZ31" s="90"/>
      <c r="CA31" s="90"/>
      <c r="CB31" s="90"/>
      <c r="CC31" s="90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F353-0374-4439-9331-14BE2FD490E4}">
  <sheetPr>
    <tabColor rgb="FF00B050"/>
  </sheetPr>
  <dimension ref="A1:CK408"/>
  <sheetViews>
    <sheetView workbookViewId="0">
      <pane xSplit="2" ySplit="1" topLeftCell="C2" activePane="bottomRight" state="frozen"/>
      <selection pane="bottomRight" activeCell="A2" sqref="A2"/>
      <selection pane="bottomLeft" activeCell="CO2" sqref="CO2:CO5"/>
      <selection pane="topRight" activeCell="CO2" sqref="CO2:CO5"/>
    </sheetView>
  </sheetViews>
  <sheetFormatPr defaultColWidth="10.28515625" defaultRowHeight="12.95"/>
  <cols>
    <col min="1" max="1" width="9" style="56" customWidth="1"/>
    <col min="2" max="2" width="8.7109375" style="89" customWidth="1"/>
    <col min="3" max="3" width="10.42578125" style="90" bestFit="1" customWidth="1"/>
    <col min="4" max="4" width="9.28515625" style="90" bestFit="1" customWidth="1"/>
    <col min="5" max="6" width="5.7109375" style="90" bestFit="1" customWidth="1"/>
    <col min="7" max="7" width="8.28515625" style="90" bestFit="1" customWidth="1"/>
    <col min="8" max="11" width="9.42578125" style="90" customWidth="1"/>
    <col min="12" max="14" width="7.28515625" style="90" bestFit="1" customWidth="1"/>
    <col min="15" max="15" width="10.140625" style="90" bestFit="1" customWidth="1"/>
    <col min="16" max="16" width="7.28515625" style="90" bestFit="1" customWidth="1"/>
    <col min="17" max="17" width="9.42578125" style="90" bestFit="1" customWidth="1"/>
    <col min="18" max="21" width="7.28515625" style="90" bestFit="1" customWidth="1"/>
    <col min="22" max="22" width="8" style="90" customWidth="1"/>
    <col min="23" max="24" width="5.7109375" style="142" bestFit="1" customWidth="1"/>
    <col min="25" max="25" width="5.7109375" style="142" customWidth="1"/>
    <col min="26" max="26" width="10.140625" style="142" bestFit="1" customWidth="1"/>
    <col min="27" max="27" width="9.42578125" style="90" bestFit="1" customWidth="1"/>
    <col min="28" max="28" width="7.7109375" style="90" bestFit="1" customWidth="1"/>
    <col min="29" max="29" width="10.140625" style="90" bestFit="1" customWidth="1"/>
    <col min="30" max="30" width="9.42578125" style="90" bestFit="1" customWidth="1"/>
    <col min="31" max="31" width="11.28515625" style="90" customWidth="1"/>
    <col min="32" max="33" width="7.28515625" style="90" bestFit="1" customWidth="1"/>
    <col min="34" max="34" width="5.7109375" style="90" bestFit="1" customWidth="1"/>
    <col min="35" max="35" width="7.28515625" style="90" bestFit="1" customWidth="1"/>
    <col min="36" max="36" width="11.28515625" style="90" bestFit="1" customWidth="1"/>
    <col min="37" max="37" width="10.28515625" style="90" bestFit="1" customWidth="1"/>
    <col min="38" max="38" width="12.42578125" style="90" bestFit="1" customWidth="1"/>
    <col min="39" max="40" width="10.42578125" style="90" customWidth="1"/>
    <col min="41" max="41" width="11.28515625" style="90" bestFit="1" customWidth="1"/>
    <col min="42" max="44" width="10" style="90" customWidth="1"/>
    <col min="45" max="45" width="11.28515625" style="90" bestFit="1" customWidth="1"/>
    <col min="46" max="46" width="10" style="90" customWidth="1"/>
    <col min="47" max="47" width="11.28515625" style="90" bestFit="1" customWidth="1"/>
    <col min="48" max="48" width="12.5703125" style="90" customWidth="1"/>
    <col min="49" max="49" width="9.5703125" style="90" customWidth="1"/>
    <col min="50" max="50" width="9.7109375" style="90" customWidth="1"/>
    <col min="51" max="51" width="10.28515625" style="90" bestFit="1" customWidth="1"/>
    <col min="52" max="52" width="9.5703125" style="90" customWidth="1"/>
    <col min="53" max="54" width="12.42578125" style="90" bestFit="1" customWidth="1"/>
    <col min="55" max="55" width="10.28515625" style="90" bestFit="1" customWidth="1"/>
    <col min="56" max="56" width="11.28515625" style="90" bestFit="1" customWidth="1"/>
    <col min="57" max="57" width="13.28515625" style="90" customWidth="1"/>
    <col min="58" max="58" width="10.7109375" style="90" customWidth="1"/>
    <col min="59" max="59" width="9.7109375" style="90" customWidth="1"/>
    <col min="60" max="63" width="11.28515625" style="90" customWidth="1"/>
    <col min="64" max="64" width="10.42578125" style="90" customWidth="1"/>
    <col min="65" max="65" width="7.28515625" style="90" customWidth="1"/>
    <col min="66" max="66" width="11.7109375" style="90" customWidth="1"/>
    <col min="67" max="67" width="11.28515625" style="90" customWidth="1"/>
    <col min="68" max="68" width="15.28515625" style="142" customWidth="1"/>
    <col min="69" max="69" width="10.42578125" style="142" bestFit="1" customWidth="1"/>
    <col min="70" max="70" width="13.28515625" style="142" customWidth="1"/>
    <col min="71" max="72" width="10.42578125" style="89" bestFit="1" customWidth="1"/>
    <col min="73" max="77" width="10.28515625" style="89"/>
    <col min="78" max="78" width="10.28515625" style="89" customWidth="1"/>
    <col min="79" max="16384" width="10.28515625" style="89"/>
  </cols>
  <sheetData>
    <row r="1" spans="1:89" s="159" customFormat="1" ht="51.95">
      <c r="A1" s="179" t="s">
        <v>368</v>
      </c>
      <c r="B1" s="159" t="s">
        <v>369</v>
      </c>
      <c r="C1" s="140" t="s">
        <v>451</v>
      </c>
      <c r="D1" s="140" t="s">
        <v>452</v>
      </c>
      <c r="E1" s="140" t="s">
        <v>453</v>
      </c>
      <c r="F1" s="140" t="s">
        <v>454</v>
      </c>
      <c r="G1" s="141" t="s">
        <v>298</v>
      </c>
      <c r="H1" s="140" t="s">
        <v>455</v>
      </c>
      <c r="I1" s="140" t="s">
        <v>456</v>
      </c>
      <c r="J1" s="140" t="s">
        <v>457</v>
      </c>
      <c r="K1" s="140" t="s">
        <v>458</v>
      </c>
      <c r="L1" s="140" t="s">
        <v>459</v>
      </c>
      <c r="M1" s="140" t="s">
        <v>460</v>
      </c>
      <c r="N1" s="140" t="s">
        <v>461</v>
      </c>
      <c r="O1" s="140" t="s">
        <v>462</v>
      </c>
      <c r="P1" s="140" t="s">
        <v>463</v>
      </c>
      <c r="Q1" s="140" t="s">
        <v>464</v>
      </c>
      <c r="R1" s="140" t="s">
        <v>465</v>
      </c>
      <c r="S1" s="140" t="s">
        <v>466</v>
      </c>
      <c r="T1" s="140" t="s">
        <v>467</v>
      </c>
      <c r="U1" s="140" t="s">
        <v>468</v>
      </c>
      <c r="V1" s="140" t="s">
        <v>469</v>
      </c>
      <c r="W1" s="140" t="s">
        <v>470</v>
      </c>
      <c r="X1" s="140" t="s">
        <v>471</v>
      </c>
      <c r="Y1" s="141" t="s">
        <v>318</v>
      </c>
      <c r="Z1" s="140" t="s">
        <v>472</v>
      </c>
      <c r="AA1" s="140" t="s">
        <v>473</v>
      </c>
      <c r="AB1" s="140" t="s">
        <v>474</v>
      </c>
      <c r="AC1" s="140" t="s">
        <v>475</v>
      </c>
      <c r="AD1" s="140" t="s">
        <v>476</v>
      </c>
      <c r="AE1" s="140" t="s">
        <v>477</v>
      </c>
      <c r="AF1" s="160" t="s">
        <v>478</v>
      </c>
      <c r="AG1" s="160" t="s">
        <v>479</v>
      </c>
      <c r="AH1" s="140" t="s">
        <v>446</v>
      </c>
      <c r="AI1" s="141" t="s">
        <v>480</v>
      </c>
      <c r="AJ1" s="141" t="s">
        <v>409</v>
      </c>
      <c r="AK1" s="141" t="s">
        <v>481</v>
      </c>
      <c r="AL1" s="143" t="s">
        <v>411</v>
      </c>
      <c r="AM1" s="143" t="s">
        <v>482</v>
      </c>
      <c r="AN1" s="143" t="s">
        <v>483</v>
      </c>
      <c r="AO1" s="143" t="s">
        <v>287</v>
      </c>
      <c r="AP1" s="143" t="s">
        <v>288</v>
      </c>
      <c r="AQ1" s="143" t="s">
        <v>289</v>
      </c>
      <c r="AR1" s="143" t="s">
        <v>290</v>
      </c>
      <c r="AS1" s="143" t="s">
        <v>291</v>
      </c>
      <c r="AT1" s="143" t="s">
        <v>484</v>
      </c>
      <c r="AU1" s="141" t="s">
        <v>485</v>
      </c>
      <c r="AV1" s="141" t="s">
        <v>486</v>
      </c>
      <c r="AW1" s="143" t="s">
        <v>487</v>
      </c>
      <c r="AX1" s="141" t="s">
        <v>488</v>
      </c>
      <c r="AY1" s="140" t="s">
        <v>489</v>
      </c>
      <c r="AZ1" s="140" t="s">
        <v>490</v>
      </c>
      <c r="BA1" s="141" t="s">
        <v>491</v>
      </c>
      <c r="BB1" s="140" t="s">
        <v>492</v>
      </c>
      <c r="BC1" s="140" t="s">
        <v>493</v>
      </c>
      <c r="BD1" s="143" t="s">
        <v>494</v>
      </c>
      <c r="BE1" s="141" t="s">
        <v>495</v>
      </c>
      <c r="BF1" s="140" t="s">
        <v>496</v>
      </c>
      <c r="BG1" s="140" t="s">
        <v>497</v>
      </c>
      <c r="BH1" s="161" t="s">
        <v>498</v>
      </c>
      <c r="BI1" s="161" t="s">
        <v>499</v>
      </c>
      <c r="BJ1" s="162" t="s">
        <v>500</v>
      </c>
      <c r="BK1" s="140" t="s">
        <v>328</v>
      </c>
      <c r="BL1" s="140" t="s">
        <v>501</v>
      </c>
      <c r="BM1" s="140" t="s">
        <v>331</v>
      </c>
      <c r="BN1" s="140" t="s">
        <v>431</v>
      </c>
      <c r="BO1" s="140" t="s">
        <v>332</v>
      </c>
      <c r="BP1" s="140" t="s">
        <v>432</v>
      </c>
      <c r="BQ1" s="140" t="s">
        <v>335</v>
      </c>
      <c r="BR1" s="140" t="s">
        <v>433</v>
      </c>
      <c r="BS1" s="140" t="s">
        <v>502</v>
      </c>
      <c r="BT1" s="140" t="s">
        <v>503</v>
      </c>
      <c r="BU1" s="140" t="s">
        <v>504</v>
      </c>
      <c r="BV1" s="159" t="s">
        <v>505</v>
      </c>
      <c r="BW1" s="159" t="s">
        <v>506</v>
      </c>
      <c r="BX1" s="159" t="s">
        <v>507</v>
      </c>
      <c r="BY1" s="159" t="s">
        <v>508</v>
      </c>
      <c r="BZ1" s="159" t="s">
        <v>509</v>
      </c>
      <c r="CA1" s="159" t="s">
        <v>510</v>
      </c>
      <c r="CB1" s="159" t="s">
        <v>511</v>
      </c>
      <c r="CC1" s="159" t="s">
        <v>512</v>
      </c>
      <c r="CD1" s="182" t="s">
        <v>513</v>
      </c>
      <c r="CE1" s="230" t="s">
        <v>292</v>
      </c>
      <c r="CF1" s="159" t="s">
        <v>446</v>
      </c>
      <c r="CG1" s="159" t="s">
        <v>447</v>
      </c>
      <c r="CH1" s="159" t="s">
        <v>448</v>
      </c>
      <c r="CI1" s="159" t="s">
        <v>449</v>
      </c>
      <c r="CJ1" s="159" t="s">
        <v>450</v>
      </c>
    </row>
    <row r="2" spans="1:89">
      <c r="A2" s="56" t="s">
        <v>347</v>
      </c>
      <c r="B2" s="64" t="s">
        <v>348</v>
      </c>
      <c r="C2" s="90">
        <v>37337.5</v>
      </c>
      <c r="D2" s="90">
        <v>0</v>
      </c>
      <c r="E2" s="90">
        <v>0</v>
      </c>
      <c r="F2" s="90">
        <v>0</v>
      </c>
      <c r="G2" s="90">
        <v>792</v>
      </c>
      <c r="H2" s="90">
        <v>0</v>
      </c>
      <c r="I2" s="90">
        <v>0</v>
      </c>
      <c r="J2" s="90">
        <v>0</v>
      </c>
      <c r="K2" s="90">
        <v>0</v>
      </c>
      <c r="L2" s="90">
        <v>0</v>
      </c>
      <c r="M2" s="90">
        <v>0</v>
      </c>
      <c r="N2" s="90">
        <v>0</v>
      </c>
      <c r="O2" s="90">
        <v>1224</v>
      </c>
      <c r="P2" s="90">
        <v>0</v>
      </c>
      <c r="Q2" s="90">
        <v>0</v>
      </c>
      <c r="R2" s="90">
        <v>0</v>
      </c>
      <c r="S2" s="90">
        <v>0</v>
      </c>
      <c r="T2" s="90">
        <v>0</v>
      </c>
      <c r="U2" s="90">
        <v>0</v>
      </c>
      <c r="V2" s="90">
        <v>0</v>
      </c>
      <c r="W2" s="142">
        <v>0</v>
      </c>
      <c r="X2" s="142">
        <v>0</v>
      </c>
      <c r="Y2" s="142">
        <v>0</v>
      </c>
      <c r="Z2" s="142">
        <v>2200.08</v>
      </c>
      <c r="AA2" s="90">
        <v>673.32</v>
      </c>
      <c r="AB2" s="90">
        <v>87.32</v>
      </c>
      <c r="AC2" s="90">
        <v>4365.8999999999996</v>
      </c>
      <c r="AD2" s="90">
        <v>0</v>
      </c>
      <c r="AE2" s="90">
        <v>0</v>
      </c>
      <c r="AF2" s="90">
        <v>0</v>
      </c>
      <c r="AG2" s="90">
        <v>0</v>
      </c>
      <c r="AH2" s="90">
        <v>0</v>
      </c>
      <c r="AI2" s="90">
        <v>0</v>
      </c>
      <c r="AJ2" s="90">
        <v>39353.5</v>
      </c>
      <c r="AK2" s="90">
        <v>5000</v>
      </c>
      <c r="AL2" s="90">
        <v>201395.76744558991</v>
      </c>
      <c r="AM2" s="90">
        <v>37151.5</v>
      </c>
      <c r="AN2" s="90">
        <v>25000</v>
      </c>
      <c r="AO2" s="90">
        <v>20000</v>
      </c>
      <c r="AP2" s="90">
        <v>0</v>
      </c>
      <c r="AQ2" s="90">
        <v>5000</v>
      </c>
      <c r="AR2" s="90">
        <v>0</v>
      </c>
      <c r="AS2" s="90">
        <v>15000</v>
      </c>
      <c r="AT2" s="90">
        <v>0</v>
      </c>
      <c r="AU2" s="90">
        <v>65000</v>
      </c>
      <c r="AV2" s="142">
        <v>99244.26744558991</v>
      </c>
      <c r="AW2" s="90">
        <v>7404.4267445589921</v>
      </c>
      <c r="AX2" s="90">
        <v>1902.69</v>
      </c>
      <c r="AY2" s="90">
        <v>10</v>
      </c>
      <c r="AZ2" s="142">
        <v>10</v>
      </c>
      <c r="BA2" s="142">
        <v>156849.84070103092</v>
      </c>
      <c r="BB2" s="142">
        <v>164255.37855670101</v>
      </c>
      <c r="BC2" s="142">
        <v>39364.611111111102</v>
      </c>
      <c r="BD2" s="142">
        <v>7405.5378556701016</v>
      </c>
      <c r="BE2" s="142">
        <v>1.1100000000000001</v>
      </c>
      <c r="BF2" s="90">
        <v>0</v>
      </c>
      <c r="BG2" s="90">
        <v>0</v>
      </c>
      <c r="BH2" s="90">
        <v>1215.93</v>
      </c>
      <c r="BI2" s="59">
        <v>0</v>
      </c>
      <c r="BJ2" s="59">
        <v>0</v>
      </c>
      <c r="BK2" s="59">
        <v>0</v>
      </c>
      <c r="BL2" s="59">
        <v>0</v>
      </c>
      <c r="BM2" s="59">
        <v>0</v>
      </c>
      <c r="BN2" s="59">
        <v>0</v>
      </c>
      <c r="BO2" s="59">
        <v>0</v>
      </c>
      <c r="BP2" s="144">
        <v>0</v>
      </c>
      <c r="BQ2" s="142">
        <v>0</v>
      </c>
      <c r="BR2" s="142">
        <v>0</v>
      </c>
      <c r="BS2" s="90">
        <v>40579.43</v>
      </c>
      <c r="BT2" s="90">
        <v>9229.31</v>
      </c>
      <c r="BU2" s="90">
        <v>31350.12</v>
      </c>
      <c r="BV2" s="90">
        <v>4675.17</v>
      </c>
      <c r="BW2" s="90">
        <v>1683.3</v>
      </c>
      <c r="BX2" s="90">
        <v>349.27</v>
      </c>
      <c r="BY2" s="90">
        <v>168.33</v>
      </c>
      <c r="BZ2" s="90">
        <v>206.84</v>
      </c>
      <c r="CA2" s="184">
        <v>56</v>
      </c>
      <c r="CB2" s="184">
        <v>4365.8999999999996</v>
      </c>
      <c r="CC2" s="184">
        <v>0</v>
      </c>
      <c r="CD2" s="184">
        <v>7405.54</v>
      </c>
      <c r="CE2" s="184">
        <v>0</v>
      </c>
      <c r="CF2" s="184">
        <v>0</v>
      </c>
      <c r="CG2" s="184">
        <v>0</v>
      </c>
      <c r="CH2" s="184">
        <v>0</v>
      </c>
      <c r="CI2" s="184">
        <v>450</v>
      </c>
      <c r="CJ2" s="184">
        <v>30.47</v>
      </c>
      <c r="CK2" s="250">
        <v>0</v>
      </c>
    </row>
    <row r="3" spans="1:89">
      <c r="B3" s="64"/>
      <c r="AV3" s="142"/>
      <c r="AZ3" s="142"/>
      <c r="BA3" s="142"/>
      <c r="BB3" s="142"/>
      <c r="BC3" s="142"/>
      <c r="BD3" s="142"/>
      <c r="BE3" s="142"/>
      <c r="BI3" s="59"/>
      <c r="BJ3" s="59"/>
      <c r="BK3" s="59"/>
      <c r="BL3" s="59"/>
      <c r="BM3" s="59"/>
      <c r="BN3" s="59"/>
      <c r="BO3" s="59"/>
      <c r="BP3" s="144"/>
      <c r="BS3" s="90"/>
      <c r="BT3" s="90"/>
      <c r="BU3" s="90"/>
      <c r="BV3" s="90"/>
      <c r="BW3" s="90"/>
      <c r="BX3" s="90"/>
      <c r="BY3" s="90"/>
      <c r="BZ3" s="90"/>
      <c r="CA3" s="184"/>
      <c r="CB3" s="184"/>
      <c r="CC3" s="184"/>
      <c r="CD3" s="184"/>
      <c r="CE3" s="184"/>
      <c r="CF3" s="184"/>
      <c r="CG3" s="184"/>
      <c r="CH3" s="184"/>
      <c r="CI3" s="184"/>
      <c r="CJ3" s="184"/>
    </row>
    <row r="4" spans="1:89">
      <c r="B4" s="64"/>
      <c r="AV4" s="142"/>
      <c r="AZ4" s="142"/>
      <c r="BA4" s="142"/>
      <c r="BB4" s="142"/>
      <c r="BC4" s="142"/>
      <c r="BD4" s="142"/>
      <c r="BE4" s="142"/>
      <c r="BI4" s="59"/>
      <c r="BJ4" s="59"/>
      <c r="BK4" s="59"/>
      <c r="BL4" s="59"/>
      <c r="BM4" s="59"/>
      <c r="BN4" s="59"/>
      <c r="BO4" s="59"/>
      <c r="BP4" s="144"/>
      <c r="BS4" s="90"/>
      <c r="BT4" s="90"/>
      <c r="BU4" s="90"/>
      <c r="BV4" s="90"/>
      <c r="BW4" s="90"/>
      <c r="BX4" s="90"/>
      <c r="BY4" s="90"/>
      <c r="BZ4" s="90"/>
      <c r="CA4" s="184"/>
      <c r="CB4" s="184"/>
      <c r="CC4" s="184"/>
      <c r="CD4" s="184"/>
      <c r="CE4" s="184"/>
      <c r="CF4" s="184"/>
      <c r="CG4" s="184"/>
      <c r="CH4" s="184"/>
      <c r="CI4" s="184"/>
      <c r="CJ4" s="184"/>
    </row>
    <row r="5" spans="1:89">
      <c r="B5" s="64"/>
      <c r="AV5" s="142"/>
      <c r="AZ5" s="142"/>
      <c r="BA5" s="142"/>
      <c r="BB5" s="142"/>
      <c r="BC5" s="142"/>
      <c r="BD5" s="142"/>
      <c r="BE5" s="142"/>
      <c r="BI5" s="59"/>
      <c r="BJ5" s="59"/>
      <c r="BK5" s="59"/>
      <c r="BL5" s="59"/>
      <c r="BM5" s="59"/>
      <c r="BN5" s="59"/>
      <c r="BO5" s="59"/>
      <c r="BP5" s="144"/>
      <c r="BS5" s="90"/>
      <c r="BT5" s="90"/>
      <c r="BU5" s="90"/>
      <c r="BV5" s="90"/>
      <c r="BW5" s="90"/>
      <c r="BX5" s="90"/>
      <c r="BY5" s="90"/>
      <c r="BZ5" s="90"/>
      <c r="CA5" s="184"/>
      <c r="CB5" s="184"/>
      <c r="CC5" s="184"/>
      <c r="CD5" s="184"/>
      <c r="CE5" s="184"/>
      <c r="CF5" s="184"/>
      <c r="CG5" s="184"/>
      <c r="CH5" s="184"/>
      <c r="CI5" s="184"/>
      <c r="CJ5" s="184"/>
    </row>
    <row r="6" spans="1:89">
      <c r="BI6" s="59"/>
      <c r="BJ6" s="59"/>
      <c r="BK6" s="59"/>
      <c r="BL6" s="59"/>
      <c r="BM6" s="59"/>
      <c r="BN6" s="59"/>
      <c r="BO6" s="59"/>
      <c r="BP6" s="144"/>
      <c r="BS6" s="90"/>
      <c r="BT6" s="90"/>
      <c r="BU6" s="90"/>
      <c r="BV6" s="90"/>
      <c r="BW6" s="90"/>
      <c r="BX6" s="90"/>
      <c r="BY6" s="90"/>
      <c r="BZ6" s="90"/>
      <c r="CA6" s="184"/>
      <c r="CB6" s="184"/>
      <c r="CC6" s="184"/>
      <c r="CD6" s="184"/>
      <c r="CE6" s="184"/>
      <c r="CF6" s="184"/>
      <c r="CG6" s="184"/>
      <c r="CH6" s="184"/>
      <c r="CI6" s="184"/>
      <c r="CJ6" s="184"/>
    </row>
    <row r="7" spans="1:89">
      <c r="BI7" s="59"/>
      <c r="BJ7" s="59"/>
      <c r="BK7" s="59"/>
      <c r="BL7" s="59"/>
      <c r="BM7" s="59"/>
      <c r="BN7" s="59"/>
      <c r="BO7" s="59"/>
      <c r="BP7" s="144"/>
      <c r="BS7" s="90"/>
      <c r="BT7" s="90"/>
      <c r="BU7" s="90"/>
      <c r="BV7" s="90"/>
      <c r="BW7" s="90"/>
      <c r="BX7" s="90"/>
      <c r="BY7" s="90"/>
      <c r="BZ7" s="90"/>
      <c r="CA7" s="184"/>
      <c r="CB7" s="184"/>
      <c r="CC7" s="184"/>
      <c r="CD7" s="184"/>
      <c r="CE7" s="184"/>
      <c r="CF7" s="184"/>
      <c r="CG7" s="184"/>
      <c r="CH7" s="184"/>
      <c r="CI7" s="184"/>
      <c r="CJ7" s="184"/>
    </row>
    <row r="8" spans="1:89">
      <c r="BI8" s="59"/>
      <c r="BJ8" s="59"/>
      <c r="BK8" s="59"/>
      <c r="BL8" s="59"/>
      <c r="BM8" s="59"/>
      <c r="BN8" s="59"/>
      <c r="BO8" s="59"/>
      <c r="BP8" s="144"/>
      <c r="BS8" s="90"/>
      <c r="BT8" s="90"/>
      <c r="BU8" s="90"/>
      <c r="BV8" s="90"/>
      <c r="BW8" s="90"/>
      <c r="BX8" s="90"/>
      <c r="BY8" s="90"/>
      <c r="BZ8" s="90"/>
      <c r="CA8" s="184"/>
      <c r="CB8" s="184"/>
      <c r="CC8" s="184"/>
      <c r="CD8" s="184"/>
      <c r="CE8" s="184"/>
      <c r="CF8" s="184"/>
      <c r="CG8" s="184"/>
      <c r="CH8" s="184"/>
      <c r="CI8" s="184"/>
      <c r="CJ8" s="184"/>
    </row>
    <row r="9" spans="1:89">
      <c r="BI9" s="59"/>
      <c r="BJ9" s="59"/>
      <c r="BK9" s="59"/>
      <c r="BL9" s="59"/>
      <c r="BM9" s="59"/>
      <c r="BN9" s="59"/>
      <c r="BO9" s="59"/>
      <c r="BP9" s="144"/>
      <c r="BS9" s="90"/>
      <c r="BT9" s="90"/>
      <c r="BU9" s="90"/>
      <c r="BV9" s="90"/>
      <c r="BW9" s="90"/>
      <c r="BX9" s="90"/>
      <c r="BY9" s="90"/>
      <c r="BZ9" s="90"/>
      <c r="CA9" s="184"/>
      <c r="CB9" s="184"/>
      <c r="CC9" s="184"/>
      <c r="CD9" s="184"/>
      <c r="CE9" s="184"/>
      <c r="CF9" s="184"/>
      <c r="CG9" s="184"/>
      <c r="CH9" s="184"/>
      <c r="CI9" s="184"/>
      <c r="CJ9" s="184"/>
    </row>
    <row r="10" spans="1:89">
      <c r="BI10" s="59"/>
      <c r="BJ10" s="59"/>
      <c r="BK10" s="59"/>
      <c r="BL10" s="59"/>
      <c r="BM10" s="59"/>
      <c r="BN10" s="59"/>
      <c r="BO10" s="59"/>
      <c r="BP10" s="144"/>
      <c r="BS10" s="90"/>
      <c r="BT10" s="90"/>
      <c r="BU10" s="90"/>
      <c r="BV10" s="90"/>
      <c r="BW10" s="90"/>
      <c r="BX10" s="90"/>
      <c r="BY10" s="90"/>
      <c r="BZ10" s="90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</row>
    <row r="11" spans="1:89">
      <c r="BI11" s="59"/>
      <c r="BJ11" s="59"/>
      <c r="BK11" s="59"/>
      <c r="BL11" s="59"/>
      <c r="BM11" s="59"/>
      <c r="BN11" s="59"/>
      <c r="BO11" s="59"/>
      <c r="BP11" s="144"/>
      <c r="BS11" s="90"/>
      <c r="BT11" s="90"/>
      <c r="BU11" s="90"/>
      <c r="BV11" s="90"/>
      <c r="BW11" s="90"/>
      <c r="BX11" s="90"/>
      <c r="BY11" s="90"/>
      <c r="BZ11" s="90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</row>
    <row r="12" spans="1:89">
      <c r="BI12" s="59"/>
      <c r="BJ12" s="59"/>
      <c r="BK12" s="59"/>
      <c r="BL12" s="59"/>
      <c r="BM12" s="59"/>
      <c r="BN12" s="59"/>
      <c r="BO12" s="59"/>
      <c r="BP12" s="144"/>
      <c r="BS12" s="90"/>
      <c r="BT12" s="90"/>
      <c r="BU12" s="90"/>
      <c r="BV12" s="90"/>
      <c r="BW12" s="90"/>
      <c r="BX12" s="90"/>
      <c r="BY12" s="90"/>
      <c r="BZ12" s="90"/>
      <c r="CA12" s="184"/>
      <c r="CB12" s="184"/>
      <c r="CC12" s="184"/>
      <c r="CD12" s="184"/>
      <c r="CE12" s="184"/>
      <c r="CF12" s="184"/>
      <c r="CG12" s="184"/>
      <c r="CH12" s="184"/>
      <c r="CI12" s="184"/>
      <c r="CJ12" s="184"/>
    </row>
    <row r="13" spans="1:89">
      <c r="BI13" s="59"/>
      <c r="BJ13" s="59"/>
      <c r="BK13" s="59"/>
      <c r="BL13" s="59"/>
      <c r="BM13" s="59"/>
      <c r="BN13" s="59"/>
      <c r="BO13" s="59"/>
      <c r="BP13" s="144"/>
      <c r="BS13" s="90"/>
      <c r="BT13" s="90"/>
      <c r="BU13" s="90"/>
      <c r="BV13" s="90"/>
      <c r="BW13" s="90"/>
      <c r="BX13" s="90"/>
      <c r="BY13" s="90"/>
      <c r="BZ13" s="90"/>
      <c r="CA13" s="184"/>
      <c r="CB13" s="184"/>
      <c r="CC13" s="184"/>
      <c r="CD13" s="184"/>
      <c r="CE13" s="184"/>
      <c r="CF13" s="184"/>
      <c r="CG13" s="184"/>
      <c r="CH13" s="184"/>
      <c r="CI13" s="184"/>
      <c r="CJ13" s="184"/>
    </row>
    <row r="14" spans="1:89">
      <c r="BI14" s="59"/>
      <c r="BJ14" s="59"/>
      <c r="BK14" s="59"/>
      <c r="BL14" s="59"/>
      <c r="BM14" s="59"/>
      <c r="BN14" s="59"/>
      <c r="BO14" s="59"/>
      <c r="BP14" s="144"/>
      <c r="BS14" s="90"/>
      <c r="BT14" s="90"/>
      <c r="BU14" s="90"/>
      <c r="BV14" s="90"/>
      <c r="BW14" s="90"/>
      <c r="BX14" s="90"/>
      <c r="BY14" s="90"/>
      <c r="BZ14" s="90"/>
      <c r="CA14" s="184"/>
      <c r="CB14" s="184"/>
      <c r="CC14" s="184"/>
      <c r="CD14" s="184"/>
      <c r="CE14" s="184"/>
      <c r="CF14" s="184"/>
      <c r="CG14" s="184"/>
      <c r="CH14" s="184"/>
      <c r="CI14" s="184"/>
      <c r="CJ14" s="184"/>
    </row>
    <row r="15" spans="1:89">
      <c r="BI15" s="59"/>
      <c r="BJ15" s="59"/>
      <c r="BK15" s="59"/>
      <c r="BL15" s="59"/>
      <c r="BM15" s="59"/>
      <c r="BN15" s="59"/>
      <c r="BO15" s="59"/>
      <c r="BP15" s="144"/>
      <c r="BS15" s="90"/>
      <c r="BT15" s="90"/>
      <c r="BU15" s="90"/>
      <c r="BV15" s="90"/>
      <c r="BW15" s="90"/>
      <c r="BX15" s="90"/>
      <c r="BY15" s="90"/>
      <c r="BZ15" s="90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</row>
    <row r="16" spans="1:89">
      <c r="BI16" s="59"/>
      <c r="BJ16" s="59"/>
      <c r="BK16" s="59"/>
      <c r="BL16" s="59"/>
      <c r="BM16" s="59"/>
      <c r="BN16" s="59"/>
      <c r="BO16" s="59"/>
      <c r="BP16" s="144"/>
      <c r="BS16" s="90"/>
      <c r="BT16" s="90"/>
      <c r="BU16" s="90"/>
      <c r="BV16" s="90"/>
      <c r="BW16" s="90"/>
      <c r="BX16" s="90"/>
      <c r="BY16" s="90"/>
      <c r="BZ16" s="90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</row>
    <row r="17" spans="61:88">
      <c r="BI17" s="59"/>
      <c r="BJ17" s="59"/>
      <c r="BK17" s="59"/>
      <c r="BL17" s="59"/>
      <c r="BM17" s="59"/>
      <c r="BN17" s="59"/>
      <c r="BO17" s="59"/>
      <c r="BP17" s="144"/>
      <c r="BS17" s="90"/>
      <c r="BT17" s="90"/>
      <c r="BU17" s="90"/>
      <c r="BV17" s="90"/>
      <c r="BW17" s="90"/>
      <c r="BX17" s="90"/>
      <c r="BY17" s="90"/>
      <c r="BZ17" s="90"/>
      <c r="CA17" s="184"/>
      <c r="CB17" s="184"/>
      <c r="CC17" s="184"/>
      <c r="CD17" s="184"/>
      <c r="CE17" s="184"/>
      <c r="CF17" s="184"/>
      <c r="CG17" s="184"/>
      <c r="CH17" s="184"/>
      <c r="CI17" s="184"/>
      <c r="CJ17" s="184"/>
    </row>
    <row r="18" spans="61:88">
      <c r="BI18" s="59"/>
      <c r="BJ18" s="59"/>
      <c r="BK18" s="59"/>
      <c r="BL18" s="59"/>
      <c r="BM18" s="59"/>
      <c r="BN18" s="59"/>
      <c r="BO18" s="59"/>
      <c r="BP18" s="144"/>
      <c r="BS18" s="90"/>
      <c r="BT18" s="90"/>
      <c r="BU18" s="90"/>
      <c r="BV18" s="90"/>
      <c r="BW18" s="90"/>
      <c r="BX18" s="90"/>
      <c r="BY18" s="90"/>
      <c r="BZ18" s="90"/>
    </row>
    <row r="19" spans="61:88">
      <c r="BI19" s="59"/>
      <c r="BJ19" s="59"/>
      <c r="BK19" s="59"/>
      <c r="BL19" s="59"/>
      <c r="BM19" s="59"/>
      <c r="BN19" s="59"/>
      <c r="BO19" s="59"/>
      <c r="BP19" s="144"/>
      <c r="BS19" s="90"/>
      <c r="BT19" s="90"/>
      <c r="BU19" s="90"/>
      <c r="BV19" s="90"/>
      <c r="BW19" s="90"/>
      <c r="BX19" s="90"/>
      <c r="BY19" s="90"/>
      <c r="BZ19" s="90"/>
    </row>
    <row r="20" spans="61:88">
      <c r="BI20" s="59"/>
      <c r="BJ20" s="59"/>
      <c r="BK20" s="59"/>
      <c r="BL20" s="59"/>
      <c r="BM20" s="59"/>
      <c r="BN20" s="59"/>
      <c r="BO20" s="59"/>
      <c r="BP20" s="144"/>
      <c r="BS20" s="90"/>
      <c r="BT20" s="90"/>
      <c r="BU20" s="90"/>
      <c r="BV20" s="90"/>
      <c r="BW20" s="90"/>
      <c r="BX20" s="90"/>
      <c r="BY20" s="90"/>
      <c r="BZ20" s="90"/>
    </row>
    <row r="21" spans="61:88">
      <c r="BI21" s="59"/>
      <c r="BJ21" s="59"/>
      <c r="BK21" s="59"/>
      <c r="BL21" s="59"/>
      <c r="BM21" s="59"/>
      <c r="BN21" s="59"/>
      <c r="BO21" s="59"/>
      <c r="BP21" s="144"/>
      <c r="BS21" s="90"/>
      <c r="BT21" s="90"/>
      <c r="BU21" s="90"/>
      <c r="BV21" s="90"/>
      <c r="BW21" s="90"/>
      <c r="BX21" s="90"/>
      <c r="BY21" s="90"/>
      <c r="BZ21" s="90"/>
    </row>
    <row r="22" spans="61:88">
      <c r="BI22" s="59"/>
      <c r="BJ22" s="59"/>
      <c r="BK22" s="59"/>
      <c r="BL22" s="59"/>
      <c r="BM22" s="59"/>
      <c r="BN22" s="59"/>
      <c r="BO22" s="59"/>
      <c r="BP22" s="144"/>
      <c r="BS22" s="90"/>
      <c r="BT22" s="90"/>
      <c r="BU22" s="90"/>
      <c r="BV22" s="90"/>
      <c r="BW22" s="90"/>
      <c r="BX22" s="90"/>
      <c r="BY22" s="90"/>
      <c r="BZ22" s="90"/>
    </row>
    <row r="23" spans="61:88">
      <c r="BI23" s="59"/>
      <c r="BJ23" s="59"/>
      <c r="BK23" s="59"/>
      <c r="BL23" s="59"/>
      <c r="BM23" s="59"/>
      <c r="BN23" s="59"/>
      <c r="BO23" s="59"/>
      <c r="BP23" s="144"/>
      <c r="BS23" s="90"/>
      <c r="BT23" s="90"/>
      <c r="BU23" s="90"/>
      <c r="BV23" s="90"/>
      <c r="BW23" s="90"/>
      <c r="BX23" s="90"/>
      <c r="BY23" s="90"/>
      <c r="BZ23" s="90"/>
    </row>
    <row r="24" spans="61:88">
      <c r="BI24" s="59"/>
      <c r="BJ24" s="59"/>
      <c r="BK24" s="59"/>
      <c r="BL24" s="59"/>
      <c r="BM24" s="59"/>
      <c r="BN24" s="59"/>
      <c r="BO24" s="59"/>
      <c r="BP24" s="144"/>
      <c r="BS24" s="90"/>
      <c r="BT24" s="90"/>
      <c r="BU24" s="90"/>
      <c r="BV24" s="90"/>
      <c r="BW24" s="90"/>
      <c r="BX24" s="90"/>
      <c r="BY24" s="90"/>
      <c r="BZ24" s="90"/>
    </row>
    <row r="25" spans="61:88">
      <c r="BI25" s="59"/>
      <c r="BJ25" s="59"/>
      <c r="BK25" s="59"/>
      <c r="BL25" s="59"/>
      <c r="BM25" s="59"/>
      <c r="BN25" s="59"/>
      <c r="BO25" s="59"/>
      <c r="BP25" s="144"/>
      <c r="BS25" s="90"/>
      <c r="BT25" s="90"/>
      <c r="BU25" s="90"/>
      <c r="BV25" s="90"/>
      <c r="BW25" s="90"/>
      <c r="BX25" s="90"/>
      <c r="BY25" s="90"/>
      <c r="BZ25" s="90"/>
    </row>
    <row r="26" spans="61:88">
      <c r="BI26" s="59"/>
      <c r="BJ26" s="59"/>
      <c r="BK26" s="59"/>
      <c r="BL26" s="59"/>
      <c r="BM26" s="59"/>
      <c r="BN26" s="59"/>
      <c r="BO26" s="59"/>
      <c r="BP26" s="144"/>
      <c r="BS26" s="90"/>
      <c r="BT26" s="90"/>
      <c r="BU26" s="90"/>
      <c r="BV26" s="90"/>
      <c r="BW26" s="90"/>
      <c r="BX26" s="90"/>
      <c r="BY26" s="90"/>
      <c r="BZ26" s="90"/>
    </row>
    <row r="27" spans="61:88">
      <c r="BI27" s="59"/>
      <c r="BJ27" s="59"/>
      <c r="BK27" s="59"/>
      <c r="BL27" s="59"/>
      <c r="BM27" s="59"/>
      <c r="BN27" s="59"/>
      <c r="BO27" s="59"/>
      <c r="BP27" s="144"/>
      <c r="BS27" s="90"/>
      <c r="BT27" s="90"/>
      <c r="BU27" s="90"/>
      <c r="BV27" s="90"/>
      <c r="BW27" s="90"/>
      <c r="BX27" s="90"/>
      <c r="BY27" s="90"/>
      <c r="BZ27" s="90"/>
    </row>
    <row r="28" spans="61:88">
      <c r="BI28" s="59"/>
      <c r="BJ28" s="59"/>
      <c r="BK28" s="59"/>
      <c r="BL28" s="59"/>
      <c r="BM28" s="59"/>
      <c r="BN28" s="59"/>
      <c r="BO28" s="59"/>
      <c r="BP28" s="144"/>
      <c r="BS28" s="90"/>
      <c r="BT28" s="90"/>
      <c r="BU28" s="90"/>
      <c r="BV28" s="90"/>
      <c r="BW28" s="90"/>
      <c r="BX28" s="90"/>
      <c r="BY28" s="90"/>
      <c r="BZ28" s="90"/>
    </row>
    <row r="29" spans="61:88">
      <c r="BI29" s="59"/>
      <c r="BJ29" s="59"/>
      <c r="BK29" s="59"/>
      <c r="BL29" s="59"/>
      <c r="BM29" s="59"/>
      <c r="BN29" s="59"/>
      <c r="BO29" s="59"/>
      <c r="BP29" s="144"/>
      <c r="BS29" s="90"/>
      <c r="BT29" s="90"/>
      <c r="BU29" s="90"/>
      <c r="BV29" s="90"/>
      <c r="BW29" s="90"/>
      <c r="BX29" s="90"/>
      <c r="BY29" s="90"/>
      <c r="BZ29" s="90"/>
    </row>
    <row r="30" spans="61:88">
      <c r="BI30" s="59"/>
      <c r="BJ30" s="59"/>
      <c r="BK30" s="59"/>
      <c r="BL30" s="59"/>
      <c r="BM30" s="59"/>
      <c r="BN30" s="59"/>
      <c r="BO30" s="59"/>
      <c r="BP30" s="144"/>
      <c r="BS30" s="90"/>
      <c r="BT30" s="90"/>
      <c r="BU30" s="90"/>
      <c r="BV30" s="90"/>
      <c r="BW30" s="90"/>
      <c r="BX30" s="90"/>
      <c r="BY30" s="90"/>
      <c r="BZ30" s="90"/>
    </row>
    <row r="31" spans="61:88">
      <c r="BI31" s="59"/>
      <c r="BJ31" s="59"/>
      <c r="BK31" s="59"/>
      <c r="BL31" s="59"/>
      <c r="BM31" s="59"/>
      <c r="BN31" s="59"/>
      <c r="BO31" s="59"/>
      <c r="BP31" s="144"/>
      <c r="BS31" s="90"/>
      <c r="BT31" s="90"/>
      <c r="BU31" s="90"/>
      <c r="BV31" s="90"/>
      <c r="BW31" s="90"/>
      <c r="BX31" s="90"/>
      <c r="BY31" s="90"/>
      <c r="BZ31" s="90"/>
    </row>
    <row r="32" spans="61:88">
      <c r="BI32" s="59"/>
      <c r="BJ32" s="59"/>
      <c r="BK32" s="59"/>
      <c r="BL32" s="59"/>
      <c r="BM32" s="59"/>
      <c r="BN32" s="59"/>
      <c r="BO32" s="59"/>
      <c r="BP32" s="144"/>
      <c r="BS32" s="90"/>
      <c r="BT32" s="90"/>
      <c r="BU32" s="90"/>
      <c r="BV32" s="90"/>
      <c r="BW32" s="90"/>
      <c r="BX32" s="90"/>
      <c r="BY32" s="90"/>
      <c r="BZ32" s="90"/>
    </row>
    <row r="33" spans="61:78">
      <c r="BI33" s="59"/>
      <c r="BJ33" s="59"/>
      <c r="BK33" s="59"/>
      <c r="BL33" s="59"/>
      <c r="BM33" s="59"/>
      <c r="BN33" s="59"/>
      <c r="BO33" s="59"/>
      <c r="BP33" s="144"/>
      <c r="BS33" s="90"/>
      <c r="BT33" s="90"/>
      <c r="BU33" s="90"/>
      <c r="BV33" s="90"/>
      <c r="BW33" s="90"/>
      <c r="BX33" s="90"/>
      <c r="BY33" s="90"/>
      <c r="BZ33" s="90"/>
    </row>
    <row r="34" spans="61:78">
      <c r="BI34" s="59"/>
      <c r="BJ34" s="59"/>
      <c r="BK34" s="59"/>
      <c r="BL34" s="59"/>
      <c r="BM34" s="59"/>
      <c r="BN34" s="59"/>
      <c r="BO34" s="59"/>
      <c r="BP34" s="144"/>
      <c r="BS34" s="90"/>
      <c r="BT34" s="90"/>
      <c r="BU34" s="90"/>
      <c r="BV34" s="90"/>
      <c r="BW34" s="90"/>
      <c r="BX34" s="90"/>
      <c r="BY34" s="90"/>
      <c r="BZ34" s="90"/>
    </row>
    <row r="35" spans="61:78">
      <c r="BI35" s="59"/>
      <c r="BJ35" s="59"/>
      <c r="BK35" s="59"/>
      <c r="BL35" s="59"/>
      <c r="BM35" s="59"/>
      <c r="BN35" s="59"/>
      <c r="BO35" s="59"/>
      <c r="BP35" s="144"/>
      <c r="BS35" s="90"/>
      <c r="BT35" s="90"/>
      <c r="BU35" s="90"/>
      <c r="BV35" s="90"/>
      <c r="BW35" s="90"/>
      <c r="BX35" s="90"/>
      <c r="BY35" s="90"/>
      <c r="BZ35" s="90"/>
    </row>
    <row r="36" spans="61:78">
      <c r="BI36" s="59"/>
      <c r="BJ36" s="59"/>
      <c r="BK36" s="59"/>
      <c r="BL36" s="59"/>
      <c r="BM36" s="59"/>
      <c r="BN36" s="59"/>
      <c r="BO36" s="59"/>
      <c r="BP36" s="144"/>
      <c r="BS36" s="90"/>
      <c r="BT36" s="90"/>
      <c r="BU36" s="90"/>
      <c r="BV36" s="90"/>
      <c r="BW36" s="90"/>
      <c r="BX36" s="90"/>
      <c r="BY36" s="90"/>
      <c r="BZ36" s="90"/>
    </row>
    <row r="37" spans="61:78">
      <c r="BI37" s="59"/>
      <c r="BJ37" s="59"/>
      <c r="BK37" s="59"/>
      <c r="BL37" s="59"/>
      <c r="BM37" s="59"/>
      <c r="BN37" s="59"/>
      <c r="BO37" s="59"/>
      <c r="BP37" s="144"/>
      <c r="BS37" s="90"/>
      <c r="BT37" s="90"/>
      <c r="BU37" s="90"/>
      <c r="BV37" s="90"/>
      <c r="BW37" s="90"/>
      <c r="BX37" s="90"/>
      <c r="BY37" s="90"/>
      <c r="BZ37" s="90"/>
    </row>
    <row r="38" spans="61:78">
      <c r="BI38" s="59"/>
      <c r="BJ38" s="59"/>
      <c r="BK38" s="59"/>
      <c r="BL38" s="59"/>
      <c r="BM38" s="59"/>
      <c r="BN38" s="59"/>
      <c r="BO38" s="59"/>
      <c r="BP38" s="144"/>
      <c r="BS38" s="90"/>
      <c r="BT38" s="90"/>
      <c r="BU38" s="90"/>
      <c r="BV38" s="90"/>
      <c r="BW38" s="90"/>
      <c r="BX38" s="90"/>
      <c r="BY38" s="90"/>
      <c r="BZ38" s="90"/>
    </row>
    <row r="39" spans="61:78">
      <c r="BI39" s="59"/>
      <c r="BJ39" s="59"/>
      <c r="BK39" s="59"/>
      <c r="BL39" s="59"/>
      <c r="BM39" s="59"/>
      <c r="BN39" s="59"/>
      <c r="BO39" s="59"/>
      <c r="BP39" s="144"/>
      <c r="BS39" s="90"/>
      <c r="BT39" s="90"/>
      <c r="BU39" s="90"/>
      <c r="BV39" s="90"/>
      <c r="BW39" s="90"/>
      <c r="BX39" s="90"/>
      <c r="BY39" s="90"/>
      <c r="BZ39" s="90"/>
    </row>
    <row r="40" spans="61:78">
      <c r="BI40" s="59"/>
      <c r="BJ40" s="59"/>
      <c r="BK40" s="59"/>
      <c r="BL40" s="59"/>
      <c r="BM40" s="59"/>
      <c r="BN40" s="59"/>
      <c r="BO40" s="59"/>
      <c r="BP40" s="144"/>
      <c r="BS40" s="90"/>
      <c r="BT40" s="90"/>
      <c r="BU40" s="90"/>
      <c r="BV40" s="90"/>
      <c r="BW40" s="90"/>
      <c r="BX40" s="90"/>
      <c r="BY40" s="90"/>
      <c r="BZ40" s="90"/>
    </row>
    <row r="41" spans="61:78">
      <c r="BI41" s="59"/>
      <c r="BJ41" s="59"/>
      <c r="BK41" s="59"/>
      <c r="BL41" s="59"/>
      <c r="BM41" s="59"/>
      <c r="BN41" s="59"/>
      <c r="BO41" s="59"/>
      <c r="BP41" s="144"/>
      <c r="BS41" s="90"/>
      <c r="BT41" s="90"/>
      <c r="BU41" s="90"/>
      <c r="BV41" s="90"/>
      <c r="BW41" s="90"/>
      <c r="BX41" s="90"/>
      <c r="BY41" s="90"/>
      <c r="BZ41" s="90"/>
    </row>
    <row r="42" spans="61:78">
      <c r="BI42" s="59"/>
      <c r="BJ42" s="59"/>
      <c r="BK42" s="59"/>
      <c r="BL42" s="59"/>
      <c r="BM42" s="59"/>
      <c r="BN42" s="59"/>
      <c r="BO42" s="59"/>
      <c r="BP42" s="144"/>
      <c r="BS42" s="90"/>
      <c r="BT42" s="90"/>
      <c r="BU42" s="90"/>
      <c r="BV42" s="90"/>
      <c r="BW42" s="90"/>
      <c r="BX42" s="90"/>
      <c r="BY42" s="90"/>
      <c r="BZ42" s="90"/>
    </row>
    <row r="43" spans="61:78">
      <c r="BI43" s="59"/>
      <c r="BJ43" s="59"/>
      <c r="BK43" s="59"/>
      <c r="BL43" s="59"/>
      <c r="BM43" s="59"/>
      <c r="BN43" s="59"/>
      <c r="BO43" s="59"/>
      <c r="BP43" s="144"/>
      <c r="BS43" s="90"/>
      <c r="BT43" s="90"/>
      <c r="BU43" s="90"/>
      <c r="BV43" s="90"/>
      <c r="BW43" s="90"/>
      <c r="BX43" s="90"/>
      <c r="BY43" s="90"/>
      <c r="BZ43" s="90"/>
    </row>
    <row r="44" spans="61:78">
      <c r="BI44" s="59"/>
      <c r="BJ44" s="59"/>
      <c r="BK44" s="59"/>
      <c r="BL44" s="59"/>
      <c r="BM44" s="59"/>
      <c r="BN44" s="59"/>
      <c r="BO44" s="59"/>
      <c r="BP44" s="144"/>
      <c r="BS44" s="90"/>
      <c r="BT44" s="90"/>
      <c r="BU44" s="90"/>
      <c r="BV44" s="90"/>
      <c r="BW44" s="90"/>
      <c r="BX44" s="90"/>
      <c r="BY44" s="90"/>
      <c r="BZ44" s="90"/>
    </row>
    <row r="45" spans="61:78">
      <c r="BI45" s="59"/>
      <c r="BJ45" s="59"/>
      <c r="BK45" s="59"/>
      <c r="BL45" s="59"/>
      <c r="BM45" s="59"/>
      <c r="BN45" s="59"/>
      <c r="BO45" s="59"/>
      <c r="BP45" s="144"/>
      <c r="BS45" s="90"/>
      <c r="BT45" s="90"/>
      <c r="BU45" s="90"/>
      <c r="BV45" s="90"/>
      <c r="BW45" s="90"/>
      <c r="BX45" s="90"/>
      <c r="BY45" s="90"/>
      <c r="BZ45" s="90"/>
    </row>
    <row r="46" spans="61:78">
      <c r="BI46" s="59"/>
      <c r="BJ46" s="59"/>
      <c r="BK46" s="59"/>
      <c r="BL46" s="59"/>
      <c r="BM46" s="59"/>
      <c r="BN46" s="59"/>
      <c r="BO46" s="59"/>
      <c r="BP46" s="144"/>
      <c r="BS46" s="90"/>
      <c r="BT46" s="90"/>
      <c r="BU46" s="90"/>
      <c r="BV46" s="90"/>
      <c r="BW46" s="90"/>
      <c r="BX46" s="90"/>
      <c r="BY46" s="90"/>
      <c r="BZ46" s="90"/>
    </row>
    <row r="47" spans="61:78">
      <c r="BI47" s="59"/>
      <c r="BJ47" s="59"/>
      <c r="BK47" s="59"/>
      <c r="BL47" s="59"/>
      <c r="BM47" s="59"/>
      <c r="BN47" s="59"/>
      <c r="BO47" s="59"/>
      <c r="BP47" s="144"/>
      <c r="BS47" s="90"/>
      <c r="BT47" s="90"/>
      <c r="BU47" s="90"/>
      <c r="BV47" s="90"/>
      <c r="BW47" s="90"/>
      <c r="BX47" s="90"/>
      <c r="BY47" s="90"/>
      <c r="BZ47" s="90"/>
    </row>
    <row r="48" spans="61:78">
      <c r="BI48" s="59"/>
      <c r="BJ48" s="59"/>
      <c r="BK48" s="59"/>
      <c r="BL48" s="59"/>
      <c r="BM48" s="59"/>
      <c r="BN48" s="59"/>
      <c r="BO48" s="59"/>
      <c r="BP48" s="144"/>
      <c r="BS48" s="90"/>
      <c r="BT48" s="90"/>
      <c r="BU48" s="90"/>
      <c r="BV48" s="90"/>
      <c r="BW48" s="90"/>
      <c r="BX48" s="90"/>
      <c r="BY48" s="90"/>
      <c r="BZ48" s="90"/>
    </row>
    <row r="49" spans="61:78">
      <c r="BI49" s="59"/>
      <c r="BJ49" s="59"/>
      <c r="BK49" s="59"/>
      <c r="BL49" s="59"/>
      <c r="BM49" s="59"/>
      <c r="BN49" s="59"/>
      <c r="BO49" s="59"/>
      <c r="BP49" s="144"/>
      <c r="BS49" s="90"/>
      <c r="BT49" s="90"/>
      <c r="BU49" s="90"/>
      <c r="BV49" s="90"/>
      <c r="BW49" s="90"/>
      <c r="BX49" s="90"/>
      <c r="BY49" s="90"/>
      <c r="BZ49" s="90"/>
    </row>
    <row r="50" spans="61:78">
      <c r="BI50" s="59"/>
      <c r="BJ50" s="59"/>
      <c r="BK50" s="59"/>
      <c r="BL50" s="59"/>
      <c r="BM50" s="59"/>
      <c r="BN50" s="59"/>
      <c r="BO50" s="59"/>
      <c r="BP50" s="144"/>
      <c r="BS50" s="90"/>
      <c r="BT50" s="90"/>
      <c r="BU50" s="90"/>
      <c r="BV50" s="90"/>
      <c r="BW50" s="90"/>
      <c r="BX50" s="90"/>
      <c r="BY50" s="90"/>
      <c r="BZ50" s="90"/>
    </row>
    <row r="51" spans="61:78">
      <c r="BI51" s="59"/>
      <c r="BJ51" s="59"/>
      <c r="BK51" s="59"/>
      <c r="BL51" s="59"/>
      <c r="BM51" s="59"/>
      <c r="BN51" s="59"/>
      <c r="BO51" s="59"/>
      <c r="BP51" s="144"/>
      <c r="BS51" s="90"/>
      <c r="BT51" s="90"/>
      <c r="BU51" s="90"/>
      <c r="BV51" s="90"/>
      <c r="BW51" s="90"/>
      <c r="BX51" s="90"/>
      <c r="BY51" s="90"/>
      <c r="BZ51" s="90"/>
    </row>
    <row r="52" spans="61:78">
      <c r="BI52" s="59"/>
      <c r="BJ52" s="59"/>
      <c r="BK52" s="59"/>
      <c r="BL52" s="59"/>
      <c r="BM52" s="59"/>
      <c r="BN52" s="59"/>
      <c r="BO52" s="59"/>
      <c r="BP52" s="144"/>
      <c r="BS52" s="90"/>
      <c r="BT52" s="90"/>
      <c r="BU52" s="90"/>
      <c r="BV52" s="90"/>
      <c r="BW52" s="90"/>
      <c r="BX52" s="90"/>
      <c r="BY52" s="90"/>
      <c r="BZ52" s="90"/>
    </row>
    <row r="53" spans="61:78">
      <c r="BI53" s="59"/>
      <c r="BJ53" s="59"/>
      <c r="BK53" s="59"/>
      <c r="BL53" s="59"/>
      <c r="BM53" s="59"/>
      <c r="BN53" s="59"/>
      <c r="BO53" s="59"/>
      <c r="BP53" s="144"/>
      <c r="BS53" s="90"/>
      <c r="BT53" s="90"/>
      <c r="BU53" s="90"/>
      <c r="BV53" s="90"/>
      <c r="BW53" s="90"/>
      <c r="BX53" s="90"/>
      <c r="BY53" s="90"/>
      <c r="BZ53" s="90"/>
    </row>
    <row r="54" spans="61:78">
      <c r="BI54" s="59"/>
      <c r="BJ54" s="59"/>
      <c r="BK54" s="59"/>
      <c r="BL54" s="59"/>
      <c r="BM54" s="59"/>
      <c r="BN54" s="59"/>
      <c r="BO54" s="59"/>
      <c r="BP54" s="144"/>
      <c r="BS54" s="90"/>
      <c r="BT54" s="90"/>
      <c r="BU54" s="90"/>
      <c r="BV54" s="90"/>
      <c r="BW54" s="90"/>
      <c r="BX54" s="90"/>
      <c r="BY54" s="90"/>
      <c r="BZ54" s="90"/>
    </row>
    <row r="55" spans="61:78">
      <c r="BI55" s="59"/>
      <c r="BJ55" s="59"/>
      <c r="BK55" s="59"/>
      <c r="BL55" s="59"/>
      <c r="BM55" s="59"/>
      <c r="BN55" s="59"/>
      <c r="BO55" s="59"/>
      <c r="BP55" s="144"/>
      <c r="BS55" s="90"/>
      <c r="BT55" s="90"/>
      <c r="BU55" s="90"/>
      <c r="BV55" s="90"/>
      <c r="BW55" s="90"/>
      <c r="BX55" s="90"/>
      <c r="BY55" s="90"/>
      <c r="BZ55" s="90"/>
    </row>
    <row r="56" spans="61:78">
      <c r="BI56" s="59"/>
      <c r="BJ56" s="59"/>
      <c r="BK56" s="59"/>
      <c r="BL56" s="59"/>
      <c r="BM56" s="59"/>
      <c r="BN56" s="59"/>
      <c r="BO56" s="59"/>
      <c r="BP56" s="144"/>
      <c r="BS56" s="90"/>
      <c r="BT56" s="90"/>
      <c r="BU56" s="90"/>
      <c r="BV56" s="90"/>
      <c r="BW56" s="90"/>
      <c r="BX56" s="90"/>
      <c r="BY56" s="90"/>
      <c r="BZ56" s="90"/>
    </row>
    <row r="57" spans="61:78">
      <c r="BI57" s="59"/>
      <c r="BJ57" s="59"/>
      <c r="BK57" s="59"/>
      <c r="BL57" s="59"/>
      <c r="BM57" s="59"/>
      <c r="BN57" s="59"/>
      <c r="BO57" s="59"/>
      <c r="BP57" s="144"/>
      <c r="BS57" s="90"/>
      <c r="BT57" s="90"/>
      <c r="BU57" s="90"/>
      <c r="BV57" s="90"/>
      <c r="BW57" s="90"/>
      <c r="BX57" s="90"/>
      <c r="BY57" s="90"/>
      <c r="BZ57" s="90"/>
    </row>
    <row r="58" spans="61:78">
      <c r="BI58" s="59"/>
      <c r="BJ58" s="59"/>
      <c r="BK58" s="59"/>
      <c r="BL58" s="59"/>
      <c r="BM58" s="59"/>
      <c r="BN58" s="59"/>
      <c r="BO58" s="59"/>
      <c r="BP58" s="144"/>
      <c r="BS58" s="90"/>
      <c r="BT58" s="90"/>
      <c r="BU58" s="90"/>
      <c r="BV58" s="90"/>
      <c r="BW58" s="90"/>
      <c r="BX58" s="90"/>
      <c r="BY58" s="90"/>
      <c r="BZ58" s="90"/>
    </row>
    <row r="59" spans="61:78">
      <c r="BI59" s="59"/>
      <c r="BJ59" s="59"/>
      <c r="BK59" s="59"/>
      <c r="BL59" s="59"/>
      <c r="BM59" s="59"/>
      <c r="BN59" s="59"/>
      <c r="BO59" s="59"/>
      <c r="BP59" s="144"/>
      <c r="BS59" s="90"/>
      <c r="BT59" s="90"/>
      <c r="BU59" s="90"/>
      <c r="BV59" s="90"/>
      <c r="BW59" s="90"/>
      <c r="BX59" s="90"/>
      <c r="BY59" s="90"/>
      <c r="BZ59" s="90"/>
    </row>
    <row r="60" spans="61:78">
      <c r="BI60" s="59"/>
      <c r="BJ60" s="59"/>
      <c r="BK60" s="59"/>
      <c r="BL60" s="59"/>
      <c r="BM60" s="59"/>
      <c r="BN60" s="59"/>
      <c r="BO60" s="59"/>
      <c r="BP60" s="144"/>
      <c r="BS60" s="90"/>
      <c r="BT60" s="90"/>
      <c r="BU60" s="90"/>
      <c r="BV60" s="90"/>
      <c r="BW60" s="90"/>
      <c r="BX60" s="90"/>
      <c r="BY60" s="90"/>
      <c r="BZ60" s="90"/>
    </row>
    <row r="61" spans="61:78">
      <c r="BI61" s="59"/>
      <c r="BJ61" s="59"/>
      <c r="BK61" s="59"/>
      <c r="BL61" s="59"/>
      <c r="BM61" s="59"/>
      <c r="BN61" s="59"/>
      <c r="BO61" s="59"/>
      <c r="BP61" s="144"/>
      <c r="BS61" s="90"/>
      <c r="BT61" s="90"/>
      <c r="BU61" s="90"/>
      <c r="BV61" s="90"/>
      <c r="BW61" s="90"/>
      <c r="BX61" s="90"/>
      <c r="BY61" s="90"/>
      <c r="BZ61" s="90"/>
    </row>
    <row r="62" spans="61:78">
      <c r="BI62" s="59"/>
      <c r="BJ62" s="59"/>
      <c r="BK62" s="59"/>
      <c r="BL62" s="59"/>
      <c r="BM62" s="59"/>
      <c r="BN62" s="59"/>
      <c r="BO62" s="59"/>
      <c r="BP62" s="144"/>
      <c r="BS62" s="90"/>
      <c r="BT62" s="90"/>
      <c r="BU62" s="90"/>
      <c r="BV62" s="90"/>
      <c r="BW62" s="90"/>
      <c r="BX62" s="90"/>
      <c r="BY62" s="90"/>
      <c r="BZ62" s="90"/>
    </row>
    <row r="63" spans="61:78">
      <c r="BI63" s="59"/>
      <c r="BJ63" s="59"/>
      <c r="BK63" s="59"/>
      <c r="BL63" s="59"/>
      <c r="BM63" s="59"/>
      <c r="BN63" s="59"/>
      <c r="BO63" s="59"/>
      <c r="BP63" s="144"/>
      <c r="BS63" s="90"/>
      <c r="BT63" s="90"/>
      <c r="BU63" s="90"/>
      <c r="BV63" s="90"/>
      <c r="BW63" s="90"/>
      <c r="BX63" s="90"/>
      <c r="BY63" s="90"/>
      <c r="BZ63" s="90"/>
    </row>
    <row r="64" spans="61:78">
      <c r="BI64" s="59"/>
      <c r="BJ64" s="59"/>
      <c r="BK64" s="59"/>
      <c r="BL64" s="59"/>
      <c r="BM64" s="59"/>
      <c r="BN64" s="59"/>
      <c r="BO64" s="59"/>
      <c r="BP64" s="144"/>
      <c r="BS64" s="90"/>
      <c r="BT64" s="90"/>
      <c r="BU64" s="90"/>
      <c r="BV64" s="90"/>
      <c r="BW64" s="90"/>
      <c r="BX64" s="90"/>
      <c r="BY64" s="90"/>
      <c r="BZ64" s="90"/>
    </row>
    <row r="65" spans="61:78">
      <c r="BI65" s="59"/>
      <c r="BJ65" s="59"/>
      <c r="BK65" s="59"/>
      <c r="BL65" s="59"/>
      <c r="BM65" s="59"/>
      <c r="BN65" s="59"/>
      <c r="BO65" s="59"/>
      <c r="BP65" s="144"/>
      <c r="BS65" s="90"/>
      <c r="BT65" s="90"/>
      <c r="BU65" s="90"/>
      <c r="BV65" s="90"/>
      <c r="BW65" s="90"/>
      <c r="BX65" s="90"/>
      <c r="BY65" s="90"/>
      <c r="BZ65" s="90"/>
    </row>
    <row r="66" spans="61:78">
      <c r="BI66" s="59"/>
      <c r="BJ66" s="59"/>
      <c r="BK66" s="59"/>
      <c r="BL66" s="59"/>
      <c r="BM66" s="59"/>
      <c r="BN66" s="59"/>
      <c r="BO66" s="59"/>
      <c r="BP66" s="144"/>
      <c r="BS66" s="90"/>
      <c r="BT66" s="90"/>
      <c r="BU66" s="90"/>
      <c r="BV66" s="90"/>
      <c r="BW66" s="90"/>
      <c r="BX66" s="90"/>
      <c r="BY66" s="90"/>
      <c r="BZ66" s="90"/>
    </row>
    <row r="67" spans="61:78">
      <c r="BI67" s="59"/>
      <c r="BJ67" s="59"/>
      <c r="BK67" s="59"/>
      <c r="BL67" s="59"/>
      <c r="BM67" s="59"/>
      <c r="BN67" s="59"/>
      <c r="BO67" s="59"/>
      <c r="BP67" s="144"/>
      <c r="BS67" s="90"/>
      <c r="BT67" s="90"/>
      <c r="BU67" s="90"/>
      <c r="BV67" s="90"/>
      <c r="BW67" s="90"/>
      <c r="BX67" s="90"/>
      <c r="BY67" s="90"/>
      <c r="BZ67" s="90"/>
    </row>
    <row r="68" spans="61:78">
      <c r="BI68" s="59"/>
      <c r="BJ68" s="59"/>
      <c r="BK68" s="59"/>
      <c r="BL68" s="59"/>
      <c r="BM68" s="59"/>
      <c r="BN68" s="59"/>
      <c r="BO68" s="59"/>
      <c r="BP68" s="144"/>
      <c r="BS68" s="90"/>
      <c r="BT68" s="90"/>
      <c r="BU68" s="90"/>
      <c r="BV68" s="90"/>
      <c r="BW68" s="90"/>
      <c r="BX68" s="90"/>
      <c r="BY68" s="90"/>
      <c r="BZ68" s="90"/>
    </row>
    <row r="69" spans="61:78">
      <c r="BI69" s="59"/>
      <c r="BJ69" s="59"/>
      <c r="BK69" s="59"/>
      <c r="BL69" s="59"/>
      <c r="BM69" s="59"/>
      <c r="BN69" s="59"/>
      <c r="BO69" s="59"/>
      <c r="BP69" s="144"/>
      <c r="BS69" s="90"/>
      <c r="BT69" s="90"/>
      <c r="BU69" s="90"/>
      <c r="BV69" s="90"/>
      <c r="BW69" s="90"/>
      <c r="BX69" s="90"/>
      <c r="BY69" s="90"/>
      <c r="BZ69" s="90"/>
    </row>
    <row r="70" spans="61:78">
      <c r="BI70" s="59"/>
      <c r="BJ70" s="59"/>
      <c r="BK70" s="59"/>
      <c r="BL70" s="59"/>
      <c r="BM70" s="59"/>
      <c r="BN70" s="59"/>
      <c r="BO70" s="59"/>
      <c r="BP70" s="144"/>
      <c r="BS70" s="90"/>
      <c r="BT70" s="90"/>
      <c r="BU70" s="90"/>
      <c r="BV70" s="90"/>
      <c r="BW70" s="90"/>
      <c r="BX70" s="90"/>
      <c r="BY70" s="90"/>
      <c r="BZ70" s="90"/>
    </row>
    <row r="71" spans="61:78">
      <c r="BI71" s="59"/>
      <c r="BJ71" s="59"/>
      <c r="BK71" s="59"/>
      <c r="BL71" s="59"/>
      <c r="BM71" s="59"/>
      <c r="BN71" s="59"/>
      <c r="BO71" s="59"/>
      <c r="BP71" s="144"/>
      <c r="BS71" s="90"/>
      <c r="BT71" s="90"/>
      <c r="BU71" s="90"/>
      <c r="BV71" s="90"/>
      <c r="BW71" s="90"/>
      <c r="BX71" s="90"/>
      <c r="BY71" s="90"/>
      <c r="BZ71" s="90"/>
    </row>
    <row r="72" spans="61:78">
      <c r="BI72" s="59"/>
      <c r="BJ72" s="59"/>
      <c r="BK72" s="59"/>
      <c r="BL72" s="59"/>
      <c r="BM72" s="59"/>
      <c r="BN72" s="59"/>
      <c r="BO72" s="59"/>
      <c r="BP72" s="144"/>
      <c r="BS72" s="90"/>
      <c r="BT72" s="90"/>
      <c r="BU72" s="90"/>
      <c r="BV72" s="90"/>
      <c r="BW72" s="90"/>
      <c r="BX72" s="90"/>
      <c r="BY72" s="90"/>
      <c r="BZ72" s="90"/>
    </row>
    <row r="73" spans="61:78">
      <c r="BI73" s="59"/>
      <c r="BJ73" s="59"/>
      <c r="BK73" s="59"/>
      <c r="BL73" s="59"/>
      <c r="BM73" s="59"/>
      <c r="BN73" s="59"/>
      <c r="BO73" s="59"/>
      <c r="BP73" s="144"/>
      <c r="BS73" s="90"/>
      <c r="BT73" s="90"/>
      <c r="BU73" s="90"/>
      <c r="BV73" s="90"/>
      <c r="BW73" s="90"/>
      <c r="BX73" s="90"/>
      <c r="BY73" s="90"/>
      <c r="BZ73" s="90"/>
    </row>
    <row r="74" spans="61:78">
      <c r="BI74" s="59"/>
      <c r="BJ74" s="59"/>
      <c r="BK74" s="59"/>
      <c r="BL74" s="59"/>
      <c r="BM74" s="59"/>
      <c r="BN74" s="59"/>
      <c r="BO74" s="59"/>
      <c r="BP74" s="144"/>
      <c r="BS74" s="90"/>
      <c r="BT74" s="90"/>
      <c r="BU74" s="90"/>
      <c r="BV74" s="90"/>
      <c r="BW74" s="90"/>
      <c r="BX74" s="90"/>
      <c r="BY74" s="90"/>
      <c r="BZ74" s="90"/>
    </row>
    <row r="75" spans="61:78">
      <c r="BI75" s="59"/>
      <c r="BJ75" s="59"/>
      <c r="BK75" s="59"/>
      <c r="BL75" s="59"/>
      <c r="BM75" s="59"/>
      <c r="BN75" s="59"/>
      <c r="BO75" s="59"/>
      <c r="BP75" s="144"/>
      <c r="BS75" s="90"/>
      <c r="BT75" s="90"/>
      <c r="BU75" s="90"/>
      <c r="BV75" s="90"/>
      <c r="BW75" s="90"/>
      <c r="BX75" s="90"/>
      <c r="BY75" s="90"/>
      <c r="BZ75" s="90"/>
    </row>
    <row r="76" spans="61:78">
      <c r="BI76" s="59"/>
      <c r="BJ76" s="59"/>
      <c r="BK76" s="59"/>
      <c r="BL76" s="59"/>
      <c r="BM76" s="59"/>
      <c r="BN76" s="59"/>
      <c r="BO76" s="59"/>
      <c r="BP76" s="144"/>
      <c r="BS76" s="90"/>
      <c r="BT76" s="90"/>
      <c r="BU76" s="90"/>
      <c r="BV76" s="90"/>
      <c r="BW76" s="90"/>
      <c r="BX76" s="90"/>
      <c r="BY76" s="90"/>
      <c r="BZ76" s="90"/>
    </row>
    <row r="77" spans="61:78">
      <c r="BI77" s="59"/>
      <c r="BJ77" s="59"/>
      <c r="BK77" s="59"/>
      <c r="BL77" s="59"/>
      <c r="BM77" s="59"/>
      <c r="BN77" s="59"/>
      <c r="BO77" s="59"/>
      <c r="BP77" s="144"/>
      <c r="BS77" s="90"/>
      <c r="BT77" s="90"/>
      <c r="BU77" s="90"/>
      <c r="BV77" s="90"/>
      <c r="BW77" s="90"/>
      <c r="BX77" s="90"/>
      <c r="BY77" s="90"/>
      <c r="BZ77" s="90"/>
    </row>
    <row r="78" spans="61:78">
      <c r="BI78" s="59"/>
      <c r="BJ78" s="59"/>
      <c r="BK78" s="59"/>
      <c r="BL78" s="59"/>
      <c r="BM78" s="59"/>
      <c r="BN78" s="59"/>
      <c r="BO78" s="59"/>
      <c r="BP78" s="144"/>
      <c r="BS78" s="90"/>
      <c r="BT78" s="90"/>
      <c r="BU78" s="90"/>
      <c r="BV78" s="90"/>
      <c r="BW78" s="90"/>
      <c r="BX78" s="90"/>
      <c r="BY78" s="90"/>
      <c r="BZ78" s="90"/>
    </row>
    <row r="79" spans="61:78">
      <c r="BI79" s="59"/>
      <c r="BJ79" s="59"/>
      <c r="BK79" s="59"/>
      <c r="BL79" s="59"/>
      <c r="BM79" s="59"/>
      <c r="BN79" s="59"/>
      <c r="BO79" s="59"/>
      <c r="BP79" s="144"/>
      <c r="BS79" s="90"/>
      <c r="BT79" s="90"/>
      <c r="BU79" s="90"/>
      <c r="BV79" s="90"/>
      <c r="BW79" s="90"/>
      <c r="BX79" s="90"/>
      <c r="BY79" s="90"/>
      <c r="BZ79" s="90"/>
    </row>
    <row r="80" spans="61:78">
      <c r="BI80" s="59"/>
      <c r="BJ80" s="59"/>
      <c r="BK80" s="59"/>
      <c r="BL80" s="59"/>
      <c r="BM80" s="59"/>
      <c r="BN80" s="59"/>
      <c r="BO80" s="59"/>
      <c r="BP80" s="144"/>
      <c r="BS80" s="90"/>
      <c r="BT80" s="90"/>
      <c r="BU80" s="90"/>
      <c r="BV80" s="90"/>
      <c r="BW80" s="90"/>
      <c r="BX80" s="90"/>
      <c r="BY80" s="90"/>
      <c r="BZ80" s="90"/>
    </row>
    <row r="81" spans="61:78">
      <c r="BI81" s="59"/>
      <c r="BJ81" s="59"/>
      <c r="BK81" s="59"/>
      <c r="BL81" s="59"/>
      <c r="BM81" s="59"/>
      <c r="BN81" s="59"/>
      <c r="BO81" s="59"/>
      <c r="BP81" s="144"/>
      <c r="BS81" s="90"/>
      <c r="BT81" s="90"/>
      <c r="BU81" s="90"/>
      <c r="BV81" s="90"/>
      <c r="BW81" s="90"/>
      <c r="BX81" s="90"/>
      <c r="BY81" s="90"/>
      <c r="BZ81" s="90"/>
    </row>
    <row r="82" spans="61:78">
      <c r="BI82" s="59"/>
      <c r="BJ82" s="59"/>
      <c r="BK82" s="59"/>
      <c r="BL82" s="59"/>
      <c r="BM82" s="59"/>
      <c r="BN82" s="59"/>
      <c r="BO82" s="59"/>
      <c r="BP82" s="144"/>
      <c r="BS82" s="90"/>
      <c r="BT82" s="90"/>
      <c r="BU82" s="90"/>
      <c r="BV82" s="90"/>
      <c r="BW82" s="90"/>
      <c r="BX82" s="90"/>
      <c r="BY82" s="90"/>
      <c r="BZ82" s="90"/>
    </row>
    <row r="83" spans="61:78">
      <c r="BI83" s="59"/>
      <c r="BJ83" s="59"/>
      <c r="BK83" s="59"/>
      <c r="BL83" s="59"/>
      <c r="BM83" s="59"/>
      <c r="BN83" s="59"/>
      <c r="BO83" s="59"/>
      <c r="BP83" s="144"/>
      <c r="BS83" s="90"/>
      <c r="BT83" s="90"/>
      <c r="BU83" s="90"/>
      <c r="BV83" s="90"/>
      <c r="BW83" s="90"/>
      <c r="BX83" s="90"/>
      <c r="BY83" s="90"/>
      <c r="BZ83" s="90"/>
    </row>
    <row r="84" spans="61:78">
      <c r="BI84" s="59"/>
      <c r="BJ84" s="59"/>
      <c r="BK84" s="59"/>
      <c r="BL84" s="59"/>
      <c r="BM84" s="59"/>
      <c r="BN84" s="59"/>
      <c r="BO84" s="59"/>
      <c r="BP84" s="144"/>
      <c r="BS84" s="90"/>
      <c r="BT84" s="90"/>
      <c r="BU84" s="90"/>
      <c r="BV84" s="90"/>
      <c r="BW84" s="90"/>
      <c r="BX84" s="90"/>
      <c r="BY84" s="90"/>
      <c r="BZ84" s="90"/>
    </row>
    <row r="85" spans="61:78">
      <c r="BI85" s="59"/>
      <c r="BJ85" s="59"/>
      <c r="BK85" s="59"/>
      <c r="BL85" s="59"/>
      <c r="BM85" s="59"/>
      <c r="BN85" s="59"/>
      <c r="BO85" s="59"/>
      <c r="BP85" s="144"/>
      <c r="BS85" s="90"/>
      <c r="BT85" s="90"/>
      <c r="BU85" s="90"/>
      <c r="BV85" s="90"/>
      <c r="BW85" s="90"/>
      <c r="BX85" s="90"/>
      <c r="BY85" s="90"/>
      <c r="BZ85" s="90"/>
    </row>
    <row r="86" spans="61:78">
      <c r="BI86" s="59"/>
      <c r="BJ86" s="59"/>
      <c r="BK86" s="59"/>
      <c r="BL86" s="59"/>
      <c r="BM86" s="59"/>
      <c r="BN86" s="59"/>
      <c r="BO86" s="59"/>
      <c r="BP86" s="144"/>
      <c r="BS86" s="90"/>
      <c r="BT86" s="90"/>
      <c r="BU86" s="90"/>
      <c r="BV86" s="90"/>
      <c r="BW86" s="90"/>
      <c r="BX86" s="90"/>
      <c r="BY86" s="90"/>
      <c r="BZ86" s="90"/>
    </row>
    <row r="87" spans="61:78">
      <c r="BI87" s="59"/>
      <c r="BJ87" s="59"/>
      <c r="BK87" s="59"/>
      <c r="BL87" s="59"/>
      <c r="BM87" s="59"/>
      <c r="BN87" s="59"/>
      <c r="BO87" s="59"/>
      <c r="BP87" s="144"/>
      <c r="BS87" s="90"/>
      <c r="BT87" s="90"/>
      <c r="BU87" s="90"/>
      <c r="BV87" s="90"/>
      <c r="BW87" s="90"/>
      <c r="BX87" s="90"/>
      <c r="BY87" s="90"/>
      <c r="BZ87" s="90"/>
    </row>
    <row r="88" spans="61:78">
      <c r="BI88" s="59"/>
      <c r="BJ88" s="59"/>
      <c r="BK88" s="59"/>
      <c r="BL88" s="59"/>
      <c r="BM88" s="59"/>
      <c r="BN88" s="59"/>
      <c r="BO88" s="59"/>
      <c r="BP88" s="144"/>
      <c r="BS88" s="90"/>
      <c r="BT88" s="90"/>
      <c r="BU88" s="90"/>
      <c r="BV88" s="90"/>
      <c r="BW88" s="90"/>
      <c r="BX88" s="90"/>
      <c r="BY88" s="90"/>
      <c r="BZ88" s="90"/>
    </row>
    <row r="89" spans="61:78">
      <c r="BI89" s="59"/>
      <c r="BJ89" s="59"/>
      <c r="BK89" s="59"/>
      <c r="BL89" s="59"/>
      <c r="BM89" s="59"/>
      <c r="BN89" s="59"/>
      <c r="BO89" s="59"/>
      <c r="BP89" s="144"/>
      <c r="BS89" s="90"/>
      <c r="BT89" s="90"/>
      <c r="BU89" s="90"/>
      <c r="BV89" s="90"/>
      <c r="BW89" s="90"/>
      <c r="BX89" s="90"/>
      <c r="BY89" s="90"/>
      <c r="BZ89" s="90"/>
    </row>
    <row r="90" spans="61:78">
      <c r="BI90" s="59"/>
      <c r="BJ90" s="59"/>
      <c r="BK90" s="59"/>
      <c r="BL90" s="59"/>
      <c r="BM90" s="59"/>
      <c r="BN90" s="59"/>
      <c r="BO90" s="59"/>
      <c r="BP90" s="144"/>
      <c r="BS90" s="90"/>
      <c r="BT90" s="90"/>
      <c r="BU90" s="90"/>
      <c r="BV90" s="90"/>
      <c r="BW90" s="90"/>
      <c r="BX90" s="90"/>
      <c r="BY90" s="90"/>
      <c r="BZ90" s="90"/>
    </row>
    <row r="91" spans="61:78">
      <c r="BI91" s="59"/>
      <c r="BJ91" s="59"/>
      <c r="BK91" s="59"/>
      <c r="BL91" s="59"/>
      <c r="BM91" s="59"/>
      <c r="BN91" s="59"/>
      <c r="BO91" s="59"/>
      <c r="BP91" s="144"/>
      <c r="BS91" s="90"/>
      <c r="BT91" s="90"/>
      <c r="BU91" s="90"/>
      <c r="BV91" s="90"/>
      <c r="BW91" s="90"/>
      <c r="BX91" s="90"/>
      <c r="BY91" s="90"/>
      <c r="BZ91" s="90"/>
    </row>
    <row r="92" spans="61:78">
      <c r="BI92" s="59"/>
      <c r="BJ92" s="59"/>
      <c r="BK92" s="59"/>
      <c r="BL92" s="59"/>
      <c r="BM92" s="59"/>
      <c r="BN92" s="59"/>
      <c r="BO92" s="59"/>
      <c r="BP92" s="144"/>
      <c r="BS92" s="90"/>
      <c r="BT92" s="90"/>
      <c r="BU92" s="90"/>
      <c r="BV92" s="90"/>
      <c r="BW92" s="90"/>
      <c r="BX92" s="90"/>
      <c r="BY92" s="90"/>
      <c r="BZ92" s="90"/>
    </row>
    <row r="93" spans="61:78">
      <c r="BI93" s="59"/>
      <c r="BJ93" s="59"/>
      <c r="BK93" s="59"/>
      <c r="BL93" s="59"/>
      <c r="BM93" s="59"/>
      <c r="BN93" s="59"/>
      <c r="BO93" s="59"/>
      <c r="BP93" s="144"/>
      <c r="BS93" s="90"/>
      <c r="BT93" s="90"/>
      <c r="BU93" s="90"/>
      <c r="BV93" s="90"/>
      <c r="BW93" s="90"/>
      <c r="BX93" s="90"/>
      <c r="BY93" s="90"/>
      <c r="BZ93" s="90"/>
    </row>
    <row r="94" spans="61:78">
      <c r="BI94" s="59"/>
      <c r="BJ94" s="59"/>
      <c r="BK94" s="59"/>
      <c r="BL94" s="59"/>
      <c r="BM94" s="59"/>
      <c r="BN94" s="59"/>
      <c r="BO94" s="59"/>
      <c r="BP94" s="144"/>
      <c r="BS94" s="90"/>
      <c r="BT94" s="90"/>
      <c r="BU94" s="90"/>
      <c r="BV94" s="90"/>
      <c r="BW94" s="90"/>
      <c r="BX94" s="90"/>
      <c r="BY94" s="90"/>
      <c r="BZ94" s="90"/>
    </row>
    <row r="95" spans="61:78">
      <c r="BI95" s="59"/>
      <c r="BJ95" s="59"/>
      <c r="BK95" s="59"/>
      <c r="BL95" s="59"/>
      <c r="BM95" s="59"/>
      <c r="BN95" s="59"/>
      <c r="BO95" s="59"/>
      <c r="BP95" s="144"/>
      <c r="BS95" s="90"/>
      <c r="BT95" s="90"/>
      <c r="BU95" s="90"/>
      <c r="BV95" s="90"/>
      <c r="BW95" s="90"/>
      <c r="BX95" s="90"/>
      <c r="BY95" s="90"/>
      <c r="BZ95" s="90"/>
    </row>
    <row r="96" spans="61:78">
      <c r="BI96" s="59"/>
      <c r="BJ96" s="59"/>
      <c r="BK96" s="59"/>
      <c r="BL96" s="59"/>
      <c r="BM96" s="59"/>
      <c r="BN96" s="59"/>
      <c r="BO96" s="59"/>
      <c r="BP96" s="144"/>
      <c r="BS96" s="90"/>
      <c r="BT96" s="90"/>
      <c r="BU96" s="90"/>
      <c r="BV96" s="90"/>
      <c r="BW96" s="90"/>
      <c r="BX96" s="90"/>
      <c r="BY96" s="90"/>
      <c r="BZ96" s="90"/>
    </row>
    <row r="97" spans="61:78">
      <c r="BI97" s="59"/>
      <c r="BJ97" s="59"/>
      <c r="BK97" s="59"/>
      <c r="BL97" s="59"/>
      <c r="BM97" s="59"/>
      <c r="BN97" s="59"/>
      <c r="BO97" s="59"/>
      <c r="BP97" s="144"/>
      <c r="BS97" s="90"/>
      <c r="BT97" s="90"/>
      <c r="BU97" s="90"/>
      <c r="BV97" s="90"/>
      <c r="BW97" s="90"/>
      <c r="BX97" s="90"/>
      <c r="BY97" s="90"/>
      <c r="BZ97" s="90"/>
    </row>
    <row r="98" spans="61:78">
      <c r="BI98" s="59"/>
      <c r="BJ98" s="59"/>
      <c r="BK98" s="59"/>
      <c r="BL98" s="59"/>
      <c r="BM98" s="59"/>
      <c r="BN98" s="59"/>
      <c r="BO98" s="59"/>
      <c r="BP98" s="144"/>
      <c r="BS98" s="90"/>
      <c r="BT98" s="90"/>
      <c r="BU98" s="90"/>
      <c r="BV98" s="90"/>
      <c r="BW98" s="90"/>
      <c r="BX98" s="90"/>
      <c r="BY98" s="90"/>
      <c r="BZ98" s="90"/>
    </row>
    <row r="99" spans="61:78">
      <c r="BI99" s="59"/>
      <c r="BJ99" s="59"/>
      <c r="BK99" s="59"/>
      <c r="BL99" s="59"/>
      <c r="BM99" s="59"/>
      <c r="BN99" s="59"/>
      <c r="BO99" s="59"/>
      <c r="BP99" s="144"/>
      <c r="BS99" s="90"/>
      <c r="BT99" s="90"/>
      <c r="BU99" s="90"/>
      <c r="BV99" s="90"/>
      <c r="BW99" s="90"/>
      <c r="BX99" s="90"/>
      <c r="BY99" s="90"/>
      <c r="BZ99" s="90"/>
    </row>
    <row r="100" spans="61:78">
      <c r="BI100" s="59"/>
      <c r="BJ100" s="59"/>
      <c r="BK100" s="59"/>
      <c r="BL100" s="59"/>
      <c r="BM100" s="59"/>
      <c r="BN100" s="59"/>
      <c r="BO100" s="59"/>
      <c r="BP100" s="144"/>
      <c r="BS100" s="90"/>
      <c r="BT100" s="90"/>
      <c r="BU100" s="90"/>
      <c r="BV100" s="90"/>
      <c r="BW100" s="90"/>
      <c r="BX100" s="90"/>
      <c r="BY100" s="90"/>
      <c r="BZ100" s="90"/>
    </row>
    <row r="101" spans="61:78">
      <c r="BI101" s="59"/>
      <c r="BJ101" s="59"/>
      <c r="BK101" s="59"/>
      <c r="BL101" s="59"/>
      <c r="BM101" s="59"/>
      <c r="BN101" s="59"/>
      <c r="BO101" s="59"/>
      <c r="BP101" s="144"/>
      <c r="BS101" s="90"/>
      <c r="BT101" s="90"/>
      <c r="BU101" s="90"/>
      <c r="BV101" s="90"/>
      <c r="BW101" s="90"/>
      <c r="BX101" s="90"/>
      <c r="BY101" s="90"/>
      <c r="BZ101" s="90"/>
    </row>
    <row r="102" spans="61:78">
      <c r="BI102" s="59"/>
      <c r="BJ102" s="59"/>
      <c r="BK102" s="59"/>
      <c r="BL102" s="59"/>
      <c r="BM102" s="59"/>
      <c r="BN102" s="59"/>
      <c r="BO102" s="59"/>
      <c r="BP102" s="144"/>
      <c r="BS102" s="90"/>
      <c r="BT102" s="90"/>
      <c r="BU102" s="90"/>
      <c r="BV102" s="90"/>
      <c r="BW102" s="90"/>
      <c r="BX102" s="90"/>
      <c r="BY102" s="90"/>
      <c r="BZ102" s="90"/>
    </row>
    <row r="103" spans="61:78">
      <c r="BI103" s="59"/>
      <c r="BJ103" s="59"/>
      <c r="BK103" s="59"/>
      <c r="BL103" s="59"/>
      <c r="BM103" s="59"/>
      <c r="BN103" s="59"/>
      <c r="BO103" s="59"/>
      <c r="BP103" s="144"/>
      <c r="BS103" s="90"/>
      <c r="BT103" s="90"/>
      <c r="BU103" s="90"/>
      <c r="BV103" s="90"/>
      <c r="BW103" s="90"/>
      <c r="BX103" s="90"/>
      <c r="BY103" s="90"/>
      <c r="BZ103" s="90"/>
    </row>
    <row r="104" spans="61:78">
      <c r="BI104" s="59"/>
      <c r="BJ104" s="59"/>
      <c r="BK104" s="59"/>
      <c r="BL104" s="59"/>
      <c r="BM104" s="59"/>
      <c r="BN104" s="59"/>
      <c r="BO104" s="59"/>
      <c r="BP104" s="144"/>
      <c r="BS104" s="90"/>
      <c r="BT104" s="90"/>
      <c r="BU104" s="90"/>
      <c r="BV104" s="90"/>
      <c r="BW104" s="90"/>
      <c r="BX104" s="90"/>
      <c r="BY104" s="90"/>
      <c r="BZ104" s="90"/>
    </row>
    <row r="105" spans="61:78">
      <c r="BI105" s="59"/>
      <c r="BJ105" s="59"/>
      <c r="BK105" s="59"/>
      <c r="BL105" s="59"/>
      <c r="BM105" s="59"/>
      <c r="BN105" s="59"/>
      <c r="BO105" s="59"/>
      <c r="BP105" s="144"/>
      <c r="BS105" s="90"/>
      <c r="BT105" s="90"/>
      <c r="BU105" s="90"/>
      <c r="BV105" s="90"/>
      <c r="BW105" s="90"/>
      <c r="BX105" s="90"/>
      <c r="BY105" s="90"/>
      <c r="BZ105" s="90"/>
    </row>
    <row r="106" spans="61:78">
      <c r="BI106" s="59"/>
      <c r="BJ106" s="59"/>
      <c r="BK106" s="59"/>
      <c r="BL106" s="59"/>
      <c r="BM106" s="59"/>
      <c r="BN106" s="59"/>
      <c r="BO106" s="59"/>
      <c r="BP106" s="144"/>
      <c r="BS106" s="90"/>
      <c r="BT106" s="90"/>
      <c r="BU106" s="90"/>
      <c r="BV106" s="90"/>
      <c r="BW106" s="90"/>
      <c r="BX106" s="90"/>
      <c r="BY106" s="90"/>
      <c r="BZ106" s="90"/>
    </row>
    <row r="107" spans="61:78">
      <c r="BI107" s="59"/>
      <c r="BJ107" s="59"/>
      <c r="BK107" s="59"/>
      <c r="BL107" s="59"/>
      <c r="BM107" s="59"/>
      <c r="BN107" s="59"/>
      <c r="BO107" s="59"/>
      <c r="BP107" s="144"/>
      <c r="BS107" s="90"/>
      <c r="BT107" s="90"/>
      <c r="BU107" s="90"/>
      <c r="BV107" s="90"/>
      <c r="BW107" s="90"/>
      <c r="BX107" s="90"/>
      <c r="BY107" s="90"/>
      <c r="BZ107" s="90"/>
    </row>
    <row r="108" spans="61:78">
      <c r="BI108" s="59"/>
      <c r="BJ108" s="59"/>
      <c r="BK108" s="59"/>
      <c r="BL108" s="59"/>
      <c r="BM108" s="59"/>
      <c r="BN108" s="59"/>
      <c r="BO108" s="59"/>
      <c r="BP108" s="144"/>
      <c r="BS108" s="90"/>
      <c r="BT108" s="90"/>
      <c r="BU108" s="90"/>
      <c r="BV108" s="90"/>
      <c r="BW108" s="90"/>
      <c r="BX108" s="90"/>
      <c r="BY108" s="90"/>
      <c r="BZ108" s="90"/>
    </row>
    <row r="109" spans="61:78">
      <c r="BI109" s="59"/>
      <c r="BJ109" s="59"/>
      <c r="BK109" s="59"/>
      <c r="BL109" s="59"/>
      <c r="BM109" s="59"/>
      <c r="BN109" s="59"/>
      <c r="BO109" s="59"/>
      <c r="BP109" s="144"/>
      <c r="BS109" s="90"/>
      <c r="BT109" s="90"/>
      <c r="BU109" s="90"/>
      <c r="BV109" s="90"/>
      <c r="BW109" s="90"/>
      <c r="BX109" s="90"/>
      <c r="BY109" s="90"/>
      <c r="BZ109" s="90"/>
    </row>
    <row r="110" spans="61:78">
      <c r="BI110" s="59"/>
      <c r="BJ110" s="59"/>
      <c r="BK110" s="59"/>
      <c r="BL110" s="59"/>
      <c r="BM110" s="59"/>
      <c r="BN110" s="59"/>
      <c r="BO110" s="59"/>
      <c r="BP110" s="144"/>
      <c r="BS110" s="90"/>
      <c r="BT110" s="90"/>
      <c r="BU110" s="90"/>
      <c r="BV110" s="90"/>
      <c r="BW110" s="90"/>
      <c r="BX110" s="90"/>
      <c r="BY110" s="90"/>
      <c r="BZ110" s="90"/>
    </row>
    <row r="111" spans="61:78">
      <c r="BI111" s="59"/>
      <c r="BJ111" s="59"/>
      <c r="BK111" s="59"/>
      <c r="BL111" s="59"/>
      <c r="BM111" s="59"/>
      <c r="BN111" s="59"/>
      <c r="BO111" s="59"/>
      <c r="BP111" s="144"/>
      <c r="BS111" s="90"/>
      <c r="BT111" s="90"/>
      <c r="BU111" s="90"/>
      <c r="BV111" s="90"/>
      <c r="BW111" s="90"/>
      <c r="BX111" s="90"/>
      <c r="BY111" s="90"/>
      <c r="BZ111" s="90"/>
    </row>
    <row r="112" spans="61:78">
      <c r="BI112" s="59"/>
      <c r="BJ112" s="59"/>
      <c r="BK112" s="59"/>
      <c r="BL112" s="59"/>
      <c r="BM112" s="59"/>
      <c r="BN112" s="59"/>
      <c r="BO112" s="59"/>
      <c r="BP112" s="144"/>
      <c r="BS112" s="90"/>
      <c r="BT112" s="90"/>
      <c r="BU112" s="90"/>
      <c r="BV112" s="90"/>
      <c r="BW112" s="90"/>
      <c r="BX112" s="90"/>
      <c r="BY112" s="90"/>
      <c r="BZ112" s="90"/>
    </row>
    <row r="113" spans="61:78">
      <c r="BI113" s="59"/>
      <c r="BJ113" s="59"/>
      <c r="BK113" s="59"/>
      <c r="BL113" s="59"/>
      <c r="BM113" s="59"/>
      <c r="BN113" s="59"/>
      <c r="BO113" s="59"/>
      <c r="BP113" s="144"/>
      <c r="BS113" s="90"/>
      <c r="BT113" s="90"/>
      <c r="BU113" s="90"/>
      <c r="BV113" s="90"/>
      <c r="BW113" s="90"/>
      <c r="BX113" s="90"/>
      <c r="BY113" s="90"/>
      <c r="BZ113" s="90"/>
    </row>
    <row r="114" spans="61:78">
      <c r="BI114" s="59"/>
      <c r="BJ114" s="59"/>
      <c r="BK114" s="59"/>
      <c r="BL114" s="59"/>
      <c r="BM114" s="59"/>
      <c r="BN114" s="59"/>
      <c r="BO114" s="59"/>
      <c r="BP114" s="144"/>
      <c r="BS114" s="90"/>
      <c r="BT114" s="90"/>
      <c r="BU114" s="90"/>
      <c r="BV114" s="90"/>
      <c r="BW114" s="90"/>
      <c r="BX114" s="90"/>
      <c r="BY114" s="90"/>
      <c r="BZ114" s="90"/>
    </row>
    <row r="115" spans="61:78">
      <c r="BI115" s="59"/>
      <c r="BJ115" s="59"/>
      <c r="BK115" s="59"/>
      <c r="BL115" s="59"/>
      <c r="BM115" s="59"/>
      <c r="BN115" s="59"/>
      <c r="BO115" s="59"/>
      <c r="BP115" s="144"/>
      <c r="BS115" s="90"/>
      <c r="BT115" s="90"/>
      <c r="BU115" s="90"/>
      <c r="BV115" s="90"/>
      <c r="BW115" s="90"/>
      <c r="BX115" s="90"/>
      <c r="BY115" s="90"/>
      <c r="BZ115" s="90"/>
    </row>
    <row r="116" spans="61:78">
      <c r="BI116" s="59"/>
      <c r="BJ116" s="59"/>
      <c r="BK116" s="59"/>
      <c r="BL116" s="59"/>
      <c r="BM116" s="59"/>
      <c r="BN116" s="59"/>
      <c r="BO116" s="59"/>
      <c r="BP116" s="144"/>
      <c r="BS116" s="90"/>
      <c r="BT116" s="90"/>
      <c r="BU116" s="90"/>
      <c r="BV116" s="90"/>
      <c r="BW116" s="90"/>
      <c r="BX116" s="90"/>
      <c r="BY116" s="90"/>
      <c r="BZ116" s="90"/>
    </row>
    <row r="117" spans="61:78">
      <c r="BI117" s="59"/>
      <c r="BJ117" s="59"/>
      <c r="BK117" s="59"/>
      <c r="BL117" s="59"/>
      <c r="BM117" s="59"/>
      <c r="BN117" s="59"/>
      <c r="BO117" s="59"/>
      <c r="BP117" s="144"/>
      <c r="BS117" s="90"/>
      <c r="BT117" s="90"/>
      <c r="BU117" s="90"/>
      <c r="BV117" s="90"/>
      <c r="BW117" s="90"/>
      <c r="BX117" s="90"/>
      <c r="BY117" s="90"/>
      <c r="BZ117" s="90"/>
    </row>
    <row r="118" spans="61:78">
      <c r="BI118" s="59"/>
      <c r="BJ118" s="59"/>
      <c r="BK118" s="59"/>
      <c r="BL118" s="59"/>
      <c r="BM118" s="59"/>
      <c r="BN118" s="59"/>
      <c r="BO118" s="59"/>
      <c r="BP118" s="144"/>
      <c r="BS118" s="90"/>
      <c r="BT118" s="90"/>
      <c r="BU118" s="90"/>
      <c r="BV118" s="90"/>
      <c r="BW118" s="90"/>
      <c r="BX118" s="90"/>
      <c r="BY118" s="90"/>
      <c r="BZ118" s="90"/>
    </row>
    <row r="119" spans="61:78">
      <c r="BI119" s="59"/>
      <c r="BJ119" s="59"/>
      <c r="BK119" s="59"/>
      <c r="BL119" s="59"/>
      <c r="BM119" s="59"/>
      <c r="BN119" s="59"/>
      <c r="BO119" s="59"/>
      <c r="BP119" s="144"/>
      <c r="BS119" s="90"/>
      <c r="BT119" s="90"/>
      <c r="BU119" s="90"/>
      <c r="BV119" s="90"/>
      <c r="BW119" s="90"/>
      <c r="BX119" s="90"/>
      <c r="BY119" s="90"/>
      <c r="BZ119" s="90"/>
    </row>
    <row r="120" spans="61:78">
      <c r="BI120" s="59"/>
      <c r="BJ120" s="59"/>
      <c r="BK120" s="59"/>
      <c r="BL120" s="59"/>
      <c r="BM120" s="59"/>
      <c r="BN120" s="59"/>
      <c r="BO120" s="59"/>
      <c r="BP120" s="144"/>
      <c r="BS120" s="90"/>
      <c r="BT120" s="90"/>
      <c r="BU120" s="90"/>
      <c r="BV120" s="90"/>
      <c r="BW120" s="90"/>
      <c r="BX120" s="90"/>
      <c r="BY120" s="90"/>
      <c r="BZ120" s="90"/>
    </row>
    <row r="121" spans="61:78">
      <c r="BI121" s="59"/>
      <c r="BJ121" s="59"/>
      <c r="BK121" s="59"/>
      <c r="BL121" s="59"/>
      <c r="BM121" s="59"/>
      <c r="BN121" s="59"/>
      <c r="BO121" s="59"/>
      <c r="BP121" s="144"/>
      <c r="BS121" s="90"/>
      <c r="BT121" s="90"/>
      <c r="BU121" s="90"/>
      <c r="BV121" s="90"/>
      <c r="BW121" s="90"/>
      <c r="BX121" s="90"/>
      <c r="BY121" s="90"/>
      <c r="BZ121" s="90"/>
    </row>
    <row r="122" spans="61:78">
      <c r="BI122" s="59"/>
      <c r="BJ122" s="59"/>
      <c r="BK122" s="59"/>
      <c r="BL122" s="59"/>
      <c r="BM122" s="59"/>
      <c r="BN122" s="59"/>
      <c r="BO122" s="59"/>
      <c r="BP122" s="144"/>
      <c r="BS122" s="90"/>
      <c r="BT122" s="90"/>
      <c r="BU122" s="90"/>
      <c r="BV122" s="90"/>
      <c r="BW122" s="90"/>
      <c r="BX122" s="90"/>
      <c r="BY122" s="90"/>
      <c r="BZ122" s="90"/>
    </row>
    <row r="123" spans="61:78">
      <c r="BI123" s="59"/>
      <c r="BJ123" s="59"/>
      <c r="BK123" s="59"/>
      <c r="BL123" s="59"/>
      <c r="BM123" s="59"/>
      <c r="BN123" s="59"/>
      <c r="BO123" s="59"/>
      <c r="BP123" s="144"/>
      <c r="BS123" s="90"/>
      <c r="BT123" s="90"/>
      <c r="BU123" s="90"/>
      <c r="BV123" s="90"/>
      <c r="BW123" s="90"/>
      <c r="BX123" s="90"/>
      <c r="BY123" s="90"/>
      <c r="BZ123" s="90"/>
    </row>
    <row r="124" spans="61:78">
      <c r="BI124" s="59"/>
      <c r="BJ124" s="59"/>
      <c r="BK124" s="59"/>
      <c r="BL124" s="59"/>
      <c r="BM124" s="59"/>
      <c r="BN124" s="59"/>
      <c r="BO124" s="59"/>
      <c r="BP124" s="144"/>
      <c r="BS124" s="90"/>
      <c r="BT124" s="90"/>
      <c r="BU124" s="90"/>
      <c r="BV124" s="90"/>
      <c r="BW124" s="90"/>
      <c r="BX124" s="90"/>
      <c r="BY124" s="90"/>
      <c r="BZ124" s="90"/>
    </row>
    <row r="125" spans="61:78">
      <c r="BI125" s="59"/>
      <c r="BJ125" s="59"/>
      <c r="BK125" s="59"/>
      <c r="BL125" s="59"/>
      <c r="BM125" s="59"/>
      <c r="BN125" s="59"/>
      <c r="BO125" s="59"/>
      <c r="BP125" s="144"/>
      <c r="BS125" s="90"/>
      <c r="BT125" s="90"/>
      <c r="BU125" s="90"/>
      <c r="BV125" s="90"/>
      <c r="BW125" s="90"/>
      <c r="BX125" s="90"/>
      <c r="BY125" s="90"/>
      <c r="BZ125" s="90"/>
    </row>
    <row r="126" spans="61:78">
      <c r="BI126" s="59"/>
      <c r="BJ126" s="59"/>
      <c r="BK126" s="59"/>
      <c r="BL126" s="59"/>
      <c r="BM126" s="59"/>
      <c r="BN126" s="59"/>
      <c r="BO126" s="59"/>
      <c r="BP126" s="144"/>
      <c r="BS126" s="90"/>
      <c r="BT126" s="90"/>
      <c r="BU126" s="90"/>
      <c r="BV126" s="90"/>
      <c r="BW126" s="90"/>
      <c r="BX126" s="90"/>
      <c r="BY126" s="90"/>
      <c r="BZ126" s="90"/>
    </row>
    <row r="127" spans="61:78">
      <c r="BI127" s="59"/>
      <c r="BJ127" s="59"/>
      <c r="BK127" s="59"/>
      <c r="BL127" s="59"/>
      <c r="BM127" s="59"/>
      <c r="BN127" s="59"/>
      <c r="BO127" s="59"/>
      <c r="BP127" s="144"/>
      <c r="BS127" s="90"/>
      <c r="BT127" s="90"/>
      <c r="BU127" s="90"/>
      <c r="BV127" s="90"/>
      <c r="BW127" s="90"/>
      <c r="BX127" s="90"/>
      <c r="BY127" s="90"/>
      <c r="BZ127" s="90"/>
    </row>
    <row r="128" spans="61:78">
      <c r="BI128" s="59"/>
      <c r="BJ128" s="59"/>
      <c r="BK128" s="59"/>
      <c r="BL128" s="59"/>
      <c r="BM128" s="59"/>
      <c r="BN128" s="59"/>
      <c r="BO128" s="59"/>
      <c r="BP128" s="144"/>
      <c r="BS128" s="90"/>
      <c r="BT128" s="90"/>
      <c r="BU128" s="90"/>
      <c r="BV128" s="90"/>
      <c r="BW128" s="90"/>
      <c r="BX128" s="90"/>
      <c r="BY128" s="90"/>
      <c r="BZ128" s="90"/>
    </row>
    <row r="129" spans="61:78">
      <c r="BI129" s="59"/>
      <c r="BJ129" s="59"/>
      <c r="BK129" s="59"/>
      <c r="BL129" s="59"/>
      <c r="BM129" s="59"/>
      <c r="BN129" s="59"/>
      <c r="BO129" s="59"/>
      <c r="BP129" s="144"/>
      <c r="BS129" s="90"/>
      <c r="BT129" s="90"/>
      <c r="BU129" s="90"/>
      <c r="BV129" s="90"/>
      <c r="BW129" s="90"/>
      <c r="BX129" s="90"/>
      <c r="BY129" s="90"/>
      <c r="BZ129" s="90"/>
    </row>
    <row r="130" spans="61:78">
      <c r="BI130" s="59"/>
      <c r="BJ130" s="59"/>
      <c r="BK130" s="59"/>
      <c r="BL130" s="59"/>
      <c r="BM130" s="59"/>
      <c r="BN130" s="59"/>
      <c r="BO130" s="59"/>
      <c r="BP130" s="144"/>
      <c r="BS130" s="90"/>
      <c r="BT130" s="90"/>
      <c r="BU130" s="90"/>
      <c r="BV130" s="90"/>
      <c r="BW130" s="90"/>
      <c r="BX130" s="90"/>
      <c r="BY130" s="90"/>
      <c r="BZ130" s="90"/>
    </row>
    <row r="131" spans="61:78">
      <c r="BI131" s="59"/>
      <c r="BJ131" s="59"/>
      <c r="BK131" s="59"/>
      <c r="BL131" s="59"/>
      <c r="BM131" s="59"/>
      <c r="BN131" s="59"/>
      <c r="BO131" s="59"/>
      <c r="BP131" s="144"/>
      <c r="BS131" s="90"/>
      <c r="BT131" s="90"/>
      <c r="BU131" s="90"/>
      <c r="BV131" s="90"/>
      <c r="BW131" s="90"/>
      <c r="BX131" s="90"/>
      <c r="BY131" s="90"/>
      <c r="BZ131" s="90"/>
    </row>
    <row r="132" spans="61:78">
      <c r="BI132" s="59"/>
      <c r="BJ132" s="59"/>
      <c r="BK132" s="59"/>
      <c r="BL132" s="59"/>
      <c r="BM132" s="59"/>
      <c r="BN132" s="59"/>
      <c r="BO132" s="59"/>
      <c r="BP132" s="144"/>
      <c r="BS132" s="90"/>
      <c r="BT132" s="90"/>
      <c r="BU132" s="90"/>
      <c r="BV132" s="90"/>
      <c r="BW132" s="90"/>
      <c r="BX132" s="90"/>
      <c r="BY132" s="90"/>
      <c r="BZ132" s="90"/>
    </row>
    <row r="133" spans="61:78">
      <c r="BI133" s="59"/>
      <c r="BJ133" s="59"/>
      <c r="BK133" s="59"/>
      <c r="BL133" s="59"/>
      <c r="BM133" s="59"/>
      <c r="BN133" s="59"/>
      <c r="BO133" s="59"/>
      <c r="BP133" s="144"/>
      <c r="BS133" s="90"/>
      <c r="BT133" s="90"/>
      <c r="BU133" s="90"/>
      <c r="BV133" s="90"/>
      <c r="BW133" s="90"/>
      <c r="BX133" s="90"/>
      <c r="BY133" s="90"/>
      <c r="BZ133" s="90"/>
    </row>
    <row r="134" spans="61:78">
      <c r="BI134" s="59"/>
      <c r="BJ134" s="59"/>
      <c r="BK134" s="59"/>
      <c r="BL134" s="59"/>
      <c r="BM134" s="59"/>
      <c r="BN134" s="59"/>
      <c r="BO134" s="59"/>
      <c r="BP134" s="144"/>
      <c r="BS134" s="90"/>
      <c r="BT134" s="90"/>
      <c r="BU134" s="90"/>
      <c r="BV134" s="90"/>
      <c r="BW134" s="90"/>
      <c r="BX134" s="90"/>
      <c r="BY134" s="90"/>
      <c r="BZ134" s="90"/>
    </row>
    <row r="135" spans="61:78">
      <c r="BI135" s="59"/>
      <c r="BJ135" s="59"/>
      <c r="BK135" s="59"/>
      <c r="BL135" s="59"/>
      <c r="BM135" s="59"/>
      <c r="BN135" s="59"/>
      <c r="BO135" s="59"/>
      <c r="BP135" s="144"/>
      <c r="BS135" s="90"/>
      <c r="BT135" s="90"/>
      <c r="BU135" s="90"/>
      <c r="BV135" s="90"/>
      <c r="BW135" s="90"/>
      <c r="BX135" s="90"/>
      <c r="BY135" s="90"/>
      <c r="BZ135" s="90"/>
    </row>
    <row r="136" spans="61:78">
      <c r="BI136" s="59"/>
      <c r="BJ136" s="59"/>
      <c r="BK136" s="59"/>
      <c r="BL136" s="59"/>
      <c r="BM136" s="59"/>
      <c r="BN136" s="59"/>
      <c r="BO136" s="59"/>
      <c r="BP136" s="144"/>
      <c r="BS136" s="90"/>
      <c r="BT136" s="90"/>
      <c r="BU136" s="90"/>
      <c r="BV136" s="90"/>
      <c r="BW136" s="90"/>
      <c r="BX136" s="90"/>
      <c r="BY136" s="90"/>
      <c r="BZ136" s="90"/>
    </row>
    <row r="137" spans="61:78">
      <c r="BI137" s="59"/>
      <c r="BJ137" s="59"/>
      <c r="BK137" s="59"/>
      <c r="BL137" s="59"/>
      <c r="BM137" s="59"/>
      <c r="BN137" s="59"/>
      <c r="BO137" s="59"/>
      <c r="BP137" s="144"/>
      <c r="BS137" s="90"/>
      <c r="BT137" s="90"/>
      <c r="BU137" s="90"/>
      <c r="BV137" s="90"/>
      <c r="BW137" s="90"/>
      <c r="BX137" s="90"/>
      <c r="BY137" s="90"/>
      <c r="BZ137" s="90"/>
    </row>
    <row r="138" spans="61:78">
      <c r="BI138" s="59"/>
      <c r="BJ138" s="59"/>
      <c r="BK138" s="59"/>
      <c r="BL138" s="59"/>
      <c r="BM138" s="59"/>
      <c r="BN138" s="59"/>
      <c r="BO138" s="59"/>
      <c r="BP138" s="144"/>
      <c r="BS138" s="90"/>
      <c r="BT138" s="90"/>
      <c r="BU138" s="90"/>
      <c r="BV138" s="90"/>
      <c r="BW138" s="90"/>
      <c r="BX138" s="90"/>
      <c r="BY138" s="90"/>
      <c r="BZ138" s="90"/>
    </row>
    <row r="139" spans="61:78">
      <c r="BI139" s="59"/>
      <c r="BJ139" s="59"/>
      <c r="BK139" s="59"/>
      <c r="BL139" s="59"/>
      <c r="BM139" s="59"/>
      <c r="BN139" s="59"/>
      <c r="BO139" s="59"/>
      <c r="BP139" s="144"/>
      <c r="BS139" s="90"/>
      <c r="BT139" s="90"/>
      <c r="BU139" s="90"/>
      <c r="BV139" s="90"/>
      <c r="BW139" s="90"/>
      <c r="BX139" s="90"/>
      <c r="BY139" s="90"/>
      <c r="BZ139" s="90"/>
    </row>
    <row r="140" spans="61:78">
      <c r="BI140" s="59"/>
      <c r="BJ140" s="59"/>
      <c r="BK140" s="59"/>
      <c r="BL140" s="59"/>
      <c r="BM140" s="59"/>
      <c r="BN140" s="59"/>
      <c r="BO140" s="59"/>
      <c r="BP140" s="144"/>
      <c r="BS140" s="90"/>
      <c r="BT140" s="90"/>
      <c r="BU140" s="90"/>
      <c r="BV140" s="90"/>
      <c r="BW140" s="90"/>
      <c r="BX140" s="90"/>
      <c r="BY140" s="90"/>
      <c r="BZ140" s="90"/>
    </row>
    <row r="141" spans="61:78">
      <c r="BI141" s="59"/>
      <c r="BJ141" s="59"/>
      <c r="BK141" s="59"/>
      <c r="BL141" s="59"/>
      <c r="BM141" s="59"/>
      <c r="BN141" s="59"/>
      <c r="BO141" s="59"/>
      <c r="BP141" s="144"/>
      <c r="BS141" s="90"/>
      <c r="BT141" s="90"/>
      <c r="BU141" s="90"/>
      <c r="BV141" s="90"/>
      <c r="BW141" s="90"/>
      <c r="BX141" s="90"/>
      <c r="BY141" s="90"/>
      <c r="BZ141" s="90"/>
    </row>
    <row r="142" spans="61:78">
      <c r="BI142" s="59"/>
      <c r="BJ142" s="59"/>
      <c r="BK142" s="59"/>
      <c r="BL142" s="59"/>
      <c r="BM142" s="59"/>
      <c r="BN142" s="59"/>
      <c r="BO142" s="59"/>
      <c r="BP142" s="144"/>
      <c r="BS142" s="90"/>
      <c r="BT142" s="90"/>
      <c r="BU142" s="90"/>
      <c r="BV142" s="90"/>
      <c r="BW142" s="90"/>
      <c r="BX142" s="90"/>
      <c r="BY142" s="90"/>
      <c r="BZ142" s="90"/>
    </row>
    <row r="143" spans="61:78">
      <c r="BI143" s="59"/>
      <c r="BJ143" s="59"/>
      <c r="BK143" s="59"/>
      <c r="BL143" s="59"/>
      <c r="BM143" s="59"/>
      <c r="BN143" s="59"/>
      <c r="BO143" s="59"/>
      <c r="BP143" s="144"/>
      <c r="BS143" s="90"/>
      <c r="BT143" s="90"/>
      <c r="BU143" s="90"/>
      <c r="BV143" s="90"/>
      <c r="BW143" s="90"/>
      <c r="BX143" s="90"/>
      <c r="BY143" s="90"/>
      <c r="BZ143" s="90"/>
    </row>
    <row r="144" spans="61:78">
      <c r="BI144" s="59"/>
      <c r="BJ144" s="59"/>
      <c r="BK144" s="59"/>
      <c r="BL144" s="59"/>
      <c r="BM144" s="59"/>
      <c r="BN144" s="59"/>
      <c r="BO144" s="59"/>
      <c r="BP144" s="144"/>
      <c r="BS144" s="90"/>
      <c r="BT144" s="90"/>
      <c r="BU144" s="90"/>
      <c r="BV144" s="90"/>
      <c r="BW144" s="90"/>
      <c r="BX144" s="90"/>
      <c r="BY144" s="90"/>
      <c r="BZ144" s="90"/>
    </row>
    <row r="145" spans="61:78">
      <c r="BI145" s="59"/>
      <c r="BJ145" s="59"/>
      <c r="BK145" s="59"/>
      <c r="BL145" s="59"/>
      <c r="BM145" s="59"/>
      <c r="BN145" s="59"/>
      <c r="BO145" s="59"/>
      <c r="BP145" s="144"/>
      <c r="BS145" s="90"/>
      <c r="BT145" s="90"/>
      <c r="BU145" s="90"/>
      <c r="BV145" s="90"/>
      <c r="BW145" s="90"/>
      <c r="BX145" s="90"/>
      <c r="BY145" s="90"/>
      <c r="BZ145" s="90"/>
    </row>
    <row r="146" spans="61:78">
      <c r="BI146" s="59"/>
      <c r="BJ146" s="59"/>
      <c r="BK146" s="59"/>
      <c r="BL146" s="59"/>
      <c r="BM146" s="59"/>
      <c r="BN146" s="59"/>
      <c r="BO146" s="59"/>
      <c r="BP146" s="144"/>
      <c r="BS146" s="90"/>
      <c r="BT146" s="90"/>
      <c r="BU146" s="90"/>
      <c r="BV146" s="90"/>
      <c r="BW146" s="90"/>
      <c r="BX146" s="90"/>
      <c r="BY146" s="90"/>
      <c r="BZ146" s="90"/>
    </row>
    <row r="147" spans="61:78">
      <c r="BI147" s="59"/>
      <c r="BJ147" s="59"/>
      <c r="BK147" s="59"/>
      <c r="BL147" s="59"/>
      <c r="BM147" s="59"/>
      <c r="BN147" s="59"/>
      <c r="BO147" s="59"/>
      <c r="BP147" s="144"/>
      <c r="BS147" s="90"/>
      <c r="BT147" s="90"/>
      <c r="BU147" s="90"/>
      <c r="BV147" s="90"/>
      <c r="BW147" s="90"/>
      <c r="BX147" s="90"/>
      <c r="BY147" s="90"/>
      <c r="BZ147" s="90"/>
    </row>
    <row r="148" spans="61:78">
      <c r="BI148" s="59"/>
      <c r="BJ148" s="59"/>
      <c r="BK148" s="59"/>
      <c r="BL148" s="59"/>
      <c r="BM148" s="59"/>
      <c r="BN148" s="59"/>
      <c r="BO148" s="59"/>
      <c r="BP148" s="144"/>
      <c r="BS148" s="90"/>
      <c r="BT148" s="90"/>
      <c r="BU148" s="90"/>
      <c r="BV148" s="90"/>
      <c r="BW148" s="90"/>
      <c r="BX148" s="90"/>
      <c r="BY148" s="90"/>
      <c r="BZ148" s="90"/>
    </row>
    <row r="149" spans="61:78">
      <c r="BI149" s="59"/>
      <c r="BJ149" s="59"/>
      <c r="BK149" s="59"/>
      <c r="BL149" s="59"/>
      <c r="BM149" s="59"/>
      <c r="BN149" s="59"/>
      <c r="BO149" s="59"/>
      <c r="BP149" s="144"/>
      <c r="BS149" s="90"/>
      <c r="BT149" s="90"/>
      <c r="BU149" s="90"/>
      <c r="BV149" s="90"/>
      <c r="BW149" s="90"/>
      <c r="BX149" s="90"/>
      <c r="BY149" s="90"/>
      <c r="BZ149" s="90"/>
    </row>
    <row r="150" spans="61:78">
      <c r="BI150" s="59"/>
      <c r="BJ150" s="59"/>
      <c r="BK150" s="59"/>
      <c r="BL150" s="59"/>
      <c r="BM150" s="59"/>
      <c r="BN150" s="59"/>
      <c r="BO150" s="59"/>
      <c r="BP150" s="144"/>
      <c r="BS150" s="90"/>
      <c r="BT150" s="90"/>
      <c r="BU150" s="90"/>
      <c r="BV150" s="90"/>
      <c r="BW150" s="90"/>
      <c r="BX150" s="90"/>
      <c r="BY150" s="90"/>
      <c r="BZ150" s="90"/>
    </row>
    <row r="151" spans="61:78">
      <c r="BI151" s="59"/>
      <c r="BJ151" s="59"/>
      <c r="BK151" s="59"/>
      <c r="BL151" s="59"/>
      <c r="BM151" s="59"/>
      <c r="BN151" s="59"/>
      <c r="BO151" s="59"/>
      <c r="BP151" s="144"/>
      <c r="BS151" s="90"/>
      <c r="BT151" s="90"/>
      <c r="BU151" s="90"/>
      <c r="BV151" s="90"/>
      <c r="BW151" s="90"/>
      <c r="BX151" s="90"/>
      <c r="BY151" s="90"/>
      <c r="BZ151" s="90"/>
    </row>
    <row r="152" spans="61:78">
      <c r="BI152" s="59"/>
      <c r="BJ152" s="59"/>
      <c r="BK152" s="59"/>
      <c r="BL152" s="59"/>
      <c r="BM152" s="59"/>
      <c r="BN152" s="59"/>
      <c r="BO152" s="59"/>
      <c r="BP152" s="144"/>
      <c r="BS152" s="90"/>
      <c r="BT152" s="90"/>
      <c r="BU152" s="90"/>
      <c r="BV152" s="90"/>
      <c r="BW152" s="90"/>
      <c r="BX152" s="90"/>
      <c r="BY152" s="90"/>
      <c r="BZ152" s="90"/>
    </row>
    <row r="153" spans="61:78">
      <c r="BI153" s="59"/>
      <c r="BJ153" s="59"/>
      <c r="BK153" s="59"/>
      <c r="BL153" s="59"/>
      <c r="BM153" s="59"/>
      <c r="BN153" s="59"/>
      <c r="BO153" s="59"/>
      <c r="BP153" s="144"/>
      <c r="BS153" s="90"/>
      <c r="BT153" s="90"/>
      <c r="BU153" s="90"/>
      <c r="BV153" s="90"/>
      <c r="BW153" s="90"/>
      <c r="BX153" s="90"/>
      <c r="BY153" s="90"/>
      <c r="BZ153" s="90"/>
    </row>
    <row r="154" spans="61:78">
      <c r="BI154" s="59"/>
      <c r="BJ154" s="59"/>
      <c r="BK154" s="59"/>
      <c r="BL154" s="59"/>
      <c r="BM154" s="59"/>
      <c r="BN154" s="59"/>
      <c r="BO154" s="59"/>
      <c r="BP154" s="144"/>
      <c r="BS154" s="90"/>
      <c r="BT154" s="90"/>
      <c r="BU154" s="90"/>
      <c r="BV154" s="90"/>
      <c r="BW154" s="90"/>
      <c r="BX154" s="90"/>
      <c r="BY154" s="90"/>
      <c r="BZ154" s="90"/>
    </row>
    <row r="155" spans="61:78">
      <c r="BI155" s="59"/>
      <c r="BJ155" s="59"/>
      <c r="BK155" s="59"/>
      <c r="BL155" s="59"/>
      <c r="BM155" s="59"/>
      <c r="BN155" s="59"/>
      <c r="BO155" s="59"/>
      <c r="BP155" s="144"/>
      <c r="BS155" s="90"/>
      <c r="BT155" s="90"/>
      <c r="BU155" s="90"/>
      <c r="BV155" s="90"/>
      <c r="BW155" s="90"/>
      <c r="BX155" s="90"/>
      <c r="BY155" s="90"/>
      <c r="BZ155" s="90"/>
    </row>
    <row r="156" spans="61:78">
      <c r="BI156" s="59"/>
      <c r="BJ156" s="59"/>
      <c r="BK156" s="59"/>
      <c r="BL156" s="59"/>
      <c r="BM156" s="59"/>
      <c r="BN156" s="59"/>
      <c r="BO156" s="59"/>
      <c r="BP156" s="144"/>
      <c r="BS156" s="90"/>
      <c r="BT156" s="90"/>
      <c r="BU156" s="90"/>
      <c r="BV156" s="90"/>
      <c r="BW156" s="90"/>
      <c r="BX156" s="90"/>
      <c r="BY156" s="90"/>
      <c r="BZ156" s="90"/>
    </row>
    <row r="157" spans="61:78">
      <c r="BI157" s="59"/>
      <c r="BJ157" s="59"/>
      <c r="BK157" s="59"/>
      <c r="BL157" s="59"/>
      <c r="BM157" s="59"/>
      <c r="BN157" s="59"/>
      <c r="BO157" s="59"/>
      <c r="BP157" s="144"/>
      <c r="BS157" s="90"/>
      <c r="BT157" s="90"/>
      <c r="BU157" s="90"/>
      <c r="BV157" s="90"/>
      <c r="BW157" s="90"/>
      <c r="BX157" s="90"/>
      <c r="BY157" s="90"/>
      <c r="BZ157" s="90"/>
    </row>
    <row r="158" spans="61:78">
      <c r="BI158" s="59"/>
      <c r="BJ158" s="59"/>
      <c r="BK158" s="59"/>
      <c r="BL158" s="59"/>
      <c r="BM158" s="59"/>
      <c r="BN158" s="59"/>
      <c r="BO158" s="59"/>
      <c r="BP158" s="144"/>
      <c r="BS158" s="90"/>
      <c r="BT158" s="90"/>
      <c r="BU158" s="90"/>
      <c r="BV158" s="90"/>
      <c r="BW158" s="90"/>
      <c r="BX158" s="90"/>
      <c r="BY158" s="90"/>
      <c r="BZ158" s="90"/>
    </row>
    <row r="159" spans="61:78">
      <c r="BI159" s="59"/>
      <c r="BJ159" s="59"/>
      <c r="BK159" s="59"/>
      <c r="BL159" s="59"/>
      <c r="BM159" s="59"/>
      <c r="BN159" s="59"/>
      <c r="BO159" s="59"/>
      <c r="BP159" s="144"/>
      <c r="BS159" s="90"/>
      <c r="BT159" s="90"/>
      <c r="BU159" s="90"/>
      <c r="BV159" s="90"/>
      <c r="BW159" s="90"/>
      <c r="BX159" s="90"/>
      <c r="BY159" s="90"/>
      <c r="BZ159" s="90"/>
    </row>
    <row r="160" spans="61:78">
      <c r="BI160" s="59"/>
      <c r="BJ160" s="59"/>
      <c r="BK160" s="59"/>
      <c r="BL160" s="59"/>
      <c r="BM160" s="59"/>
      <c r="BN160" s="59"/>
      <c r="BO160" s="59"/>
      <c r="BP160" s="144"/>
      <c r="BS160" s="90"/>
      <c r="BT160" s="90"/>
      <c r="BU160" s="90"/>
      <c r="BV160" s="90"/>
      <c r="BW160" s="90"/>
      <c r="BX160" s="90"/>
      <c r="BY160" s="90"/>
      <c r="BZ160" s="90"/>
    </row>
    <row r="161" spans="61:78">
      <c r="BI161" s="59"/>
      <c r="BJ161" s="59"/>
      <c r="BK161" s="59"/>
      <c r="BL161" s="59"/>
      <c r="BM161" s="59"/>
      <c r="BN161" s="59"/>
      <c r="BO161" s="59"/>
      <c r="BP161" s="144"/>
      <c r="BS161" s="90"/>
      <c r="BT161" s="90"/>
      <c r="BU161" s="90"/>
      <c r="BV161" s="90"/>
      <c r="BW161" s="90"/>
      <c r="BX161" s="90"/>
      <c r="BY161" s="90"/>
      <c r="BZ161" s="90"/>
    </row>
    <row r="162" spans="61:78">
      <c r="BI162" s="59"/>
      <c r="BJ162" s="59"/>
      <c r="BK162" s="59"/>
      <c r="BL162" s="59"/>
      <c r="BM162" s="59"/>
      <c r="BN162" s="59"/>
      <c r="BO162" s="59"/>
      <c r="BP162" s="144"/>
      <c r="BS162" s="90"/>
      <c r="BT162" s="90"/>
      <c r="BU162" s="90"/>
      <c r="BV162" s="90"/>
      <c r="BW162" s="90"/>
      <c r="BX162" s="90"/>
      <c r="BY162" s="90"/>
      <c r="BZ162" s="90"/>
    </row>
    <row r="163" spans="61:78">
      <c r="BI163" s="59"/>
      <c r="BJ163" s="59"/>
      <c r="BK163" s="59"/>
      <c r="BL163" s="59"/>
      <c r="BM163" s="59"/>
      <c r="BN163" s="59"/>
      <c r="BO163" s="59"/>
      <c r="BP163" s="144"/>
      <c r="BS163" s="90"/>
      <c r="BT163" s="90"/>
      <c r="BU163" s="90"/>
      <c r="BV163" s="90"/>
      <c r="BW163" s="90"/>
      <c r="BX163" s="90"/>
      <c r="BY163" s="90"/>
      <c r="BZ163" s="90"/>
    </row>
    <row r="164" spans="61:78">
      <c r="BI164" s="59"/>
      <c r="BJ164" s="59"/>
      <c r="BK164" s="59"/>
      <c r="BL164" s="59"/>
      <c r="BM164" s="59"/>
      <c r="BN164" s="59"/>
      <c r="BO164" s="59"/>
      <c r="BP164" s="144"/>
      <c r="BS164" s="90"/>
      <c r="BT164" s="90"/>
      <c r="BU164" s="90"/>
      <c r="BV164" s="90"/>
      <c r="BW164" s="90"/>
      <c r="BX164" s="90"/>
      <c r="BY164" s="90"/>
      <c r="BZ164" s="90"/>
    </row>
    <row r="165" spans="61:78">
      <c r="BI165" s="59"/>
      <c r="BJ165" s="59"/>
      <c r="BK165" s="59"/>
      <c r="BL165" s="59"/>
      <c r="BM165" s="59"/>
      <c r="BN165" s="59"/>
      <c r="BO165" s="59"/>
      <c r="BP165" s="144"/>
      <c r="BS165" s="90"/>
      <c r="BT165" s="90"/>
      <c r="BU165" s="90"/>
      <c r="BV165" s="90"/>
      <c r="BW165" s="90"/>
      <c r="BX165" s="90"/>
      <c r="BY165" s="90"/>
      <c r="BZ165" s="90"/>
    </row>
    <row r="166" spans="61:78">
      <c r="BI166" s="59"/>
      <c r="BJ166" s="59"/>
      <c r="BK166" s="59"/>
      <c r="BL166" s="59"/>
      <c r="BM166" s="59"/>
      <c r="BN166" s="59"/>
      <c r="BO166" s="59"/>
      <c r="BP166" s="144"/>
      <c r="BS166" s="90"/>
      <c r="BT166" s="90"/>
      <c r="BU166" s="90"/>
      <c r="BV166" s="90"/>
      <c r="BW166" s="90"/>
      <c r="BX166" s="90"/>
      <c r="BY166" s="90"/>
      <c r="BZ166" s="90"/>
    </row>
    <row r="167" spans="61:78">
      <c r="BI167" s="59"/>
      <c r="BJ167" s="59"/>
      <c r="BK167" s="59"/>
      <c r="BL167" s="59"/>
      <c r="BM167" s="59"/>
      <c r="BN167" s="59"/>
      <c r="BO167" s="59"/>
      <c r="BP167" s="144"/>
      <c r="BS167" s="90"/>
      <c r="BT167" s="90"/>
      <c r="BU167" s="90"/>
      <c r="BV167" s="90"/>
      <c r="BW167" s="90"/>
      <c r="BX167" s="90"/>
      <c r="BY167" s="90"/>
      <c r="BZ167" s="90"/>
    </row>
    <row r="168" spans="61:78">
      <c r="BI168" s="59"/>
      <c r="BJ168" s="59"/>
      <c r="BK168" s="59"/>
      <c r="BL168" s="59"/>
      <c r="BM168" s="59"/>
      <c r="BN168" s="59"/>
      <c r="BO168" s="59"/>
      <c r="BP168" s="144"/>
      <c r="BS168" s="90"/>
      <c r="BT168" s="90"/>
      <c r="BU168" s="90"/>
      <c r="BV168" s="90"/>
      <c r="BW168" s="90"/>
      <c r="BX168" s="90"/>
      <c r="BY168" s="90"/>
      <c r="BZ168" s="90"/>
    </row>
    <row r="169" spans="61:78">
      <c r="BI169" s="59"/>
      <c r="BJ169" s="59"/>
      <c r="BK169" s="59"/>
      <c r="BL169" s="59"/>
      <c r="BM169" s="59"/>
      <c r="BN169" s="59"/>
      <c r="BO169" s="59"/>
      <c r="BP169" s="144"/>
      <c r="BS169" s="90"/>
      <c r="BT169" s="90"/>
      <c r="BU169" s="90"/>
      <c r="BV169" s="90"/>
      <c r="BW169" s="90"/>
      <c r="BX169" s="90"/>
      <c r="BY169" s="90"/>
      <c r="BZ169" s="90"/>
    </row>
    <row r="170" spans="61:78">
      <c r="BI170" s="59"/>
      <c r="BJ170" s="59"/>
      <c r="BK170" s="59"/>
      <c r="BL170" s="59"/>
      <c r="BM170" s="59"/>
      <c r="BN170" s="59"/>
      <c r="BO170" s="59"/>
      <c r="BP170" s="144"/>
      <c r="BS170" s="90"/>
      <c r="BT170" s="90"/>
      <c r="BU170" s="90"/>
      <c r="BV170" s="90"/>
      <c r="BW170" s="90"/>
      <c r="BX170" s="90"/>
      <c r="BY170" s="90"/>
      <c r="BZ170" s="90"/>
    </row>
    <row r="171" spans="61:78">
      <c r="BI171" s="59"/>
      <c r="BJ171" s="59"/>
      <c r="BK171" s="59"/>
      <c r="BL171" s="59"/>
      <c r="BM171" s="59"/>
      <c r="BN171" s="59"/>
      <c r="BO171" s="59"/>
      <c r="BP171" s="144"/>
      <c r="BS171" s="90"/>
      <c r="BT171" s="90"/>
      <c r="BU171" s="90"/>
      <c r="BV171" s="90"/>
      <c r="BW171" s="90"/>
      <c r="BX171" s="90"/>
      <c r="BY171" s="90"/>
      <c r="BZ171" s="90"/>
    </row>
    <row r="172" spans="61:78">
      <c r="BI172" s="59"/>
      <c r="BJ172" s="59"/>
      <c r="BK172" s="59"/>
      <c r="BL172" s="59"/>
      <c r="BM172" s="59"/>
      <c r="BN172" s="59"/>
      <c r="BO172" s="59"/>
      <c r="BP172" s="144"/>
      <c r="BS172" s="90"/>
      <c r="BT172" s="90"/>
      <c r="BU172" s="90"/>
      <c r="BV172" s="90"/>
      <c r="BW172" s="90"/>
      <c r="BX172" s="90"/>
      <c r="BY172" s="90"/>
      <c r="BZ172" s="90"/>
    </row>
    <row r="173" spans="61:78">
      <c r="BI173" s="59"/>
      <c r="BJ173" s="59"/>
      <c r="BK173" s="59"/>
      <c r="BL173" s="59"/>
      <c r="BM173" s="59"/>
      <c r="BN173" s="59"/>
      <c r="BO173" s="59"/>
      <c r="BP173" s="144"/>
      <c r="BS173" s="90"/>
      <c r="BT173" s="90"/>
      <c r="BU173" s="90"/>
      <c r="BV173" s="90"/>
      <c r="BW173" s="90"/>
      <c r="BX173" s="90"/>
      <c r="BY173" s="90"/>
      <c r="BZ173" s="90"/>
    </row>
    <row r="174" spans="61:78">
      <c r="BI174" s="59"/>
      <c r="BJ174" s="59"/>
      <c r="BK174" s="59"/>
      <c r="BL174" s="59"/>
      <c r="BM174" s="59"/>
      <c r="BN174" s="59"/>
      <c r="BO174" s="59"/>
      <c r="BP174" s="144"/>
      <c r="BS174" s="90"/>
      <c r="BT174" s="90"/>
      <c r="BU174" s="90"/>
      <c r="BV174" s="90"/>
      <c r="BW174" s="90"/>
      <c r="BX174" s="90"/>
      <c r="BY174" s="90"/>
      <c r="BZ174" s="90"/>
    </row>
    <row r="175" spans="61:78">
      <c r="BI175" s="59"/>
      <c r="BJ175" s="59"/>
      <c r="BK175" s="59"/>
      <c r="BL175" s="59"/>
      <c r="BM175" s="59"/>
      <c r="BN175" s="59"/>
      <c r="BO175" s="59"/>
      <c r="BP175" s="144"/>
      <c r="BS175" s="90"/>
      <c r="BT175" s="90"/>
      <c r="BU175" s="90"/>
      <c r="BV175" s="90"/>
      <c r="BW175" s="90"/>
      <c r="BX175" s="90"/>
      <c r="BY175" s="90"/>
      <c r="BZ175" s="90"/>
    </row>
    <row r="176" spans="61:78">
      <c r="BI176" s="59"/>
      <c r="BJ176" s="59"/>
      <c r="BK176" s="59"/>
      <c r="BL176" s="59"/>
      <c r="BM176" s="59"/>
      <c r="BN176" s="59"/>
      <c r="BO176" s="59"/>
      <c r="BP176" s="144"/>
      <c r="BS176" s="90"/>
      <c r="BT176" s="90"/>
      <c r="BU176" s="90"/>
      <c r="BV176" s="90"/>
      <c r="BW176" s="90"/>
      <c r="BX176" s="90"/>
      <c r="BY176" s="90"/>
      <c r="BZ176" s="90"/>
    </row>
    <row r="177" spans="61:78">
      <c r="BI177" s="59"/>
      <c r="BJ177" s="59"/>
      <c r="BK177" s="59"/>
      <c r="BL177" s="59"/>
      <c r="BM177" s="59"/>
      <c r="BN177" s="59"/>
      <c r="BO177" s="59"/>
      <c r="BP177" s="144"/>
      <c r="BS177" s="90"/>
      <c r="BT177" s="90"/>
      <c r="BU177" s="90"/>
      <c r="BV177" s="90"/>
      <c r="BW177" s="90"/>
      <c r="BX177" s="90"/>
      <c r="BY177" s="90"/>
      <c r="BZ177" s="90"/>
    </row>
    <row r="178" spans="61:78">
      <c r="BI178" s="59"/>
      <c r="BJ178" s="59"/>
      <c r="BK178" s="59"/>
      <c r="BL178" s="59"/>
      <c r="BM178" s="59"/>
      <c r="BN178" s="59"/>
      <c r="BO178" s="59"/>
      <c r="BP178" s="144"/>
      <c r="BS178" s="90"/>
      <c r="BT178" s="90"/>
      <c r="BU178" s="90"/>
      <c r="BV178" s="90"/>
      <c r="BW178" s="90"/>
      <c r="BX178" s="90"/>
      <c r="BY178" s="90"/>
      <c r="BZ178" s="90"/>
    </row>
    <row r="179" spans="61:78">
      <c r="BI179" s="59"/>
      <c r="BJ179" s="59"/>
      <c r="BK179" s="59"/>
      <c r="BL179" s="59"/>
      <c r="BM179" s="59"/>
      <c r="BN179" s="59"/>
      <c r="BO179" s="59"/>
      <c r="BP179" s="144"/>
      <c r="BS179" s="90"/>
      <c r="BT179" s="90"/>
      <c r="BU179" s="90"/>
      <c r="BV179" s="90"/>
      <c r="BW179" s="90"/>
      <c r="BX179" s="90"/>
      <c r="BY179" s="90"/>
      <c r="BZ179" s="90"/>
    </row>
    <row r="180" spans="61:78">
      <c r="BI180" s="59"/>
      <c r="BJ180" s="59"/>
      <c r="BK180" s="59"/>
      <c r="BL180" s="59"/>
      <c r="BM180" s="59"/>
      <c r="BN180" s="59"/>
      <c r="BO180" s="59"/>
      <c r="BP180" s="144"/>
      <c r="BS180" s="90"/>
      <c r="BT180" s="90"/>
      <c r="BU180" s="90"/>
      <c r="BV180" s="90"/>
      <c r="BW180" s="90"/>
      <c r="BX180" s="90"/>
      <c r="BY180" s="90"/>
      <c r="BZ180" s="90"/>
    </row>
    <row r="181" spans="61:78">
      <c r="BI181" s="59"/>
      <c r="BJ181" s="59"/>
      <c r="BK181" s="59"/>
      <c r="BL181" s="59"/>
      <c r="BM181" s="59"/>
      <c r="BN181" s="59"/>
      <c r="BO181" s="59"/>
      <c r="BP181" s="144"/>
      <c r="BS181" s="90"/>
      <c r="BT181" s="90"/>
      <c r="BU181" s="90"/>
      <c r="BV181" s="90"/>
      <c r="BW181" s="90"/>
      <c r="BX181" s="90"/>
      <c r="BY181" s="90"/>
      <c r="BZ181" s="90"/>
    </row>
    <row r="182" spans="61:78">
      <c r="BI182" s="59"/>
      <c r="BJ182" s="59"/>
      <c r="BK182" s="59"/>
      <c r="BL182" s="59"/>
      <c r="BM182" s="59"/>
      <c r="BN182" s="59"/>
      <c r="BO182" s="59"/>
      <c r="BP182" s="144"/>
      <c r="BS182" s="90"/>
      <c r="BT182" s="90"/>
      <c r="BU182" s="90"/>
      <c r="BV182" s="90"/>
      <c r="BW182" s="90"/>
      <c r="BX182" s="90"/>
      <c r="BY182" s="90"/>
      <c r="BZ182" s="90"/>
    </row>
    <row r="183" spans="61:78">
      <c r="BI183" s="59"/>
      <c r="BJ183" s="59"/>
      <c r="BK183" s="59"/>
      <c r="BL183" s="59"/>
      <c r="BM183" s="59"/>
      <c r="BN183" s="59"/>
      <c r="BO183" s="59"/>
      <c r="BP183" s="144"/>
      <c r="BS183" s="90"/>
      <c r="BT183" s="90"/>
      <c r="BU183" s="90"/>
      <c r="BV183" s="90"/>
      <c r="BW183" s="90"/>
      <c r="BX183" s="90"/>
      <c r="BY183" s="90"/>
      <c r="BZ183" s="90"/>
    </row>
    <row r="184" spans="61:78">
      <c r="BI184" s="59"/>
      <c r="BJ184" s="59"/>
      <c r="BK184" s="59"/>
      <c r="BL184" s="59"/>
      <c r="BM184" s="59"/>
      <c r="BN184" s="59"/>
      <c r="BO184" s="59"/>
      <c r="BP184" s="144"/>
      <c r="BS184" s="90"/>
      <c r="BT184" s="90"/>
      <c r="BU184" s="90"/>
      <c r="BV184" s="90"/>
      <c r="BW184" s="90"/>
      <c r="BX184" s="90"/>
      <c r="BY184" s="90"/>
      <c r="BZ184" s="90"/>
    </row>
    <row r="185" spans="61:78">
      <c r="BI185" s="59"/>
      <c r="BJ185" s="59"/>
      <c r="BK185" s="59"/>
      <c r="BL185" s="59"/>
      <c r="BM185" s="59"/>
      <c r="BN185" s="59"/>
      <c r="BO185" s="59"/>
      <c r="BP185" s="144"/>
      <c r="BS185" s="90"/>
      <c r="BT185" s="90"/>
      <c r="BU185" s="90"/>
      <c r="BV185" s="90"/>
      <c r="BW185" s="90"/>
      <c r="BX185" s="90"/>
      <c r="BY185" s="90"/>
      <c r="BZ185" s="90"/>
    </row>
    <row r="186" spans="61:78">
      <c r="BI186" s="59"/>
      <c r="BJ186" s="59"/>
      <c r="BK186" s="59"/>
      <c r="BL186" s="59"/>
      <c r="BM186" s="59"/>
      <c r="BN186" s="59"/>
      <c r="BO186" s="59"/>
      <c r="BP186" s="144"/>
      <c r="BS186" s="90"/>
      <c r="BT186" s="90"/>
      <c r="BU186" s="90"/>
      <c r="BV186" s="90"/>
      <c r="BW186" s="90"/>
      <c r="BX186" s="90"/>
      <c r="BY186" s="90"/>
      <c r="BZ186" s="90"/>
    </row>
    <row r="187" spans="61:78">
      <c r="BI187" s="59"/>
      <c r="BJ187" s="59"/>
      <c r="BK187" s="59"/>
      <c r="BL187" s="59"/>
      <c r="BM187" s="59"/>
      <c r="BN187" s="59"/>
      <c r="BO187" s="59"/>
      <c r="BP187" s="144"/>
      <c r="BS187" s="90"/>
      <c r="BT187" s="90"/>
      <c r="BU187" s="90"/>
      <c r="BV187" s="90"/>
      <c r="BW187" s="90"/>
      <c r="BX187" s="90"/>
      <c r="BY187" s="90"/>
      <c r="BZ187" s="90"/>
    </row>
    <row r="188" spans="61:78">
      <c r="BI188" s="59"/>
      <c r="BJ188" s="59"/>
      <c r="BK188" s="59"/>
      <c r="BL188" s="59"/>
      <c r="BM188" s="59"/>
      <c r="BN188" s="59"/>
      <c r="BO188" s="59"/>
      <c r="BP188" s="144"/>
      <c r="BS188" s="90"/>
      <c r="BT188" s="90"/>
      <c r="BU188" s="90"/>
      <c r="BV188" s="90"/>
      <c r="BW188" s="90"/>
      <c r="BX188" s="90"/>
      <c r="BY188" s="90"/>
      <c r="BZ188" s="90"/>
    </row>
    <row r="189" spans="61:78">
      <c r="BI189" s="59"/>
      <c r="BJ189" s="59"/>
      <c r="BK189" s="59"/>
      <c r="BL189" s="59"/>
      <c r="BM189" s="59"/>
      <c r="BN189" s="59"/>
      <c r="BO189" s="59"/>
      <c r="BP189" s="144"/>
      <c r="BS189" s="90"/>
      <c r="BT189" s="90"/>
      <c r="BU189" s="90"/>
      <c r="BV189" s="90"/>
      <c r="BW189" s="90"/>
      <c r="BX189" s="90"/>
      <c r="BY189" s="90"/>
      <c r="BZ189" s="90"/>
    </row>
    <row r="190" spans="61:78">
      <c r="BI190" s="59"/>
      <c r="BJ190" s="59"/>
      <c r="BK190" s="59"/>
      <c r="BL190" s="59"/>
      <c r="BM190" s="59"/>
      <c r="BN190" s="59"/>
      <c r="BO190" s="59"/>
      <c r="BP190" s="144"/>
      <c r="BS190" s="90"/>
      <c r="BT190" s="90"/>
      <c r="BU190" s="90"/>
      <c r="BV190" s="90"/>
      <c r="BW190" s="90"/>
      <c r="BX190" s="90"/>
      <c r="BY190" s="90"/>
      <c r="BZ190" s="90"/>
    </row>
    <row r="191" spans="61:78">
      <c r="BI191" s="59"/>
      <c r="BJ191" s="59"/>
      <c r="BK191" s="59"/>
      <c r="BL191" s="59"/>
      <c r="BM191" s="59"/>
      <c r="BN191" s="59"/>
      <c r="BO191" s="59"/>
      <c r="BP191" s="144"/>
      <c r="BS191" s="90"/>
      <c r="BT191" s="90"/>
      <c r="BU191" s="90"/>
      <c r="BV191" s="90"/>
      <c r="BW191" s="90"/>
      <c r="BX191" s="90"/>
      <c r="BY191" s="90"/>
      <c r="BZ191" s="90"/>
    </row>
    <row r="192" spans="61:78">
      <c r="BI192" s="59"/>
      <c r="BJ192" s="59"/>
      <c r="BK192" s="59"/>
      <c r="BL192" s="59"/>
      <c r="BM192" s="59"/>
      <c r="BN192" s="59"/>
      <c r="BO192" s="59"/>
      <c r="BP192" s="144"/>
      <c r="BS192" s="90"/>
      <c r="BT192" s="90"/>
      <c r="BU192" s="90"/>
      <c r="BV192" s="90"/>
      <c r="BW192" s="90"/>
      <c r="BX192" s="90"/>
      <c r="BY192" s="90"/>
      <c r="BZ192" s="90"/>
    </row>
    <row r="193" spans="61:78">
      <c r="BI193" s="59"/>
      <c r="BJ193" s="59"/>
      <c r="BK193" s="59"/>
      <c r="BL193" s="59"/>
      <c r="BM193" s="59"/>
      <c r="BN193" s="59"/>
      <c r="BO193" s="59"/>
      <c r="BP193" s="144"/>
      <c r="BS193" s="90"/>
      <c r="BT193" s="90"/>
      <c r="BU193" s="90"/>
      <c r="BV193" s="90"/>
      <c r="BW193" s="90"/>
      <c r="BX193" s="90"/>
      <c r="BY193" s="90"/>
      <c r="BZ193" s="90"/>
    </row>
    <row r="194" spans="61:78">
      <c r="BI194" s="59"/>
      <c r="BJ194" s="59"/>
      <c r="BK194" s="59"/>
      <c r="BL194" s="59"/>
      <c r="BM194" s="59"/>
      <c r="BN194" s="59"/>
      <c r="BO194" s="59"/>
      <c r="BP194" s="144"/>
      <c r="BS194" s="90"/>
      <c r="BT194" s="90"/>
      <c r="BU194" s="90"/>
      <c r="BV194" s="90"/>
      <c r="BW194" s="90"/>
      <c r="BX194" s="90"/>
      <c r="BY194" s="90"/>
      <c r="BZ194" s="90"/>
    </row>
    <row r="195" spans="61:78">
      <c r="BI195" s="59"/>
      <c r="BJ195" s="59"/>
      <c r="BK195" s="59"/>
      <c r="BL195" s="59"/>
      <c r="BM195" s="59"/>
      <c r="BN195" s="59"/>
      <c r="BO195" s="59"/>
      <c r="BP195" s="144"/>
      <c r="BS195" s="90"/>
      <c r="BT195" s="90"/>
      <c r="BU195" s="90"/>
      <c r="BV195" s="90"/>
      <c r="BW195" s="90"/>
      <c r="BX195" s="90"/>
      <c r="BY195" s="90"/>
      <c r="BZ195" s="90"/>
    </row>
    <row r="196" spans="61:78">
      <c r="BI196" s="59"/>
      <c r="BJ196" s="59"/>
      <c r="BK196" s="59"/>
      <c r="BL196" s="59"/>
      <c r="BM196" s="59"/>
      <c r="BN196" s="59"/>
      <c r="BO196" s="59"/>
      <c r="BP196" s="144"/>
      <c r="BS196" s="90"/>
      <c r="BT196" s="90"/>
      <c r="BU196" s="90"/>
      <c r="BV196" s="90"/>
      <c r="BW196" s="90"/>
      <c r="BX196" s="90"/>
      <c r="BY196" s="90"/>
      <c r="BZ196" s="90"/>
    </row>
    <row r="197" spans="61:78">
      <c r="BI197" s="59"/>
      <c r="BJ197" s="59"/>
      <c r="BK197" s="59"/>
      <c r="BL197" s="59"/>
      <c r="BM197" s="59"/>
      <c r="BN197" s="59"/>
      <c r="BO197" s="59"/>
      <c r="BP197" s="144"/>
      <c r="BS197" s="90"/>
      <c r="BT197" s="90"/>
      <c r="BU197" s="90"/>
      <c r="BV197" s="90"/>
      <c r="BW197" s="90"/>
      <c r="BX197" s="90"/>
      <c r="BY197" s="90"/>
      <c r="BZ197" s="90"/>
    </row>
    <row r="198" spans="61:78">
      <c r="BI198" s="59"/>
      <c r="BJ198" s="59"/>
      <c r="BK198" s="59"/>
      <c r="BL198" s="59"/>
      <c r="BM198" s="59"/>
      <c r="BN198" s="59"/>
      <c r="BO198" s="59"/>
      <c r="BP198" s="144"/>
      <c r="BS198" s="90"/>
      <c r="BT198" s="90"/>
      <c r="BU198" s="90"/>
      <c r="BV198" s="90"/>
      <c r="BW198" s="90"/>
      <c r="BX198" s="90"/>
      <c r="BY198" s="90"/>
      <c r="BZ198" s="90"/>
    </row>
    <row r="199" spans="61:78">
      <c r="BI199" s="59"/>
      <c r="BJ199" s="59"/>
      <c r="BK199" s="59"/>
      <c r="BL199" s="59"/>
      <c r="BM199" s="59"/>
      <c r="BN199" s="59"/>
      <c r="BO199" s="59"/>
      <c r="BP199" s="144"/>
      <c r="BS199" s="90"/>
      <c r="BT199" s="90"/>
      <c r="BU199" s="90"/>
      <c r="BV199" s="90"/>
      <c r="BW199" s="90"/>
      <c r="BX199" s="90"/>
      <c r="BY199" s="90"/>
      <c r="BZ199" s="90"/>
    </row>
    <row r="200" spans="61:78">
      <c r="BI200" s="59"/>
      <c r="BJ200" s="59"/>
      <c r="BK200" s="59"/>
      <c r="BL200" s="59"/>
      <c r="BM200" s="59"/>
      <c r="BN200" s="59"/>
      <c r="BO200" s="59"/>
      <c r="BP200" s="144"/>
      <c r="BS200" s="90"/>
      <c r="BT200" s="90"/>
      <c r="BU200" s="90"/>
      <c r="BV200" s="90"/>
      <c r="BW200" s="90"/>
      <c r="BX200" s="90"/>
      <c r="BY200" s="90"/>
      <c r="BZ200" s="90"/>
    </row>
    <row r="201" spans="61:78">
      <c r="BI201" s="59"/>
      <c r="BJ201" s="59"/>
      <c r="BK201" s="59"/>
      <c r="BL201" s="59"/>
      <c r="BM201" s="59"/>
      <c r="BN201" s="59"/>
      <c r="BO201" s="59"/>
      <c r="BP201" s="144"/>
      <c r="BS201" s="90"/>
      <c r="BT201" s="90"/>
      <c r="BU201" s="90"/>
      <c r="BV201" s="90"/>
      <c r="BW201" s="90"/>
      <c r="BX201" s="90"/>
      <c r="BY201" s="90"/>
      <c r="BZ201" s="90"/>
    </row>
    <row r="202" spans="61:78">
      <c r="BI202" s="59"/>
      <c r="BJ202" s="59"/>
      <c r="BK202" s="59"/>
      <c r="BL202" s="59"/>
      <c r="BM202" s="59"/>
      <c r="BN202" s="59"/>
      <c r="BO202" s="59"/>
      <c r="BP202" s="144"/>
      <c r="BS202" s="90"/>
      <c r="BT202" s="90"/>
      <c r="BU202" s="90"/>
      <c r="BV202" s="90"/>
      <c r="BW202" s="90"/>
      <c r="BX202" s="90"/>
      <c r="BY202" s="90"/>
      <c r="BZ202" s="90"/>
    </row>
    <row r="203" spans="61:78">
      <c r="BI203" s="59"/>
      <c r="BJ203" s="59"/>
      <c r="BK203" s="59"/>
      <c r="BL203" s="59"/>
      <c r="BM203" s="59"/>
      <c r="BN203" s="59"/>
      <c r="BO203" s="59"/>
      <c r="BP203" s="144"/>
      <c r="BS203" s="90"/>
      <c r="BT203" s="90"/>
      <c r="BU203" s="90"/>
      <c r="BV203" s="90"/>
      <c r="BW203" s="90"/>
      <c r="BX203" s="90"/>
      <c r="BY203" s="90"/>
      <c r="BZ203" s="90"/>
    </row>
    <row r="204" spans="61:78">
      <c r="BI204" s="59"/>
      <c r="BJ204" s="59"/>
      <c r="BK204" s="59"/>
      <c r="BL204" s="59"/>
      <c r="BM204" s="59"/>
      <c r="BN204" s="59"/>
      <c r="BO204" s="59"/>
      <c r="BP204" s="144"/>
      <c r="BS204" s="90"/>
      <c r="BT204" s="90"/>
      <c r="BU204" s="90"/>
      <c r="BV204" s="90"/>
      <c r="BW204" s="90"/>
      <c r="BX204" s="90"/>
      <c r="BY204" s="90"/>
      <c r="BZ204" s="90"/>
    </row>
    <row r="205" spans="61:78">
      <c r="BI205" s="59"/>
      <c r="BJ205" s="59"/>
      <c r="BK205" s="59"/>
      <c r="BL205" s="59"/>
      <c r="BM205" s="59"/>
      <c r="BN205" s="59"/>
      <c r="BO205" s="59"/>
      <c r="BP205" s="144"/>
      <c r="BS205" s="90"/>
      <c r="BT205" s="90"/>
      <c r="BU205" s="90"/>
      <c r="BV205" s="90"/>
      <c r="BW205" s="90"/>
      <c r="BX205" s="90"/>
      <c r="BY205" s="90"/>
      <c r="BZ205" s="90"/>
    </row>
    <row r="206" spans="61:78">
      <c r="BI206" s="59"/>
      <c r="BJ206" s="59"/>
      <c r="BK206" s="59"/>
      <c r="BL206" s="59"/>
      <c r="BM206" s="59"/>
      <c r="BN206" s="59"/>
      <c r="BO206" s="59"/>
      <c r="BP206" s="144"/>
      <c r="BS206" s="90"/>
      <c r="BT206" s="90"/>
      <c r="BU206" s="90"/>
      <c r="BV206" s="90"/>
      <c r="BW206" s="90"/>
      <c r="BX206" s="90"/>
      <c r="BY206" s="90"/>
      <c r="BZ206" s="90"/>
    </row>
    <row r="207" spans="61:78">
      <c r="BI207" s="59"/>
      <c r="BJ207" s="59"/>
      <c r="BK207" s="59"/>
      <c r="BL207" s="59"/>
      <c r="BM207" s="59"/>
      <c r="BN207" s="59"/>
      <c r="BO207" s="59"/>
      <c r="BP207" s="144"/>
      <c r="BS207" s="90"/>
      <c r="BT207" s="90"/>
      <c r="BU207" s="90"/>
      <c r="BV207" s="90"/>
      <c r="BW207" s="90"/>
      <c r="BX207" s="90"/>
      <c r="BY207" s="90"/>
      <c r="BZ207" s="90"/>
    </row>
    <row r="208" spans="61:78">
      <c r="BI208" s="59"/>
      <c r="BJ208" s="59"/>
      <c r="BK208" s="59"/>
      <c r="BL208" s="59"/>
      <c r="BM208" s="59"/>
      <c r="BN208" s="59"/>
      <c r="BO208" s="59"/>
      <c r="BP208" s="144"/>
      <c r="BS208" s="90"/>
      <c r="BT208" s="90"/>
      <c r="BU208" s="90"/>
      <c r="BV208" s="90"/>
      <c r="BW208" s="90"/>
      <c r="BX208" s="90"/>
      <c r="BY208" s="90"/>
      <c r="BZ208" s="90"/>
    </row>
    <row r="209" spans="61:78">
      <c r="BI209" s="59"/>
      <c r="BJ209" s="59"/>
      <c r="BK209" s="59"/>
      <c r="BL209" s="59"/>
      <c r="BM209" s="59"/>
      <c r="BN209" s="59"/>
      <c r="BO209" s="59"/>
      <c r="BP209" s="144"/>
      <c r="BS209" s="90"/>
      <c r="BT209" s="90"/>
      <c r="BU209" s="90"/>
      <c r="BV209" s="90"/>
      <c r="BW209" s="90"/>
      <c r="BX209" s="90"/>
      <c r="BY209" s="90"/>
      <c r="BZ209" s="90"/>
    </row>
    <row r="210" spans="61:78">
      <c r="BI210" s="59"/>
      <c r="BJ210" s="59"/>
      <c r="BK210" s="59"/>
      <c r="BL210" s="59"/>
      <c r="BM210" s="59"/>
      <c r="BN210" s="59"/>
      <c r="BO210" s="59"/>
      <c r="BP210" s="144"/>
      <c r="BS210" s="90"/>
      <c r="BT210" s="90"/>
      <c r="BU210" s="90"/>
      <c r="BV210" s="90"/>
      <c r="BW210" s="90"/>
      <c r="BX210" s="90"/>
      <c r="BY210" s="90"/>
      <c r="BZ210" s="90"/>
    </row>
    <row r="211" spans="61:78">
      <c r="BI211" s="59"/>
      <c r="BJ211" s="59"/>
      <c r="BK211" s="59"/>
      <c r="BL211" s="59"/>
      <c r="BM211" s="59"/>
      <c r="BN211" s="59"/>
      <c r="BO211" s="59"/>
      <c r="BP211" s="144"/>
      <c r="BS211" s="90"/>
      <c r="BT211" s="90"/>
      <c r="BU211" s="90"/>
      <c r="BV211" s="90"/>
      <c r="BW211" s="90"/>
      <c r="BX211" s="90"/>
      <c r="BY211" s="90"/>
      <c r="BZ211" s="90"/>
    </row>
    <row r="212" spans="61:78">
      <c r="BI212" s="59"/>
      <c r="BJ212" s="59"/>
      <c r="BK212" s="59"/>
      <c r="BL212" s="59"/>
      <c r="BM212" s="59"/>
      <c r="BN212" s="59"/>
      <c r="BO212" s="59"/>
      <c r="BP212" s="144"/>
      <c r="BS212" s="90"/>
      <c r="BT212" s="90"/>
      <c r="BU212" s="90"/>
      <c r="BV212" s="90"/>
      <c r="BW212" s="90"/>
      <c r="BX212" s="90"/>
      <c r="BY212" s="90"/>
      <c r="BZ212" s="90"/>
    </row>
    <row r="213" spans="61:78">
      <c r="BI213" s="59"/>
      <c r="BJ213" s="59"/>
      <c r="BK213" s="59"/>
      <c r="BL213" s="59"/>
      <c r="BM213" s="59"/>
      <c r="BN213" s="59"/>
      <c r="BO213" s="59"/>
      <c r="BP213" s="144"/>
      <c r="BS213" s="90"/>
      <c r="BT213" s="90"/>
      <c r="BU213" s="90"/>
      <c r="BV213" s="90"/>
      <c r="BW213" s="90"/>
      <c r="BX213" s="90"/>
      <c r="BY213" s="90"/>
      <c r="BZ213" s="90"/>
    </row>
    <row r="214" spans="61:78">
      <c r="BI214" s="59"/>
      <c r="BJ214" s="59"/>
      <c r="BK214" s="59"/>
      <c r="BL214" s="59"/>
      <c r="BM214" s="59"/>
      <c r="BN214" s="59"/>
      <c r="BO214" s="59"/>
      <c r="BP214" s="144"/>
      <c r="BS214" s="90"/>
      <c r="BT214" s="90"/>
      <c r="BU214" s="90"/>
      <c r="BV214" s="90"/>
      <c r="BW214" s="90"/>
      <c r="BX214" s="90"/>
      <c r="BY214" s="90"/>
      <c r="BZ214" s="90"/>
    </row>
    <row r="215" spans="61:78">
      <c r="BI215" s="59"/>
      <c r="BJ215" s="59"/>
      <c r="BK215" s="59"/>
      <c r="BL215" s="59"/>
      <c r="BM215" s="59"/>
      <c r="BN215" s="59"/>
      <c r="BO215" s="59"/>
      <c r="BP215" s="144"/>
      <c r="BS215" s="90"/>
      <c r="BT215" s="90"/>
      <c r="BU215" s="90"/>
      <c r="BV215" s="90"/>
      <c r="BW215" s="90"/>
      <c r="BX215" s="90"/>
      <c r="BY215" s="90"/>
      <c r="BZ215" s="90"/>
    </row>
    <row r="216" spans="61:78">
      <c r="BI216" s="59"/>
      <c r="BJ216" s="59"/>
      <c r="BK216" s="59"/>
      <c r="BL216" s="59"/>
      <c r="BM216" s="59"/>
      <c r="BN216" s="59"/>
      <c r="BO216" s="59"/>
      <c r="BP216" s="144"/>
      <c r="BS216" s="90"/>
      <c r="BT216" s="90"/>
      <c r="BU216" s="90"/>
      <c r="BV216" s="90"/>
      <c r="BW216" s="90"/>
      <c r="BX216" s="90"/>
      <c r="BY216" s="90"/>
      <c r="BZ216" s="90"/>
    </row>
    <row r="217" spans="61:78">
      <c r="BI217" s="59"/>
      <c r="BJ217" s="59"/>
      <c r="BK217" s="59"/>
      <c r="BL217" s="59"/>
      <c r="BM217" s="59"/>
      <c r="BN217" s="59"/>
      <c r="BO217" s="59"/>
      <c r="BP217" s="144"/>
      <c r="BS217" s="90"/>
      <c r="BT217" s="90"/>
      <c r="BU217" s="90"/>
      <c r="BV217" s="90"/>
      <c r="BW217" s="90"/>
      <c r="BX217" s="90"/>
      <c r="BY217" s="90"/>
      <c r="BZ217" s="90"/>
    </row>
    <row r="218" spans="61:78">
      <c r="BI218" s="59"/>
      <c r="BJ218" s="59"/>
      <c r="BK218" s="59"/>
      <c r="BL218" s="59"/>
      <c r="BM218" s="59"/>
      <c r="BN218" s="59"/>
      <c r="BO218" s="59"/>
      <c r="BP218" s="144"/>
      <c r="BS218" s="90"/>
      <c r="BT218" s="90"/>
      <c r="BU218" s="90"/>
      <c r="BV218" s="90"/>
      <c r="BW218" s="90"/>
      <c r="BX218" s="90"/>
      <c r="BY218" s="90"/>
      <c r="BZ218" s="90"/>
    </row>
    <row r="219" spans="61:78">
      <c r="BI219" s="59"/>
      <c r="BJ219" s="59"/>
      <c r="BK219" s="59"/>
      <c r="BL219" s="59"/>
      <c r="BM219" s="59"/>
      <c r="BN219" s="59"/>
      <c r="BO219" s="59"/>
      <c r="BP219" s="144"/>
      <c r="BS219" s="90"/>
      <c r="BT219" s="90"/>
      <c r="BU219" s="90"/>
      <c r="BV219" s="90"/>
      <c r="BW219" s="90"/>
      <c r="BX219" s="90"/>
      <c r="BY219" s="90"/>
      <c r="BZ219" s="90"/>
    </row>
    <row r="220" spans="61:78">
      <c r="BI220" s="59"/>
      <c r="BJ220" s="59"/>
      <c r="BK220" s="59"/>
      <c r="BL220" s="59"/>
      <c r="BM220" s="59"/>
      <c r="BN220" s="59"/>
      <c r="BO220" s="59"/>
      <c r="BP220" s="144"/>
      <c r="BS220" s="90"/>
      <c r="BT220" s="90"/>
      <c r="BU220" s="90"/>
      <c r="BV220" s="90"/>
      <c r="BW220" s="90"/>
      <c r="BX220" s="90"/>
      <c r="BY220" s="90"/>
      <c r="BZ220" s="90"/>
    </row>
    <row r="221" spans="61:78">
      <c r="BI221" s="59"/>
      <c r="BJ221" s="59"/>
      <c r="BK221" s="59"/>
      <c r="BL221" s="59"/>
      <c r="BM221" s="59"/>
      <c r="BN221" s="59"/>
      <c r="BO221" s="59"/>
      <c r="BP221" s="144"/>
      <c r="BS221" s="90"/>
      <c r="BT221" s="90"/>
      <c r="BU221" s="90"/>
      <c r="BV221" s="90"/>
      <c r="BW221" s="90"/>
      <c r="BX221" s="90"/>
      <c r="BY221" s="90"/>
      <c r="BZ221" s="90"/>
    </row>
    <row r="222" spans="61:78">
      <c r="BI222" s="59"/>
      <c r="BJ222" s="59"/>
      <c r="BK222" s="59"/>
      <c r="BL222" s="59"/>
      <c r="BM222" s="59"/>
      <c r="BN222" s="59"/>
      <c r="BO222" s="59"/>
      <c r="BP222" s="144"/>
      <c r="BS222" s="90"/>
      <c r="BT222" s="90"/>
      <c r="BU222" s="90"/>
      <c r="BV222" s="90"/>
      <c r="BW222" s="90"/>
      <c r="BX222" s="90"/>
      <c r="BY222" s="90"/>
      <c r="BZ222" s="90"/>
    </row>
    <row r="223" spans="61:78">
      <c r="BI223" s="59"/>
      <c r="BJ223" s="59"/>
      <c r="BK223" s="59"/>
      <c r="BL223" s="59"/>
      <c r="BM223" s="59"/>
      <c r="BN223" s="59"/>
      <c r="BO223" s="59"/>
      <c r="BP223" s="144"/>
      <c r="BS223" s="90"/>
      <c r="BT223" s="90"/>
      <c r="BU223" s="90"/>
      <c r="BV223" s="90"/>
      <c r="BW223" s="90"/>
      <c r="BX223" s="90"/>
      <c r="BY223" s="90"/>
      <c r="BZ223" s="90"/>
    </row>
    <row r="224" spans="61:78">
      <c r="BI224" s="59"/>
      <c r="BJ224" s="59"/>
      <c r="BK224" s="59"/>
      <c r="BL224" s="59"/>
      <c r="BM224" s="59"/>
      <c r="BN224" s="59"/>
      <c r="BO224" s="59"/>
      <c r="BP224" s="144"/>
      <c r="BS224" s="90"/>
      <c r="BT224" s="90"/>
      <c r="BU224" s="90"/>
      <c r="BV224" s="90"/>
      <c r="BW224" s="90"/>
      <c r="BX224" s="90"/>
      <c r="BY224" s="90"/>
      <c r="BZ224" s="90"/>
    </row>
    <row r="225" spans="61:78">
      <c r="BI225" s="59"/>
      <c r="BJ225" s="59"/>
      <c r="BK225" s="59"/>
      <c r="BL225" s="59"/>
      <c r="BM225" s="59"/>
      <c r="BN225" s="59"/>
      <c r="BO225" s="59"/>
      <c r="BP225" s="144"/>
      <c r="BS225" s="90"/>
      <c r="BT225" s="90"/>
      <c r="BU225" s="90"/>
      <c r="BV225" s="90"/>
      <c r="BW225" s="90"/>
      <c r="BX225" s="90"/>
      <c r="BY225" s="90"/>
      <c r="BZ225" s="90"/>
    </row>
    <row r="226" spans="61:78">
      <c r="BI226" s="59"/>
      <c r="BJ226" s="59"/>
      <c r="BK226" s="59"/>
      <c r="BL226" s="59"/>
      <c r="BM226" s="59"/>
      <c r="BN226" s="59"/>
      <c r="BO226" s="59"/>
      <c r="BP226" s="144"/>
      <c r="BS226" s="90"/>
      <c r="BT226" s="90"/>
      <c r="BU226" s="90"/>
      <c r="BV226" s="90"/>
      <c r="BW226" s="90"/>
      <c r="BX226" s="90"/>
      <c r="BY226" s="90"/>
      <c r="BZ226" s="90"/>
    </row>
    <row r="227" spans="61:78">
      <c r="BI227" s="59"/>
      <c r="BJ227" s="59"/>
      <c r="BK227" s="59"/>
      <c r="BL227" s="59"/>
      <c r="BM227" s="59"/>
      <c r="BN227" s="59"/>
      <c r="BO227" s="59"/>
      <c r="BP227" s="144"/>
      <c r="BS227" s="90"/>
      <c r="BT227" s="90"/>
      <c r="BU227" s="90"/>
      <c r="BV227" s="90"/>
      <c r="BW227" s="90"/>
      <c r="BX227" s="90"/>
      <c r="BY227" s="90"/>
      <c r="BZ227" s="90"/>
    </row>
    <row r="228" spans="61:78">
      <c r="BI228" s="59"/>
      <c r="BJ228" s="59"/>
      <c r="BK228" s="59"/>
      <c r="BL228" s="59"/>
      <c r="BM228" s="59"/>
      <c r="BN228" s="59"/>
      <c r="BO228" s="59"/>
      <c r="BP228" s="144"/>
      <c r="BS228" s="90"/>
      <c r="BT228" s="90"/>
      <c r="BU228" s="90"/>
      <c r="BV228" s="90"/>
      <c r="BW228" s="90"/>
      <c r="BX228" s="90"/>
      <c r="BY228" s="90"/>
      <c r="BZ228" s="90"/>
    </row>
    <row r="229" spans="61:78">
      <c r="BI229" s="59"/>
      <c r="BJ229" s="59"/>
      <c r="BK229" s="59"/>
      <c r="BL229" s="59"/>
      <c r="BM229" s="59"/>
      <c r="BN229" s="59"/>
      <c r="BO229" s="59"/>
      <c r="BP229" s="144"/>
      <c r="BS229" s="90"/>
      <c r="BT229" s="90"/>
      <c r="BU229" s="90"/>
      <c r="BV229" s="90"/>
      <c r="BW229" s="90"/>
      <c r="BX229" s="90"/>
      <c r="BY229" s="90"/>
      <c r="BZ229" s="90"/>
    </row>
    <row r="230" spans="61:78">
      <c r="BI230" s="59"/>
      <c r="BJ230" s="59"/>
      <c r="BK230" s="59"/>
      <c r="BL230" s="59"/>
      <c r="BM230" s="59"/>
      <c r="BN230" s="59"/>
      <c r="BO230" s="59"/>
      <c r="BP230" s="144"/>
      <c r="BS230" s="90"/>
      <c r="BT230" s="90"/>
      <c r="BU230" s="90"/>
      <c r="BV230" s="90"/>
      <c r="BW230" s="90"/>
      <c r="BX230" s="90"/>
      <c r="BY230" s="90"/>
      <c r="BZ230" s="90"/>
    </row>
    <row r="231" spans="61:78">
      <c r="BI231" s="59"/>
      <c r="BJ231" s="59"/>
      <c r="BK231" s="59"/>
      <c r="BL231" s="59"/>
      <c r="BM231" s="59"/>
      <c r="BN231" s="59"/>
      <c r="BO231" s="59"/>
      <c r="BP231" s="144"/>
      <c r="BS231" s="90"/>
      <c r="BT231" s="90"/>
      <c r="BU231" s="90"/>
      <c r="BV231" s="90"/>
      <c r="BW231" s="90"/>
      <c r="BX231" s="90"/>
      <c r="BY231" s="90"/>
      <c r="BZ231" s="90"/>
    </row>
    <row r="232" spans="61:78">
      <c r="BI232" s="59"/>
      <c r="BJ232" s="59"/>
      <c r="BK232" s="59"/>
      <c r="BL232" s="59"/>
      <c r="BM232" s="59"/>
      <c r="BN232" s="59"/>
      <c r="BO232" s="59"/>
      <c r="BP232" s="144"/>
      <c r="BS232" s="90"/>
      <c r="BT232" s="90"/>
      <c r="BU232" s="90"/>
      <c r="BV232" s="90"/>
      <c r="BW232" s="90"/>
      <c r="BX232" s="90"/>
      <c r="BY232" s="90"/>
      <c r="BZ232" s="90"/>
    </row>
    <row r="233" spans="61:78">
      <c r="BI233" s="59"/>
      <c r="BJ233" s="59"/>
      <c r="BK233" s="59"/>
      <c r="BL233" s="59"/>
      <c r="BM233" s="59"/>
      <c r="BN233" s="59"/>
      <c r="BO233" s="59"/>
      <c r="BP233" s="144"/>
      <c r="BS233" s="90"/>
      <c r="BT233" s="90"/>
      <c r="BU233" s="90"/>
      <c r="BV233" s="90"/>
      <c r="BW233" s="90"/>
      <c r="BX233" s="90"/>
      <c r="BY233" s="90"/>
      <c r="BZ233" s="90"/>
    </row>
    <row r="234" spans="61:78">
      <c r="BI234" s="59"/>
      <c r="BJ234" s="59"/>
      <c r="BK234" s="59"/>
      <c r="BL234" s="59"/>
      <c r="BM234" s="59"/>
      <c r="BN234" s="59"/>
      <c r="BO234" s="59"/>
      <c r="BP234" s="144"/>
      <c r="BS234" s="90"/>
      <c r="BT234" s="90"/>
      <c r="BU234" s="90"/>
      <c r="BV234" s="90"/>
      <c r="BW234" s="90"/>
      <c r="BX234" s="90"/>
      <c r="BY234" s="90"/>
      <c r="BZ234" s="90"/>
    </row>
    <row r="235" spans="61:78">
      <c r="BI235" s="59"/>
      <c r="BJ235" s="59"/>
      <c r="BK235" s="59"/>
      <c r="BL235" s="59"/>
      <c r="BM235" s="59"/>
      <c r="BN235" s="59"/>
      <c r="BO235" s="59"/>
      <c r="BP235" s="144"/>
      <c r="BS235" s="90"/>
      <c r="BT235" s="90"/>
      <c r="BU235" s="90"/>
      <c r="BV235" s="90"/>
      <c r="BW235" s="90"/>
      <c r="BX235" s="90"/>
      <c r="BY235" s="90"/>
      <c r="BZ235" s="90"/>
    </row>
    <row r="236" spans="61:78">
      <c r="BI236" s="59"/>
      <c r="BJ236" s="59"/>
      <c r="BK236" s="59"/>
      <c r="BL236" s="59"/>
      <c r="BM236" s="59"/>
      <c r="BN236" s="59"/>
      <c r="BO236" s="59"/>
      <c r="BP236" s="144"/>
      <c r="BS236" s="90"/>
      <c r="BT236" s="90"/>
      <c r="BU236" s="90"/>
      <c r="BV236" s="90"/>
      <c r="BW236" s="90"/>
      <c r="BX236" s="90"/>
      <c r="BY236" s="90"/>
      <c r="BZ236" s="90"/>
    </row>
    <row r="237" spans="61:78">
      <c r="BI237" s="59"/>
      <c r="BJ237" s="59"/>
      <c r="BK237" s="59"/>
      <c r="BL237" s="59"/>
      <c r="BM237" s="59"/>
      <c r="BN237" s="59"/>
      <c r="BO237" s="59"/>
      <c r="BP237" s="144"/>
      <c r="BS237" s="90"/>
      <c r="BT237" s="90"/>
      <c r="BU237" s="90"/>
      <c r="BV237" s="90"/>
      <c r="BW237" s="90"/>
      <c r="BX237" s="90"/>
      <c r="BY237" s="90"/>
      <c r="BZ237" s="90"/>
    </row>
    <row r="238" spans="61:78">
      <c r="BI238" s="59"/>
      <c r="BJ238" s="59"/>
      <c r="BK238" s="59"/>
      <c r="BL238" s="59"/>
      <c r="BM238" s="59"/>
      <c r="BN238" s="59"/>
      <c r="BO238" s="59"/>
      <c r="BP238" s="144"/>
      <c r="BS238" s="90"/>
      <c r="BT238" s="90"/>
      <c r="BU238" s="90"/>
      <c r="BV238" s="90"/>
      <c r="BW238" s="90"/>
      <c r="BX238" s="90"/>
      <c r="BY238" s="90"/>
      <c r="BZ238" s="90"/>
    </row>
    <row r="239" spans="61:78">
      <c r="BI239" s="59"/>
      <c r="BJ239" s="59"/>
      <c r="BK239" s="59"/>
      <c r="BL239" s="59"/>
      <c r="BM239" s="59"/>
      <c r="BN239" s="59"/>
      <c r="BO239" s="59"/>
      <c r="BP239" s="144"/>
      <c r="BS239" s="90"/>
      <c r="BT239" s="90"/>
      <c r="BU239" s="90"/>
      <c r="BV239" s="90"/>
      <c r="BW239" s="90"/>
      <c r="BX239" s="90"/>
      <c r="BY239" s="90"/>
      <c r="BZ239" s="90"/>
    </row>
    <row r="240" spans="61:78">
      <c r="BI240" s="59"/>
      <c r="BJ240" s="59"/>
      <c r="BK240" s="59"/>
      <c r="BL240" s="59"/>
      <c r="BM240" s="59"/>
      <c r="BN240" s="59"/>
      <c r="BO240" s="59"/>
      <c r="BP240" s="144"/>
      <c r="BS240" s="90"/>
      <c r="BT240" s="90"/>
      <c r="BU240" s="90"/>
      <c r="BV240" s="90"/>
      <c r="BW240" s="90"/>
      <c r="BX240" s="90"/>
      <c r="BY240" s="90"/>
      <c r="BZ240" s="90"/>
    </row>
    <row r="241" spans="61:78">
      <c r="BI241" s="59"/>
      <c r="BJ241" s="59"/>
      <c r="BK241" s="59"/>
      <c r="BL241" s="59"/>
      <c r="BM241" s="59"/>
      <c r="BN241" s="59"/>
      <c r="BO241" s="59"/>
      <c r="BP241" s="144"/>
      <c r="BS241" s="90"/>
      <c r="BT241" s="90"/>
      <c r="BU241" s="90"/>
      <c r="BV241" s="90"/>
      <c r="BW241" s="90"/>
      <c r="BX241" s="90"/>
      <c r="BY241" s="90"/>
      <c r="BZ241" s="90"/>
    </row>
    <row r="242" spans="61:78">
      <c r="BI242" s="59"/>
      <c r="BJ242" s="59"/>
      <c r="BK242" s="59"/>
      <c r="BL242" s="59"/>
      <c r="BM242" s="59"/>
      <c r="BN242" s="59"/>
      <c r="BO242" s="59"/>
      <c r="BP242" s="144"/>
      <c r="BS242" s="90"/>
      <c r="BT242" s="90"/>
      <c r="BU242" s="90"/>
      <c r="BV242" s="90"/>
      <c r="BW242" s="90"/>
      <c r="BX242" s="90"/>
      <c r="BY242" s="90"/>
      <c r="BZ242" s="90"/>
    </row>
    <row r="243" spans="61:78">
      <c r="BI243" s="59"/>
      <c r="BJ243" s="59"/>
      <c r="BK243" s="59"/>
      <c r="BL243" s="59"/>
      <c r="BM243" s="59"/>
      <c r="BN243" s="59"/>
      <c r="BO243" s="59"/>
      <c r="BP243" s="144"/>
      <c r="BS243" s="90"/>
      <c r="BT243" s="90"/>
      <c r="BU243" s="90"/>
      <c r="BV243" s="90"/>
      <c r="BW243" s="90"/>
      <c r="BX243" s="90"/>
      <c r="BY243" s="90"/>
      <c r="BZ243" s="90"/>
    </row>
    <row r="244" spans="61:78">
      <c r="BI244" s="59"/>
      <c r="BJ244" s="59"/>
      <c r="BK244" s="59"/>
      <c r="BL244" s="59"/>
      <c r="BM244" s="59"/>
      <c r="BN244" s="59"/>
      <c r="BO244" s="59"/>
      <c r="BP244" s="144"/>
      <c r="BS244" s="90"/>
      <c r="BT244" s="90"/>
      <c r="BU244" s="90"/>
      <c r="BV244" s="90"/>
      <c r="BW244" s="90"/>
      <c r="BX244" s="90"/>
      <c r="BY244" s="90"/>
      <c r="BZ244" s="90"/>
    </row>
    <row r="245" spans="61:78">
      <c r="BI245" s="59"/>
      <c r="BJ245" s="59"/>
      <c r="BK245" s="59"/>
      <c r="BL245" s="59"/>
      <c r="BM245" s="59"/>
      <c r="BN245" s="59"/>
      <c r="BO245" s="59"/>
      <c r="BP245" s="144"/>
      <c r="BS245" s="90"/>
      <c r="BT245" s="90"/>
      <c r="BU245" s="90"/>
      <c r="BV245" s="90"/>
      <c r="BW245" s="90"/>
      <c r="BX245" s="90"/>
      <c r="BY245" s="90"/>
      <c r="BZ245" s="90"/>
    </row>
    <row r="246" spans="61:78">
      <c r="BI246" s="59"/>
      <c r="BJ246" s="59"/>
      <c r="BK246" s="59"/>
      <c r="BL246" s="59"/>
      <c r="BM246" s="59"/>
      <c r="BN246" s="59"/>
      <c r="BO246" s="59"/>
      <c r="BP246" s="144"/>
      <c r="BS246" s="90"/>
      <c r="BT246" s="90"/>
      <c r="BU246" s="90"/>
      <c r="BV246" s="90"/>
      <c r="BW246" s="90"/>
      <c r="BX246" s="90"/>
      <c r="BY246" s="90"/>
      <c r="BZ246" s="90"/>
    </row>
    <row r="247" spans="61:78">
      <c r="BI247" s="59"/>
      <c r="BJ247" s="59"/>
      <c r="BK247" s="59"/>
      <c r="BL247" s="59"/>
      <c r="BM247" s="59"/>
      <c r="BN247" s="59"/>
      <c r="BO247" s="59"/>
      <c r="BP247" s="144"/>
      <c r="BS247" s="90"/>
      <c r="BT247" s="90"/>
      <c r="BU247" s="90"/>
      <c r="BV247" s="90"/>
      <c r="BW247" s="90"/>
      <c r="BX247" s="90"/>
      <c r="BY247" s="90"/>
      <c r="BZ247" s="90"/>
    </row>
    <row r="248" spans="61:78">
      <c r="BI248" s="59"/>
      <c r="BJ248" s="59"/>
      <c r="BK248" s="59"/>
      <c r="BL248" s="59"/>
      <c r="BM248" s="59"/>
      <c r="BN248" s="59"/>
      <c r="BO248" s="59"/>
      <c r="BP248" s="144"/>
      <c r="BS248" s="90"/>
      <c r="BT248" s="90"/>
      <c r="BU248" s="90"/>
      <c r="BV248" s="90"/>
      <c r="BW248" s="90"/>
      <c r="BX248" s="90"/>
      <c r="BY248" s="90"/>
      <c r="BZ248" s="90"/>
    </row>
    <row r="249" spans="61:78">
      <c r="BI249" s="59"/>
      <c r="BJ249" s="59"/>
      <c r="BK249" s="59"/>
      <c r="BL249" s="59"/>
      <c r="BM249" s="59"/>
      <c r="BN249" s="59"/>
      <c r="BO249" s="59"/>
      <c r="BP249" s="144"/>
      <c r="BS249" s="90"/>
      <c r="BT249" s="90"/>
      <c r="BU249" s="90"/>
      <c r="BV249" s="90"/>
      <c r="BW249" s="90"/>
      <c r="BX249" s="90"/>
      <c r="BY249" s="90"/>
      <c r="BZ249" s="90"/>
    </row>
    <row r="250" spans="61:78">
      <c r="BI250" s="59"/>
      <c r="BJ250" s="59"/>
      <c r="BK250" s="59"/>
      <c r="BL250" s="59"/>
      <c r="BM250" s="59"/>
      <c r="BN250" s="59"/>
      <c r="BO250" s="59"/>
      <c r="BP250" s="144"/>
      <c r="BS250" s="90"/>
      <c r="BT250" s="90"/>
      <c r="BU250" s="90"/>
      <c r="BV250" s="90"/>
      <c r="BW250" s="90"/>
      <c r="BX250" s="90"/>
      <c r="BY250" s="90"/>
      <c r="BZ250" s="90"/>
    </row>
    <row r="251" spans="61:78">
      <c r="BI251" s="59"/>
      <c r="BJ251" s="59"/>
      <c r="BK251" s="59"/>
      <c r="BL251" s="59"/>
      <c r="BM251" s="59"/>
      <c r="BN251" s="59"/>
      <c r="BO251" s="59"/>
      <c r="BP251" s="144"/>
      <c r="BS251" s="90"/>
      <c r="BT251" s="90"/>
      <c r="BU251" s="90"/>
      <c r="BV251" s="90"/>
      <c r="BW251" s="90"/>
      <c r="BX251" s="90"/>
      <c r="BY251" s="90"/>
      <c r="BZ251" s="90"/>
    </row>
    <row r="252" spans="61:78">
      <c r="BI252" s="59"/>
      <c r="BJ252" s="59"/>
      <c r="BK252" s="59"/>
      <c r="BL252" s="59"/>
      <c r="BM252" s="59"/>
      <c r="BN252" s="59"/>
      <c r="BO252" s="59"/>
      <c r="BP252" s="144"/>
      <c r="BS252" s="90"/>
      <c r="BT252" s="90"/>
      <c r="BU252" s="90"/>
      <c r="BV252" s="90"/>
      <c r="BW252" s="90"/>
      <c r="BX252" s="90"/>
      <c r="BY252" s="90"/>
      <c r="BZ252" s="90"/>
    </row>
    <row r="253" spans="61:78">
      <c r="BI253" s="59"/>
      <c r="BJ253" s="59"/>
      <c r="BK253" s="59"/>
      <c r="BL253" s="59"/>
      <c r="BM253" s="59"/>
      <c r="BN253" s="59"/>
      <c r="BO253" s="59"/>
      <c r="BP253" s="144"/>
      <c r="BS253" s="90"/>
      <c r="BT253" s="90"/>
      <c r="BU253" s="90"/>
      <c r="BV253" s="90"/>
      <c r="BW253" s="90"/>
      <c r="BX253" s="90"/>
      <c r="BY253" s="90"/>
      <c r="BZ253" s="90"/>
    </row>
    <row r="254" spans="61:78">
      <c r="BI254" s="59"/>
      <c r="BJ254" s="59"/>
      <c r="BK254" s="59"/>
      <c r="BL254" s="59"/>
      <c r="BM254" s="59"/>
      <c r="BN254" s="59"/>
      <c r="BO254" s="59"/>
      <c r="BP254" s="144"/>
      <c r="BS254" s="90"/>
      <c r="BT254" s="90"/>
      <c r="BU254" s="90"/>
      <c r="BV254" s="90"/>
      <c r="BW254" s="90"/>
      <c r="BX254" s="90"/>
      <c r="BY254" s="90"/>
      <c r="BZ254" s="90"/>
    </row>
    <row r="255" spans="61:78">
      <c r="BI255" s="59"/>
      <c r="BJ255" s="59"/>
      <c r="BK255" s="59"/>
      <c r="BL255" s="59"/>
      <c r="BM255" s="59"/>
      <c r="BN255" s="59"/>
      <c r="BO255" s="59"/>
      <c r="BP255" s="144"/>
      <c r="BS255" s="90"/>
      <c r="BT255" s="90"/>
      <c r="BU255" s="90"/>
      <c r="BV255" s="90"/>
      <c r="BW255" s="90"/>
      <c r="BX255" s="90"/>
      <c r="BY255" s="90"/>
      <c r="BZ255" s="90"/>
    </row>
    <row r="256" spans="61:78">
      <c r="BI256" s="59"/>
      <c r="BJ256" s="59"/>
      <c r="BK256" s="59"/>
      <c r="BL256" s="59"/>
      <c r="BM256" s="59"/>
      <c r="BN256" s="59"/>
      <c r="BO256" s="59"/>
      <c r="BP256" s="144"/>
      <c r="BS256" s="90"/>
      <c r="BT256" s="90"/>
      <c r="BU256" s="90"/>
      <c r="BV256" s="90"/>
      <c r="BW256" s="90"/>
      <c r="BX256" s="90"/>
      <c r="BY256" s="90"/>
      <c r="BZ256" s="90"/>
    </row>
    <row r="257" spans="61:78">
      <c r="BI257" s="59"/>
      <c r="BJ257" s="59"/>
      <c r="BK257" s="59"/>
      <c r="BL257" s="59"/>
      <c r="BM257" s="59"/>
      <c r="BN257" s="59"/>
      <c r="BO257" s="59"/>
      <c r="BP257" s="144"/>
      <c r="BS257" s="90"/>
      <c r="BT257" s="90"/>
      <c r="BU257" s="90"/>
      <c r="BV257" s="90"/>
      <c r="BW257" s="90"/>
      <c r="BX257" s="90"/>
      <c r="BY257" s="90"/>
      <c r="BZ257" s="90"/>
    </row>
    <row r="258" spans="61:78">
      <c r="BI258" s="59"/>
      <c r="BJ258" s="59"/>
      <c r="BK258" s="59"/>
      <c r="BL258" s="59"/>
      <c r="BM258" s="59"/>
      <c r="BN258" s="59"/>
      <c r="BO258" s="59"/>
      <c r="BP258" s="144"/>
      <c r="BS258" s="90"/>
      <c r="BT258" s="90"/>
      <c r="BU258" s="90"/>
      <c r="BV258" s="90"/>
      <c r="BW258" s="90"/>
      <c r="BX258" s="90"/>
      <c r="BY258" s="90"/>
      <c r="BZ258" s="90"/>
    </row>
    <row r="259" spans="61:78">
      <c r="BI259" s="59"/>
      <c r="BJ259" s="59"/>
      <c r="BK259" s="59"/>
      <c r="BL259" s="59"/>
      <c r="BM259" s="59"/>
      <c r="BN259" s="59"/>
      <c r="BO259" s="59"/>
      <c r="BP259" s="144"/>
      <c r="BS259" s="90"/>
      <c r="BT259" s="90"/>
      <c r="BU259" s="90"/>
      <c r="BV259" s="90"/>
      <c r="BW259" s="90"/>
      <c r="BX259" s="90"/>
      <c r="BY259" s="90"/>
      <c r="BZ259" s="90"/>
    </row>
    <row r="260" spans="61:78">
      <c r="BI260" s="59"/>
      <c r="BJ260" s="59"/>
      <c r="BK260" s="59"/>
      <c r="BL260" s="59"/>
      <c r="BM260" s="59"/>
      <c r="BN260" s="59"/>
      <c r="BO260" s="59"/>
      <c r="BP260" s="144"/>
      <c r="BS260" s="90"/>
      <c r="BT260" s="90"/>
      <c r="BU260" s="90"/>
      <c r="BV260" s="90"/>
      <c r="BW260" s="90"/>
      <c r="BX260" s="90"/>
      <c r="BY260" s="90"/>
      <c r="BZ260" s="90"/>
    </row>
    <row r="261" spans="61:78">
      <c r="BI261" s="59"/>
      <c r="BJ261" s="59"/>
      <c r="BK261" s="59"/>
      <c r="BL261" s="59"/>
      <c r="BM261" s="59"/>
      <c r="BN261" s="59"/>
      <c r="BO261" s="59"/>
      <c r="BP261" s="144"/>
      <c r="BS261" s="90"/>
      <c r="BT261" s="90"/>
      <c r="BU261" s="90"/>
      <c r="BV261" s="90"/>
      <c r="BW261" s="90"/>
      <c r="BX261" s="90"/>
      <c r="BY261" s="90"/>
      <c r="BZ261" s="90"/>
    </row>
    <row r="262" spans="61:78">
      <c r="BI262" s="59"/>
      <c r="BJ262" s="59"/>
      <c r="BK262" s="59"/>
      <c r="BL262" s="59"/>
      <c r="BM262" s="59"/>
      <c r="BN262" s="59"/>
      <c r="BO262" s="59"/>
      <c r="BP262" s="144"/>
      <c r="BS262" s="90"/>
      <c r="BT262" s="90"/>
      <c r="BU262" s="90"/>
      <c r="BV262" s="90"/>
      <c r="BW262" s="90"/>
      <c r="BX262" s="90"/>
      <c r="BY262" s="90"/>
      <c r="BZ262" s="90"/>
    </row>
    <row r="263" spans="61:78">
      <c r="BI263" s="59"/>
      <c r="BJ263" s="59"/>
      <c r="BK263" s="59"/>
      <c r="BL263" s="59"/>
      <c r="BM263" s="59"/>
      <c r="BN263" s="59"/>
      <c r="BO263" s="59"/>
      <c r="BP263" s="144"/>
      <c r="BS263" s="90"/>
      <c r="BT263" s="90"/>
      <c r="BU263" s="90"/>
      <c r="BV263" s="90"/>
      <c r="BW263" s="90"/>
      <c r="BX263" s="90"/>
      <c r="BY263" s="90"/>
      <c r="BZ263" s="90"/>
    </row>
    <row r="264" spans="61:78">
      <c r="BI264" s="59"/>
      <c r="BJ264" s="59"/>
      <c r="BK264" s="59"/>
      <c r="BL264" s="59"/>
      <c r="BM264" s="59"/>
      <c r="BN264" s="59"/>
      <c r="BO264" s="59"/>
      <c r="BP264" s="144"/>
      <c r="BS264" s="90"/>
      <c r="BT264" s="90"/>
      <c r="BU264" s="90"/>
      <c r="BV264" s="90"/>
      <c r="BW264" s="90"/>
      <c r="BX264" s="90"/>
      <c r="BY264" s="90"/>
      <c r="BZ264" s="90"/>
    </row>
    <row r="265" spans="61:78">
      <c r="BI265" s="59"/>
      <c r="BJ265" s="59"/>
      <c r="BK265" s="59"/>
      <c r="BL265" s="59"/>
      <c r="BM265" s="59"/>
      <c r="BN265" s="59"/>
      <c r="BO265" s="59"/>
      <c r="BP265" s="144"/>
      <c r="BS265" s="90"/>
      <c r="BT265" s="90"/>
      <c r="BU265" s="90"/>
      <c r="BV265" s="90"/>
      <c r="BW265" s="90"/>
      <c r="BX265" s="90"/>
      <c r="BY265" s="90"/>
      <c r="BZ265" s="90"/>
    </row>
    <row r="266" spans="61:78">
      <c r="BI266" s="59"/>
      <c r="BJ266" s="59"/>
      <c r="BK266" s="59"/>
      <c r="BL266" s="59"/>
      <c r="BM266" s="59"/>
      <c r="BN266" s="59"/>
      <c r="BO266" s="59"/>
      <c r="BP266" s="144"/>
      <c r="BS266" s="90"/>
      <c r="BT266" s="90"/>
      <c r="BU266" s="90"/>
      <c r="BV266" s="90"/>
      <c r="BW266" s="90"/>
      <c r="BX266" s="90"/>
      <c r="BY266" s="90"/>
      <c r="BZ266" s="90"/>
    </row>
    <row r="267" spans="61:78">
      <c r="BI267" s="59"/>
      <c r="BJ267" s="59"/>
      <c r="BK267" s="59"/>
      <c r="BL267" s="59"/>
      <c r="BM267" s="59"/>
      <c r="BN267" s="59"/>
      <c r="BO267" s="59"/>
      <c r="BP267" s="144"/>
      <c r="BS267" s="90"/>
      <c r="BT267" s="90"/>
      <c r="BU267" s="90"/>
      <c r="BV267" s="90"/>
      <c r="BW267" s="90"/>
      <c r="BX267" s="90"/>
      <c r="BY267" s="90"/>
      <c r="BZ267" s="90"/>
    </row>
    <row r="268" spans="61:78">
      <c r="BI268" s="59"/>
      <c r="BJ268" s="59"/>
      <c r="BK268" s="59"/>
      <c r="BL268" s="59"/>
      <c r="BM268" s="59"/>
      <c r="BN268" s="59"/>
      <c r="BO268" s="59"/>
      <c r="BP268" s="144"/>
      <c r="BS268" s="90"/>
      <c r="BT268" s="90"/>
      <c r="BU268" s="90"/>
      <c r="BV268" s="90"/>
      <c r="BW268" s="90"/>
      <c r="BX268" s="90"/>
      <c r="BY268" s="90"/>
      <c r="BZ268" s="90"/>
    </row>
    <row r="269" spans="61:78">
      <c r="BI269" s="59"/>
      <c r="BJ269" s="59"/>
      <c r="BK269" s="59"/>
      <c r="BL269" s="59"/>
      <c r="BM269" s="59"/>
      <c r="BN269" s="59"/>
      <c r="BO269" s="59"/>
      <c r="BP269" s="144"/>
      <c r="BS269" s="90"/>
      <c r="BT269" s="90"/>
      <c r="BU269" s="90"/>
      <c r="BV269" s="90"/>
      <c r="BW269" s="90"/>
      <c r="BX269" s="90"/>
      <c r="BY269" s="90"/>
      <c r="BZ269" s="90"/>
    </row>
    <row r="270" spans="61:78">
      <c r="BI270" s="59"/>
      <c r="BJ270" s="59"/>
      <c r="BK270" s="59"/>
      <c r="BL270" s="59"/>
      <c r="BM270" s="59"/>
      <c r="BN270" s="59"/>
      <c r="BO270" s="59"/>
      <c r="BP270" s="144"/>
      <c r="BS270" s="90"/>
      <c r="BT270" s="90"/>
      <c r="BU270" s="90"/>
      <c r="BV270" s="90"/>
      <c r="BW270" s="90"/>
      <c r="BX270" s="90"/>
      <c r="BY270" s="90"/>
      <c r="BZ270" s="90"/>
    </row>
    <row r="271" spans="61:78">
      <c r="BI271" s="59"/>
      <c r="BJ271" s="59"/>
      <c r="BK271" s="59"/>
      <c r="BL271" s="59"/>
      <c r="BM271" s="59"/>
      <c r="BN271" s="59"/>
      <c r="BO271" s="59"/>
      <c r="BP271" s="144"/>
      <c r="BS271" s="90"/>
      <c r="BT271" s="90"/>
      <c r="BU271" s="90"/>
      <c r="BV271" s="90"/>
      <c r="BW271" s="90"/>
      <c r="BX271" s="90"/>
      <c r="BY271" s="90"/>
      <c r="BZ271" s="90"/>
    </row>
    <row r="272" spans="61:78">
      <c r="BI272" s="59"/>
      <c r="BJ272" s="59"/>
      <c r="BK272" s="59"/>
      <c r="BL272" s="59"/>
      <c r="BM272" s="59"/>
      <c r="BN272" s="59"/>
      <c r="BO272" s="59"/>
      <c r="BP272" s="144"/>
      <c r="BS272" s="90"/>
      <c r="BT272" s="90"/>
      <c r="BU272" s="90"/>
      <c r="BV272" s="90"/>
      <c r="BW272" s="90"/>
      <c r="BX272" s="90"/>
      <c r="BY272" s="90"/>
      <c r="BZ272" s="90"/>
    </row>
    <row r="273" spans="61:78">
      <c r="BI273" s="59"/>
      <c r="BJ273" s="59"/>
      <c r="BK273" s="59"/>
      <c r="BL273" s="59"/>
      <c r="BM273" s="59"/>
      <c r="BN273" s="59"/>
      <c r="BO273" s="59"/>
      <c r="BP273" s="144"/>
      <c r="BS273" s="90"/>
      <c r="BT273" s="90"/>
      <c r="BU273" s="90"/>
      <c r="BV273" s="90"/>
      <c r="BW273" s="90"/>
      <c r="BX273" s="90"/>
      <c r="BY273" s="90"/>
      <c r="BZ273" s="90"/>
    </row>
    <row r="274" spans="61:78">
      <c r="BI274" s="59"/>
      <c r="BJ274" s="59"/>
      <c r="BK274" s="59"/>
      <c r="BL274" s="59"/>
      <c r="BM274" s="59"/>
      <c r="BN274" s="59"/>
      <c r="BO274" s="59"/>
      <c r="BP274" s="144"/>
      <c r="BS274" s="90"/>
      <c r="BT274" s="90"/>
      <c r="BU274" s="90"/>
      <c r="BV274" s="90"/>
      <c r="BW274" s="90"/>
      <c r="BX274" s="90"/>
      <c r="BY274" s="90"/>
      <c r="BZ274" s="90"/>
    </row>
    <row r="275" spans="61:78">
      <c r="BI275" s="59"/>
      <c r="BJ275" s="59"/>
      <c r="BK275" s="59"/>
      <c r="BL275" s="59"/>
      <c r="BM275" s="59"/>
      <c r="BN275" s="59"/>
      <c r="BO275" s="59"/>
      <c r="BP275" s="144"/>
      <c r="BS275" s="90"/>
      <c r="BT275" s="90"/>
      <c r="BU275" s="90"/>
      <c r="BV275" s="90"/>
      <c r="BW275" s="90"/>
      <c r="BX275" s="90"/>
      <c r="BY275" s="90"/>
      <c r="BZ275" s="90"/>
    </row>
    <row r="276" spans="61:78">
      <c r="BI276" s="59"/>
      <c r="BJ276" s="59"/>
      <c r="BK276" s="59"/>
      <c r="BL276" s="59"/>
      <c r="BM276" s="59"/>
      <c r="BN276" s="59"/>
      <c r="BO276" s="59"/>
      <c r="BP276" s="144"/>
      <c r="BS276" s="90"/>
      <c r="BT276" s="90"/>
      <c r="BU276" s="90"/>
      <c r="BV276" s="90"/>
      <c r="BW276" s="90"/>
      <c r="BX276" s="90"/>
      <c r="BY276" s="90"/>
      <c r="BZ276" s="90"/>
    </row>
    <row r="277" spans="61:78">
      <c r="BI277" s="59"/>
      <c r="BJ277" s="59"/>
      <c r="BK277" s="59"/>
      <c r="BL277" s="59"/>
      <c r="BM277" s="59"/>
      <c r="BN277" s="59"/>
      <c r="BO277" s="59"/>
      <c r="BP277" s="144"/>
      <c r="BS277" s="90"/>
      <c r="BT277" s="90"/>
      <c r="BU277" s="90"/>
      <c r="BV277" s="90"/>
      <c r="BW277" s="90"/>
      <c r="BX277" s="90"/>
      <c r="BY277" s="90"/>
      <c r="BZ277" s="90"/>
    </row>
    <row r="278" spans="61:78">
      <c r="BI278" s="59"/>
      <c r="BJ278" s="59"/>
      <c r="BK278" s="59"/>
      <c r="BL278" s="59"/>
      <c r="BM278" s="59"/>
      <c r="BN278" s="59"/>
      <c r="BO278" s="59"/>
      <c r="BP278" s="144"/>
      <c r="BS278" s="90"/>
      <c r="BT278" s="90"/>
      <c r="BU278" s="90"/>
      <c r="BV278" s="90"/>
      <c r="BW278" s="90"/>
      <c r="BX278" s="90"/>
      <c r="BY278" s="90"/>
      <c r="BZ278" s="90"/>
    </row>
    <row r="279" spans="61:78">
      <c r="BI279" s="59"/>
      <c r="BJ279" s="59"/>
      <c r="BK279" s="59"/>
      <c r="BL279" s="59"/>
      <c r="BM279" s="59"/>
      <c r="BN279" s="59"/>
      <c r="BO279" s="59"/>
      <c r="BP279" s="144"/>
      <c r="BS279" s="90"/>
      <c r="BT279" s="90"/>
      <c r="BU279" s="90"/>
      <c r="BV279" s="90"/>
      <c r="BW279" s="90"/>
      <c r="BX279" s="90"/>
      <c r="BY279" s="90"/>
      <c r="BZ279" s="90"/>
    </row>
    <row r="280" spans="61:78">
      <c r="BI280" s="59"/>
      <c r="BJ280" s="59"/>
      <c r="BK280" s="59"/>
      <c r="BL280" s="59"/>
      <c r="BM280" s="59"/>
      <c r="BN280" s="59"/>
      <c r="BO280" s="59"/>
      <c r="BP280" s="144"/>
      <c r="BS280" s="90"/>
      <c r="BT280" s="90"/>
      <c r="BU280" s="90"/>
      <c r="BV280" s="90"/>
      <c r="BW280" s="90"/>
      <c r="BX280" s="90"/>
      <c r="BY280" s="90"/>
      <c r="BZ280" s="90"/>
    </row>
    <row r="281" spans="61:78">
      <c r="BI281" s="59"/>
      <c r="BJ281" s="59"/>
      <c r="BK281" s="59"/>
      <c r="BL281" s="59"/>
      <c r="BM281" s="59"/>
      <c r="BN281" s="59"/>
      <c r="BO281" s="59"/>
      <c r="BP281" s="144"/>
      <c r="BS281" s="90"/>
      <c r="BT281" s="90"/>
      <c r="BU281" s="90"/>
      <c r="BV281" s="90"/>
      <c r="BW281" s="90"/>
      <c r="BX281" s="90"/>
      <c r="BY281" s="90"/>
      <c r="BZ281" s="90"/>
    </row>
    <row r="282" spans="61:78">
      <c r="BI282" s="59"/>
      <c r="BJ282" s="59"/>
      <c r="BK282" s="59"/>
      <c r="BL282" s="59"/>
      <c r="BM282" s="59"/>
      <c r="BN282" s="59"/>
      <c r="BO282" s="59"/>
      <c r="BP282" s="144"/>
      <c r="BS282" s="90"/>
      <c r="BT282" s="90"/>
      <c r="BU282" s="90"/>
      <c r="BV282" s="90"/>
      <c r="BW282" s="90"/>
      <c r="BX282" s="90"/>
      <c r="BY282" s="90"/>
      <c r="BZ282" s="90"/>
    </row>
    <row r="283" spans="61:78">
      <c r="BI283" s="59"/>
      <c r="BJ283" s="59"/>
      <c r="BK283" s="59"/>
      <c r="BL283" s="59"/>
      <c r="BM283" s="59"/>
      <c r="BN283" s="59"/>
      <c r="BO283" s="59"/>
      <c r="BP283" s="144"/>
      <c r="BS283" s="90"/>
      <c r="BT283" s="90"/>
      <c r="BU283" s="90"/>
      <c r="BV283" s="90"/>
      <c r="BW283" s="90"/>
      <c r="BX283" s="90"/>
      <c r="BY283" s="90"/>
      <c r="BZ283" s="90"/>
    </row>
    <row r="284" spans="61:78">
      <c r="BI284" s="59"/>
      <c r="BJ284" s="59"/>
      <c r="BK284" s="59"/>
      <c r="BL284" s="59"/>
      <c r="BM284" s="59"/>
      <c r="BN284" s="59"/>
      <c r="BO284" s="59"/>
      <c r="BP284" s="144"/>
      <c r="BS284" s="90"/>
      <c r="BT284" s="90"/>
      <c r="BU284" s="90"/>
      <c r="BV284" s="90"/>
      <c r="BW284" s="90"/>
      <c r="BX284" s="90"/>
      <c r="BY284" s="90"/>
      <c r="BZ284" s="90"/>
    </row>
    <row r="285" spans="61:78">
      <c r="BI285" s="59"/>
      <c r="BJ285" s="59"/>
      <c r="BK285" s="59"/>
      <c r="BL285" s="59"/>
      <c r="BM285" s="59"/>
      <c r="BN285" s="59"/>
      <c r="BO285" s="59"/>
      <c r="BP285" s="144"/>
      <c r="BS285" s="90"/>
      <c r="BT285" s="90"/>
      <c r="BU285" s="90"/>
      <c r="BV285" s="90"/>
      <c r="BW285" s="90"/>
      <c r="BX285" s="90"/>
      <c r="BY285" s="90"/>
      <c r="BZ285" s="90"/>
    </row>
    <row r="286" spans="61:78">
      <c r="BI286" s="59"/>
      <c r="BJ286" s="59"/>
      <c r="BK286" s="59"/>
      <c r="BL286" s="59"/>
      <c r="BM286" s="59"/>
      <c r="BN286" s="59"/>
      <c r="BO286" s="59"/>
      <c r="BP286" s="144"/>
      <c r="BS286" s="90"/>
      <c r="BT286" s="90"/>
      <c r="BU286" s="90"/>
      <c r="BV286" s="90"/>
      <c r="BW286" s="90"/>
      <c r="BX286" s="90"/>
      <c r="BY286" s="90"/>
      <c r="BZ286" s="90"/>
    </row>
    <row r="287" spans="61:78">
      <c r="BI287" s="59"/>
      <c r="BJ287" s="59"/>
      <c r="BK287" s="59"/>
      <c r="BL287" s="59"/>
      <c r="BM287" s="59"/>
      <c r="BN287" s="59"/>
      <c r="BO287" s="59"/>
      <c r="BP287" s="144"/>
      <c r="BS287" s="90"/>
      <c r="BT287" s="90"/>
      <c r="BU287" s="90"/>
      <c r="BV287" s="90"/>
      <c r="BW287" s="90"/>
      <c r="BX287" s="90"/>
      <c r="BY287" s="90"/>
      <c r="BZ287" s="90"/>
    </row>
    <row r="288" spans="61:78">
      <c r="BI288" s="59"/>
      <c r="BJ288" s="59"/>
      <c r="BK288" s="59"/>
      <c r="BL288" s="59"/>
      <c r="BM288" s="59"/>
      <c r="BN288" s="59"/>
      <c r="BO288" s="59"/>
      <c r="BP288" s="144"/>
      <c r="BS288" s="90"/>
      <c r="BT288" s="90"/>
      <c r="BU288" s="90"/>
      <c r="BV288" s="90"/>
      <c r="BW288" s="90"/>
      <c r="BX288" s="90"/>
      <c r="BY288" s="90"/>
      <c r="BZ288" s="90"/>
    </row>
    <row r="289" spans="61:78">
      <c r="BI289" s="59"/>
      <c r="BJ289" s="59"/>
      <c r="BK289" s="59"/>
      <c r="BL289" s="59"/>
      <c r="BM289" s="59"/>
      <c r="BN289" s="59"/>
      <c r="BO289" s="59"/>
      <c r="BP289" s="144"/>
      <c r="BS289" s="90"/>
      <c r="BT289" s="90"/>
      <c r="BU289" s="90"/>
      <c r="BV289" s="90"/>
      <c r="BW289" s="90"/>
      <c r="BX289" s="90"/>
      <c r="BY289" s="90"/>
      <c r="BZ289" s="90"/>
    </row>
    <row r="290" spans="61:78">
      <c r="BI290" s="59"/>
      <c r="BJ290" s="59"/>
      <c r="BK290" s="59"/>
      <c r="BL290" s="59"/>
      <c r="BM290" s="59"/>
      <c r="BN290" s="59"/>
      <c r="BO290" s="59"/>
      <c r="BP290" s="144"/>
      <c r="BS290" s="90"/>
      <c r="BT290" s="90"/>
      <c r="BU290" s="90"/>
      <c r="BV290" s="90"/>
      <c r="BW290" s="90"/>
      <c r="BX290" s="90"/>
      <c r="BY290" s="90"/>
      <c r="BZ290" s="90"/>
    </row>
    <row r="291" spans="61:78">
      <c r="BI291" s="59"/>
      <c r="BJ291" s="59"/>
      <c r="BK291" s="59"/>
      <c r="BL291" s="59"/>
      <c r="BM291" s="59"/>
      <c r="BN291" s="59"/>
      <c r="BO291" s="59"/>
      <c r="BP291" s="144"/>
      <c r="BS291" s="90"/>
      <c r="BT291" s="90"/>
      <c r="BU291" s="90"/>
      <c r="BV291" s="90"/>
      <c r="BW291" s="90"/>
      <c r="BX291" s="90"/>
      <c r="BY291" s="90"/>
      <c r="BZ291" s="90"/>
    </row>
    <row r="292" spans="61:78">
      <c r="BI292" s="59"/>
      <c r="BJ292" s="59"/>
      <c r="BK292" s="59"/>
      <c r="BL292" s="59"/>
      <c r="BM292" s="59"/>
      <c r="BN292" s="59"/>
      <c r="BO292" s="59"/>
      <c r="BP292" s="144"/>
      <c r="BS292" s="90"/>
      <c r="BT292" s="90"/>
      <c r="BU292" s="90"/>
      <c r="BV292" s="90"/>
      <c r="BW292" s="90"/>
      <c r="BX292" s="90"/>
      <c r="BY292" s="90"/>
      <c r="BZ292" s="90"/>
    </row>
    <row r="293" spans="61:78">
      <c r="BI293" s="59"/>
      <c r="BJ293" s="59"/>
      <c r="BK293" s="59"/>
      <c r="BL293" s="59"/>
      <c r="BM293" s="59"/>
      <c r="BN293" s="59"/>
      <c r="BO293" s="59"/>
      <c r="BP293" s="144"/>
      <c r="BS293" s="90"/>
      <c r="BT293" s="90"/>
      <c r="BU293" s="90"/>
      <c r="BV293" s="90"/>
      <c r="BW293" s="90"/>
      <c r="BX293" s="90"/>
      <c r="BY293" s="90"/>
      <c r="BZ293" s="90"/>
    </row>
    <row r="294" spans="61:78">
      <c r="BI294" s="59"/>
      <c r="BJ294" s="59"/>
      <c r="BK294" s="59"/>
      <c r="BL294" s="59"/>
      <c r="BM294" s="59"/>
      <c r="BN294" s="59"/>
      <c r="BO294" s="59"/>
      <c r="BP294" s="144"/>
      <c r="BS294" s="90"/>
      <c r="BT294" s="90"/>
      <c r="BU294" s="90"/>
      <c r="BV294" s="90"/>
      <c r="BW294" s="90"/>
      <c r="BX294" s="90"/>
      <c r="BY294" s="90"/>
      <c r="BZ294" s="90"/>
    </row>
    <row r="295" spans="61:78">
      <c r="BI295" s="59"/>
      <c r="BJ295" s="59"/>
      <c r="BK295" s="59"/>
      <c r="BL295" s="59"/>
      <c r="BM295" s="59"/>
      <c r="BN295" s="59"/>
      <c r="BO295" s="59"/>
      <c r="BP295" s="144"/>
      <c r="BS295" s="90"/>
      <c r="BT295" s="90"/>
      <c r="BU295" s="90"/>
      <c r="BV295" s="90"/>
      <c r="BW295" s="90"/>
      <c r="BX295" s="90"/>
      <c r="BY295" s="90"/>
      <c r="BZ295" s="90"/>
    </row>
    <row r="296" spans="61:78">
      <c r="BI296" s="59"/>
      <c r="BJ296" s="59"/>
      <c r="BK296" s="59"/>
      <c r="BL296" s="59"/>
      <c r="BM296" s="59"/>
      <c r="BN296" s="59"/>
      <c r="BO296" s="59"/>
      <c r="BP296" s="144"/>
      <c r="BS296" s="90"/>
      <c r="BT296" s="90"/>
      <c r="BU296" s="90"/>
      <c r="BV296" s="90"/>
      <c r="BW296" s="90"/>
      <c r="BX296" s="90"/>
      <c r="BY296" s="90"/>
      <c r="BZ296" s="90"/>
    </row>
    <row r="297" spans="61:78">
      <c r="BI297" s="59"/>
      <c r="BJ297" s="59"/>
      <c r="BK297" s="59"/>
      <c r="BL297" s="59"/>
      <c r="BM297" s="59"/>
      <c r="BN297" s="59"/>
      <c r="BO297" s="59"/>
      <c r="BP297" s="144"/>
      <c r="BS297" s="90"/>
      <c r="BT297" s="90"/>
      <c r="BU297" s="90"/>
      <c r="BV297" s="90"/>
      <c r="BW297" s="90"/>
      <c r="BX297" s="90"/>
      <c r="BY297" s="90"/>
      <c r="BZ297" s="90"/>
    </row>
    <row r="298" spans="61:78">
      <c r="BI298" s="59"/>
      <c r="BJ298" s="59"/>
      <c r="BK298" s="59"/>
      <c r="BL298" s="59"/>
      <c r="BM298" s="59"/>
      <c r="BN298" s="59"/>
      <c r="BO298" s="59"/>
      <c r="BP298" s="144"/>
      <c r="BS298" s="90"/>
      <c r="BT298" s="90"/>
      <c r="BU298" s="90"/>
      <c r="BV298" s="90"/>
      <c r="BW298" s="90"/>
      <c r="BX298" s="90"/>
      <c r="BY298" s="90"/>
      <c r="BZ298" s="90"/>
    </row>
    <row r="299" spans="61:78">
      <c r="BI299" s="59"/>
      <c r="BJ299" s="59"/>
      <c r="BK299" s="59"/>
      <c r="BL299" s="59"/>
      <c r="BM299" s="59"/>
      <c r="BN299" s="59"/>
      <c r="BO299" s="59"/>
      <c r="BP299" s="144"/>
      <c r="BS299" s="90"/>
      <c r="BT299" s="90"/>
      <c r="BU299" s="90"/>
      <c r="BV299" s="90"/>
      <c r="BW299" s="90"/>
      <c r="BX299" s="90"/>
      <c r="BY299" s="90"/>
      <c r="BZ299" s="90"/>
    </row>
    <row r="300" spans="61:78">
      <c r="BI300" s="59"/>
      <c r="BJ300" s="59"/>
      <c r="BK300" s="59"/>
      <c r="BL300" s="59"/>
      <c r="BM300" s="59"/>
      <c r="BN300" s="59"/>
      <c r="BO300" s="59"/>
      <c r="BP300" s="144"/>
      <c r="BS300" s="90"/>
      <c r="BT300" s="90"/>
      <c r="BU300" s="90"/>
      <c r="BV300" s="90"/>
      <c r="BW300" s="90"/>
      <c r="BX300" s="90"/>
      <c r="BY300" s="90"/>
      <c r="BZ300" s="90"/>
    </row>
    <row r="301" spans="61:78">
      <c r="BI301" s="59"/>
      <c r="BJ301" s="59"/>
      <c r="BK301" s="59"/>
      <c r="BL301" s="59"/>
      <c r="BM301" s="59"/>
      <c r="BN301" s="59"/>
      <c r="BO301" s="59"/>
      <c r="BP301" s="144"/>
      <c r="BS301" s="90"/>
      <c r="BT301" s="90"/>
      <c r="BU301" s="90"/>
      <c r="BV301" s="90"/>
      <c r="BW301" s="90"/>
      <c r="BX301" s="90"/>
      <c r="BY301" s="90"/>
      <c r="BZ301" s="90"/>
    </row>
    <row r="302" spans="61:78">
      <c r="BI302" s="59"/>
      <c r="BJ302" s="59"/>
      <c r="BK302" s="59"/>
      <c r="BL302" s="59"/>
      <c r="BM302" s="59"/>
      <c r="BN302" s="59"/>
      <c r="BO302" s="59"/>
      <c r="BP302" s="144"/>
      <c r="BS302" s="90"/>
      <c r="BT302" s="90"/>
      <c r="BU302" s="90"/>
      <c r="BV302" s="90"/>
      <c r="BW302" s="90"/>
      <c r="BX302" s="90"/>
      <c r="BY302" s="90"/>
      <c r="BZ302" s="90"/>
    </row>
    <row r="303" spans="61:78">
      <c r="BI303" s="59"/>
      <c r="BJ303" s="59"/>
      <c r="BK303" s="59"/>
      <c r="BL303" s="59"/>
      <c r="BM303" s="59"/>
      <c r="BN303" s="59"/>
      <c r="BO303" s="59"/>
      <c r="BP303" s="144"/>
      <c r="BS303" s="90"/>
      <c r="BT303" s="90"/>
      <c r="BU303" s="90"/>
      <c r="BV303" s="90"/>
      <c r="BW303" s="90"/>
      <c r="BX303" s="90"/>
      <c r="BY303" s="90"/>
      <c r="BZ303" s="90"/>
    </row>
    <row r="304" spans="61:78">
      <c r="BI304" s="59"/>
      <c r="BJ304" s="59"/>
      <c r="BK304" s="59"/>
      <c r="BL304" s="59"/>
      <c r="BM304" s="59"/>
      <c r="BN304" s="59"/>
      <c r="BO304" s="59"/>
      <c r="BP304" s="144"/>
      <c r="BS304" s="90"/>
      <c r="BT304" s="90"/>
      <c r="BU304" s="90"/>
      <c r="BV304" s="90"/>
      <c r="BW304" s="90"/>
      <c r="BX304" s="90"/>
      <c r="BY304" s="90"/>
      <c r="BZ304" s="90"/>
    </row>
    <row r="305" spans="61:78">
      <c r="BI305" s="59"/>
      <c r="BJ305" s="59"/>
      <c r="BK305" s="59"/>
      <c r="BL305" s="59"/>
      <c r="BM305" s="59"/>
      <c r="BN305" s="59"/>
      <c r="BO305" s="59"/>
      <c r="BP305" s="144"/>
      <c r="BS305" s="90"/>
      <c r="BT305" s="90"/>
      <c r="BU305" s="90"/>
      <c r="BV305" s="90"/>
      <c r="BW305" s="90"/>
      <c r="BX305" s="90"/>
      <c r="BY305" s="90"/>
      <c r="BZ305" s="90"/>
    </row>
    <row r="306" spans="61:78">
      <c r="BI306" s="59"/>
      <c r="BJ306" s="59"/>
      <c r="BK306" s="59"/>
      <c r="BL306" s="59"/>
      <c r="BM306" s="59"/>
      <c r="BN306" s="59"/>
      <c r="BO306" s="59"/>
      <c r="BP306" s="144"/>
      <c r="BS306" s="90"/>
      <c r="BT306" s="90"/>
      <c r="BU306" s="90"/>
      <c r="BV306" s="90"/>
      <c r="BW306" s="90"/>
      <c r="BX306" s="90"/>
      <c r="BY306" s="90"/>
      <c r="BZ306" s="90"/>
    </row>
    <row r="307" spans="61:78">
      <c r="BI307" s="59"/>
      <c r="BJ307" s="59"/>
      <c r="BK307" s="59"/>
      <c r="BL307" s="59"/>
      <c r="BM307" s="59"/>
      <c r="BN307" s="59"/>
      <c r="BO307" s="59"/>
      <c r="BP307" s="144"/>
      <c r="BS307" s="90"/>
      <c r="BT307" s="90"/>
      <c r="BU307" s="90"/>
      <c r="BV307" s="90"/>
      <c r="BW307" s="90"/>
      <c r="BX307" s="90"/>
      <c r="BY307" s="90"/>
      <c r="BZ307" s="90"/>
    </row>
    <row r="308" spans="61:78">
      <c r="BI308" s="59"/>
      <c r="BJ308" s="59"/>
      <c r="BK308" s="59"/>
      <c r="BL308" s="59"/>
      <c r="BM308" s="59"/>
      <c r="BN308" s="59"/>
      <c r="BO308" s="59"/>
      <c r="BP308" s="144"/>
      <c r="BS308" s="90"/>
      <c r="BT308" s="90"/>
      <c r="BU308" s="90"/>
      <c r="BV308" s="90"/>
      <c r="BW308" s="90"/>
      <c r="BX308" s="90"/>
      <c r="BY308" s="90"/>
      <c r="BZ308" s="90"/>
    </row>
    <row r="309" spans="61:78">
      <c r="BI309" s="59"/>
      <c r="BJ309" s="59"/>
      <c r="BK309" s="59"/>
      <c r="BL309" s="59"/>
      <c r="BM309" s="59"/>
      <c r="BN309" s="59"/>
      <c r="BO309" s="59"/>
      <c r="BP309" s="144"/>
      <c r="BS309" s="90"/>
      <c r="BT309" s="90"/>
      <c r="BU309" s="90"/>
      <c r="BV309" s="90"/>
      <c r="BW309" s="90"/>
      <c r="BX309" s="90"/>
      <c r="BY309" s="90"/>
      <c r="BZ309" s="90"/>
    </row>
    <row r="310" spans="61:78">
      <c r="BI310" s="59"/>
      <c r="BJ310" s="59"/>
      <c r="BK310" s="59"/>
      <c r="BL310" s="59"/>
      <c r="BM310" s="59"/>
      <c r="BN310" s="59"/>
      <c r="BO310" s="59"/>
      <c r="BP310" s="144"/>
      <c r="BS310" s="90"/>
      <c r="BT310" s="90"/>
      <c r="BU310" s="90"/>
      <c r="BV310" s="90"/>
      <c r="BW310" s="90"/>
      <c r="BX310" s="90"/>
      <c r="BY310" s="90"/>
      <c r="BZ310" s="90"/>
    </row>
    <row r="311" spans="61:78">
      <c r="BI311" s="59"/>
      <c r="BJ311" s="59"/>
      <c r="BK311" s="59"/>
      <c r="BL311" s="59"/>
      <c r="BM311" s="59"/>
      <c r="BN311" s="59"/>
      <c r="BO311" s="59"/>
      <c r="BP311" s="144"/>
      <c r="BS311" s="90"/>
      <c r="BT311" s="90"/>
      <c r="BU311" s="90"/>
      <c r="BV311" s="90"/>
      <c r="BW311" s="90"/>
      <c r="BX311" s="90"/>
      <c r="BY311" s="90"/>
      <c r="BZ311" s="90"/>
    </row>
    <row r="312" spans="61:78">
      <c r="BI312" s="59"/>
      <c r="BJ312" s="59"/>
      <c r="BK312" s="59"/>
      <c r="BL312" s="59"/>
      <c r="BM312" s="59"/>
      <c r="BN312" s="59"/>
      <c r="BO312" s="59"/>
      <c r="BP312" s="144"/>
      <c r="BS312" s="90"/>
      <c r="BT312" s="90"/>
      <c r="BU312" s="90"/>
      <c r="BV312" s="90"/>
      <c r="BW312" s="90"/>
      <c r="BX312" s="90"/>
      <c r="BY312" s="90"/>
      <c r="BZ312" s="90"/>
    </row>
    <row r="313" spans="61:78">
      <c r="BI313" s="59"/>
      <c r="BJ313" s="59"/>
      <c r="BK313" s="59"/>
      <c r="BL313" s="59"/>
      <c r="BM313" s="59"/>
      <c r="BN313" s="59"/>
      <c r="BO313" s="59"/>
      <c r="BP313" s="144"/>
      <c r="BS313" s="90"/>
      <c r="BT313" s="90"/>
      <c r="BU313" s="90"/>
      <c r="BV313" s="90"/>
      <c r="BW313" s="90"/>
      <c r="BX313" s="90"/>
      <c r="BY313" s="90"/>
      <c r="BZ313" s="90"/>
    </row>
    <row r="314" spans="61:78">
      <c r="BI314" s="59"/>
      <c r="BJ314" s="59"/>
      <c r="BK314" s="59"/>
      <c r="BL314" s="59"/>
      <c r="BM314" s="59"/>
      <c r="BN314" s="59"/>
      <c r="BO314" s="59"/>
      <c r="BP314" s="144"/>
      <c r="BS314" s="90"/>
      <c r="BT314" s="90"/>
      <c r="BU314" s="90"/>
      <c r="BV314" s="90"/>
      <c r="BW314" s="90"/>
      <c r="BX314" s="90"/>
      <c r="BY314" s="90"/>
      <c r="BZ314" s="90"/>
    </row>
    <row r="315" spans="61:78">
      <c r="BI315" s="59"/>
      <c r="BJ315" s="59"/>
      <c r="BK315" s="59"/>
      <c r="BL315" s="59"/>
      <c r="BM315" s="59"/>
      <c r="BN315" s="59"/>
      <c r="BO315" s="59"/>
      <c r="BP315" s="144"/>
      <c r="BS315" s="90"/>
      <c r="BT315" s="90"/>
      <c r="BU315" s="90"/>
      <c r="BV315" s="90"/>
      <c r="BW315" s="90"/>
      <c r="BX315" s="90"/>
      <c r="BY315" s="90"/>
      <c r="BZ315" s="90"/>
    </row>
    <row r="316" spans="61:78">
      <c r="BI316" s="59"/>
      <c r="BJ316" s="59"/>
      <c r="BK316" s="59"/>
      <c r="BL316" s="59"/>
      <c r="BM316" s="59"/>
      <c r="BN316" s="59"/>
      <c r="BO316" s="59"/>
      <c r="BP316" s="144"/>
      <c r="BS316" s="90"/>
      <c r="BT316" s="90"/>
      <c r="BU316" s="90"/>
      <c r="BV316" s="90"/>
      <c r="BW316" s="90"/>
      <c r="BX316" s="90"/>
      <c r="BY316" s="90"/>
      <c r="BZ316" s="90"/>
    </row>
    <row r="317" spans="61:78">
      <c r="BI317" s="59"/>
      <c r="BJ317" s="59"/>
      <c r="BK317" s="59"/>
      <c r="BL317" s="59"/>
      <c r="BM317" s="59"/>
      <c r="BN317" s="59"/>
      <c r="BO317" s="59"/>
      <c r="BP317" s="144"/>
      <c r="BS317" s="90"/>
      <c r="BT317" s="90"/>
      <c r="BU317" s="90"/>
      <c r="BV317" s="90"/>
      <c r="BW317" s="90"/>
      <c r="BX317" s="90"/>
      <c r="BY317" s="90"/>
      <c r="BZ317" s="90"/>
    </row>
    <row r="318" spans="61:78">
      <c r="BI318" s="59"/>
      <c r="BJ318" s="59"/>
      <c r="BK318" s="59"/>
      <c r="BL318" s="59"/>
      <c r="BM318" s="59"/>
      <c r="BN318" s="59"/>
      <c r="BO318" s="59"/>
      <c r="BP318" s="144"/>
      <c r="BS318" s="90"/>
      <c r="BT318" s="90"/>
      <c r="BU318" s="90"/>
      <c r="BV318" s="90"/>
      <c r="BW318" s="90"/>
      <c r="BX318" s="90"/>
      <c r="BY318" s="90"/>
      <c r="BZ318" s="90"/>
    </row>
    <row r="319" spans="61:78">
      <c r="BI319" s="59"/>
      <c r="BJ319" s="59"/>
      <c r="BK319" s="59"/>
      <c r="BL319" s="59"/>
      <c r="BM319" s="59"/>
      <c r="BN319" s="59"/>
      <c r="BO319" s="59"/>
      <c r="BP319" s="144"/>
      <c r="BS319" s="90"/>
      <c r="BT319" s="90"/>
      <c r="BU319" s="90"/>
      <c r="BV319" s="90"/>
      <c r="BW319" s="90"/>
      <c r="BX319" s="90"/>
      <c r="BY319" s="90"/>
      <c r="BZ319" s="90"/>
    </row>
    <row r="320" spans="61:78">
      <c r="BI320" s="59"/>
      <c r="BJ320" s="59"/>
      <c r="BK320" s="59"/>
      <c r="BL320" s="59"/>
      <c r="BM320" s="59"/>
      <c r="BN320" s="59"/>
      <c r="BO320" s="59"/>
      <c r="BP320" s="144"/>
      <c r="BS320" s="90"/>
      <c r="BT320" s="90"/>
      <c r="BU320" s="90"/>
      <c r="BV320" s="90"/>
      <c r="BW320" s="90"/>
      <c r="BX320" s="90"/>
      <c r="BY320" s="90"/>
      <c r="BZ320" s="90"/>
    </row>
    <row r="321" spans="61:78">
      <c r="BI321" s="59"/>
      <c r="BJ321" s="59"/>
      <c r="BK321" s="59"/>
      <c r="BL321" s="59"/>
      <c r="BM321" s="59"/>
      <c r="BN321" s="59"/>
      <c r="BO321" s="59"/>
      <c r="BP321" s="144"/>
      <c r="BS321" s="90"/>
      <c r="BT321" s="90"/>
      <c r="BU321" s="90"/>
      <c r="BV321" s="90"/>
      <c r="BW321" s="90"/>
      <c r="BX321" s="90"/>
      <c r="BY321" s="90"/>
      <c r="BZ321" s="90"/>
    </row>
    <row r="322" spans="61:78">
      <c r="BI322" s="59"/>
      <c r="BJ322" s="59"/>
      <c r="BK322" s="59"/>
      <c r="BL322" s="59"/>
      <c r="BM322" s="59"/>
      <c r="BN322" s="59"/>
      <c r="BO322" s="59"/>
      <c r="BP322" s="144"/>
      <c r="BS322" s="90"/>
      <c r="BT322" s="90"/>
      <c r="BU322" s="90"/>
      <c r="BV322" s="90"/>
      <c r="BW322" s="90"/>
      <c r="BX322" s="90"/>
      <c r="BY322" s="90"/>
      <c r="BZ322" s="90"/>
    </row>
    <row r="323" spans="61:78">
      <c r="BI323" s="59"/>
      <c r="BJ323" s="59"/>
      <c r="BK323" s="59"/>
      <c r="BL323" s="59"/>
      <c r="BM323" s="59"/>
      <c r="BN323" s="59"/>
      <c r="BO323" s="59"/>
      <c r="BP323" s="144"/>
      <c r="BS323" s="90"/>
      <c r="BT323" s="90"/>
      <c r="BU323" s="90"/>
      <c r="BV323" s="90"/>
      <c r="BW323" s="90"/>
      <c r="BX323" s="90"/>
      <c r="BY323" s="90"/>
      <c r="BZ323" s="90"/>
    </row>
    <row r="324" spans="61:78">
      <c r="BI324" s="59"/>
      <c r="BJ324" s="59"/>
      <c r="BK324" s="59"/>
      <c r="BL324" s="59"/>
      <c r="BM324" s="59"/>
      <c r="BN324" s="59"/>
      <c r="BO324" s="59"/>
      <c r="BP324" s="144"/>
      <c r="BS324" s="90"/>
      <c r="BT324" s="90"/>
      <c r="BU324" s="90"/>
      <c r="BV324" s="90"/>
      <c r="BW324" s="90"/>
      <c r="BX324" s="90"/>
      <c r="BY324" s="90"/>
      <c r="BZ324" s="90"/>
    </row>
    <row r="325" spans="61:78">
      <c r="BI325" s="59"/>
      <c r="BJ325" s="59"/>
      <c r="BK325" s="59"/>
      <c r="BL325" s="59"/>
      <c r="BM325" s="59"/>
      <c r="BN325" s="59"/>
      <c r="BO325" s="59"/>
      <c r="BP325" s="144"/>
      <c r="BS325" s="90"/>
      <c r="BT325" s="90"/>
      <c r="BU325" s="90"/>
      <c r="BV325" s="90"/>
      <c r="BW325" s="90"/>
      <c r="BX325" s="90"/>
      <c r="BY325" s="90"/>
      <c r="BZ325" s="90"/>
    </row>
    <row r="326" spans="61:78">
      <c r="BI326" s="59"/>
      <c r="BJ326" s="59"/>
      <c r="BK326" s="59"/>
      <c r="BL326" s="59"/>
      <c r="BM326" s="59"/>
      <c r="BN326" s="59"/>
      <c r="BO326" s="59"/>
      <c r="BP326" s="144"/>
      <c r="BS326" s="90"/>
      <c r="BT326" s="90"/>
      <c r="BU326" s="90"/>
      <c r="BV326" s="90"/>
      <c r="BW326" s="90"/>
      <c r="BX326" s="90"/>
      <c r="BY326" s="90"/>
      <c r="BZ326" s="90"/>
    </row>
    <row r="327" spans="61:78">
      <c r="BI327" s="59"/>
      <c r="BJ327" s="59"/>
      <c r="BK327" s="59"/>
      <c r="BL327" s="59"/>
      <c r="BM327" s="59"/>
      <c r="BN327" s="59"/>
      <c r="BO327" s="59"/>
      <c r="BP327" s="144"/>
      <c r="BS327" s="90"/>
      <c r="BT327" s="90"/>
      <c r="BU327" s="90"/>
      <c r="BV327" s="90"/>
      <c r="BW327" s="90"/>
      <c r="BX327" s="90"/>
      <c r="BY327" s="90"/>
      <c r="BZ327" s="90"/>
    </row>
    <row r="328" spans="61:78">
      <c r="BI328" s="59"/>
      <c r="BJ328" s="59"/>
      <c r="BK328" s="59"/>
      <c r="BL328" s="59"/>
      <c r="BM328" s="59"/>
      <c r="BN328" s="59"/>
      <c r="BO328" s="59"/>
      <c r="BP328" s="144"/>
      <c r="BS328" s="90"/>
      <c r="BT328" s="90"/>
      <c r="BU328" s="90"/>
      <c r="BV328" s="90"/>
      <c r="BW328" s="90"/>
      <c r="BX328" s="90"/>
      <c r="BY328" s="90"/>
      <c r="BZ328" s="90"/>
    </row>
    <row r="329" spans="61:78">
      <c r="BI329" s="59"/>
      <c r="BJ329" s="59"/>
      <c r="BK329" s="59"/>
      <c r="BL329" s="59"/>
      <c r="BM329" s="59"/>
      <c r="BN329" s="59"/>
      <c r="BO329" s="59"/>
      <c r="BP329" s="144"/>
      <c r="BS329" s="90"/>
      <c r="BT329" s="90"/>
      <c r="BU329" s="90"/>
      <c r="BV329" s="90"/>
      <c r="BW329" s="90"/>
      <c r="BX329" s="90"/>
      <c r="BY329" s="90"/>
      <c r="BZ329" s="90"/>
    </row>
    <row r="330" spans="61:78">
      <c r="BI330" s="59"/>
      <c r="BJ330" s="59"/>
      <c r="BK330" s="59"/>
      <c r="BL330" s="59"/>
      <c r="BM330" s="59"/>
      <c r="BN330" s="59"/>
      <c r="BO330" s="59"/>
      <c r="BP330" s="144"/>
      <c r="BS330" s="90"/>
      <c r="BT330" s="90"/>
      <c r="BU330" s="90"/>
      <c r="BV330" s="90"/>
      <c r="BW330" s="90"/>
      <c r="BX330" s="90"/>
      <c r="BY330" s="90"/>
      <c r="BZ330" s="90"/>
    </row>
    <row r="331" spans="61:78">
      <c r="BI331" s="59"/>
      <c r="BJ331" s="59"/>
      <c r="BK331" s="59"/>
      <c r="BL331" s="59"/>
      <c r="BM331" s="59"/>
      <c r="BN331" s="59"/>
      <c r="BO331" s="59"/>
      <c r="BP331" s="144"/>
      <c r="BS331" s="90"/>
      <c r="BT331" s="90"/>
      <c r="BU331" s="90"/>
      <c r="BV331" s="90"/>
      <c r="BW331" s="90"/>
      <c r="BX331" s="90"/>
      <c r="BY331" s="90"/>
      <c r="BZ331" s="90"/>
    </row>
    <row r="332" spans="61:78">
      <c r="BI332" s="59"/>
      <c r="BJ332" s="59"/>
      <c r="BK332" s="59"/>
      <c r="BL332" s="59"/>
      <c r="BM332" s="59"/>
      <c r="BN332" s="59"/>
      <c r="BO332" s="59"/>
      <c r="BP332" s="144"/>
      <c r="BS332" s="90"/>
      <c r="BT332" s="90"/>
      <c r="BU332" s="90"/>
      <c r="BV332" s="90"/>
      <c r="BW332" s="90"/>
      <c r="BX332" s="90"/>
      <c r="BY332" s="90"/>
      <c r="BZ332" s="90"/>
    </row>
    <row r="333" spans="61:78">
      <c r="BI333" s="59"/>
      <c r="BJ333" s="59"/>
      <c r="BK333" s="59"/>
      <c r="BL333" s="59"/>
      <c r="BM333" s="59"/>
      <c r="BN333" s="59"/>
      <c r="BO333" s="59"/>
      <c r="BP333" s="144"/>
      <c r="BS333" s="90"/>
      <c r="BT333" s="90"/>
      <c r="BU333" s="90"/>
      <c r="BV333" s="90"/>
      <c r="BW333" s="90"/>
      <c r="BX333" s="90"/>
      <c r="BY333" s="90"/>
      <c r="BZ333" s="90"/>
    </row>
    <row r="334" spans="61:78">
      <c r="BI334" s="59"/>
      <c r="BJ334" s="59"/>
      <c r="BK334" s="59"/>
      <c r="BL334" s="59"/>
      <c r="BM334" s="59"/>
      <c r="BN334" s="59"/>
      <c r="BO334" s="59"/>
      <c r="BP334" s="144"/>
      <c r="BS334" s="90"/>
      <c r="BT334" s="90"/>
      <c r="BU334" s="90"/>
      <c r="BV334" s="90"/>
      <c r="BW334" s="90"/>
      <c r="BX334" s="90"/>
      <c r="BY334" s="90"/>
      <c r="BZ334" s="90"/>
    </row>
    <row r="335" spans="61:78">
      <c r="BI335" s="59"/>
      <c r="BJ335" s="59"/>
      <c r="BK335" s="59"/>
      <c r="BL335" s="59"/>
      <c r="BM335" s="59"/>
      <c r="BN335" s="59"/>
      <c r="BO335" s="59"/>
      <c r="BP335" s="144"/>
      <c r="BS335" s="90"/>
      <c r="BT335" s="90"/>
      <c r="BU335" s="90"/>
      <c r="BV335" s="90"/>
      <c r="BW335" s="90"/>
      <c r="BX335" s="90"/>
      <c r="BY335" s="90"/>
      <c r="BZ335" s="90"/>
    </row>
    <row r="336" spans="61:78">
      <c r="BI336" s="59"/>
      <c r="BJ336" s="59"/>
      <c r="BK336" s="59"/>
      <c r="BL336" s="59"/>
      <c r="BM336" s="59"/>
      <c r="BN336" s="59"/>
      <c r="BO336" s="59"/>
      <c r="BP336" s="144"/>
      <c r="BS336" s="90"/>
      <c r="BT336" s="90"/>
      <c r="BU336" s="90"/>
      <c r="BV336" s="90"/>
      <c r="BW336" s="90"/>
      <c r="BX336" s="90"/>
      <c r="BY336" s="90"/>
      <c r="BZ336" s="90"/>
    </row>
    <row r="337" spans="61:78">
      <c r="BI337" s="59"/>
      <c r="BJ337" s="59"/>
      <c r="BK337" s="59"/>
      <c r="BL337" s="59"/>
      <c r="BM337" s="59"/>
      <c r="BN337" s="59"/>
      <c r="BO337" s="59"/>
      <c r="BP337" s="144"/>
      <c r="BS337" s="90"/>
      <c r="BT337" s="90"/>
      <c r="BU337" s="90"/>
      <c r="BV337" s="90"/>
      <c r="BW337" s="90"/>
      <c r="BX337" s="90"/>
      <c r="BY337" s="90"/>
      <c r="BZ337" s="90"/>
    </row>
    <row r="338" spans="61:78">
      <c r="BI338" s="59"/>
      <c r="BJ338" s="59"/>
      <c r="BK338" s="59"/>
      <c r="BL338" s="59"/>
      <c r="BM338" s="59"/>
      <c r="BN338" s="59"/>
      <c r="BO338" s="59"/>
      <c r="BP338" s="144"/>
      <c r="BS338" s="90"/>
      <c r="BT338" s="90"/>
      <c r="BU338" s="90"/>
      <c r="BV338" s="90"/>
      <c r="BW338" s="90"/>
      <c r="BX338" s="90"/>
      <c r="BY338" s="90"/>
      <c r="BZ338" s="90"/>
    </row>
    <row r="339" spans="61:78">
      <c r="BI339" s="59"/>
      <c r="BJ339" s="59"/>
      <c r="BK339" s="59"/>
      <c r="BL339" s="59"/>
      <c r="BM339" s="59"/>
      <c r="BN339" s="59"/>
      <c r="BO339" s="59"/>
      <c r="BP339" s="144"/>
      <c r="BS339" s="90"/>
      <c r="BT339" s="90"/>
      <c r="BU339" s="90"/>
      <c r="BV339" s="90"/>
      <c r="BW339" s="90"/>
      <c r="BX339" s="90"/>
      <c r="BY339" s="90"/>
      <c r="BZ339" s="90"/>
    </row>
    <row r="340" spans="61:78">
      <c r="BI340" s="59"/>
      <c r="BJ340" s="59"/>
      <c r="BK340" s="59"/>
      <c r="BL340" s="59"/>
      <c r="BM340" s="59"/>
      <c r="BN340" s="59"/>
      <c r="BO340" s="59"/>
      <c r="BP340" s="144"/>
      <c r="BS340" s="90"/>
      <c r="BT340" s="90"/>
      <c r="BU340" s="90"/>
      <c r="BV340" s="90"/>
      <c r="BW340" s="90"/>
      <c r="BX340" s="90"/>
      <c r="BY340" s="90"/>
      <c r="BZ340" s="90"/>
    </row>
    <row r="341" spans="61:78">
      <c r="BI341" s="59"/>
      <c r="BJ341" s="59"/>
      <c r="BK341" s="59"/>
      <c r="BL341" s="59"/>
      <c r="BM341" s="59"/>
      <c r="BN341" s="59"/>
      <c r="BO341" s="59"/>
      <c r="BP341" s="144"/>
      <c r="BS341" s="90"/>
      <c r="BT341" s="90"/>
      <c r="BU341" s="90"/>
      <c r="BV341" s="90"/>
      <c r="BW341" s="90"/>
      <c r="BX341" s="90"/>
      <c r="BY341" s="90"/>
      <c r="BZ341" s="90"/>
    </row>
    <row r="342" spans="61:78">
      <c r="BI342" s="59"/>
      <c r="BJ342" s="59"/>
      <c r="BK342" s="59"/>
      <c r="BL342" s="59"/>
      <c r="BM342" s="59"/>
      <c r="BN342" s="59"/>
      <c r="BO342" s="59"/>
      <c r="BP342" s="144"/>
      <c r="BS342" s="90"/>
      <c r="BT342" s="90"/>
      <c r="BU342" s="90"/>
      <c r="BV342" s="90"/>
      <c r="BW342" s="90"/>
      <c r="BX342" s="90"/>
      <c r="BY342" s="90"/>
      <c r="BZ342" s="90"/>
    </row>
    <row r="343" spans="61:78">
      <c r="BI343" s="59"/>
      <c r="BJ343" s="59"/>
      <c r="BK343" s="59"/>
      <c r="BL343" s="59"/>
      <c r="BM343" s="59"/>
      <c r="BN343" s="59"/>
      <c r="BO343" s="59"/>
      <c r="BP343" s="144"/>
      <c r="BS343" s="90"/>
      <c r="BT343" s="90"/>
      <c r="BU343" s="90"/>
      <c r="BV343" s="90"/>
      <c r="BW343" s="90"/>
      <c r="BX343" s="90"/>
      <c r="BY343" s="90"/>
      <c r="BZ343" s="90"/>
    </row>
    <row r="344" spans="61:78">
      <c r="BI344" s="59"/>
      <c r="BJ344" s="59"/>
      <c r="BK344" s="59"/>
      <c r="BL344" s="59"/>
      <c r="BM344" s="59"/>
      <c r="BN344" s="59"/>
      <c r="BO344" s="59"/>
      <c r="BP344" s="144"/>
      <c r="BS344" s="90"/>
      <c r="BT344" s="90"/>
      <c r="BU344" s="90"/>
      <c r="BV344" s="90"/>
      <c r="BW344" s="90"/>
      <c r="BX344" s="90"/>
      <c r="BY344" s="90"/>
      <c r="BZ344" s="90"/>
    </row>
    <row r="345" spans="61:78">
      <c r="BI345" s="59"/>
      <c r="BJ345" s="59"/>
      <c r="BK345" s="59"/>
      <c r="BL345" s="59"/>
      <c r="BM345" s="59"/>
      <c r="BN345" s="59"/>
      <c r="BO345" s="59"/>
      <c r="BP345" s="144"/>
      <c r="BS345" s="90"/>
      <c r="BT345" s="90"/>
      <c r="BU345" s="90"/>
      <c r="BV345" s="90"/>
      <c r="BW345" s="90"/>
      <c r="BX345" s="90"/>
      <c r="BY345" s="90"/>
      <c r="BZ345" s="90"/>
    </row>
    <row r="346" spans="61:78">
      <c r="BI346" s="59"/>
      <c r="BJ346" s="59"/>
      <c r="BK346" s="59"/>
      <c r="BL346" s="59"/>
      <c r="BM346" s="59"/>
      <c r="BN346" s="59"/>
      <c r="BO346" s="59"/>
      <c r="BP346" s="144"/>
      <c r="BS346" s="90"/>
      <c r="BT346" s="90"/>
      <c r="BU346" s="90"/>
      <c r="BV346" s="90"/>
      <c r="BW346" s="90"/>
      <c r="BX346" s="90"/>
      <c r="BY346" s="90"/>
      <c r="BZ346" s="90"/>
    </row>
    <row r="347" spans="61:78">
      <c r="BI347" s="59"/>
      <c r="BJ347" s="59"/>
      <c r="BK347" s="59"/>
      <c r="BL347" s="59"/>
      <c r="BM347" s="59"/>
      <c r="BN347" s="59"/>
      <c r="BO347" s="59"/>
      <c r="BP347" s="144"/>
      <c r="BS347" s="90"/>
      <c r="BT347" s="90"/>
      <c r="BU347" s="90"/>
      <c r="BV347" s="90"/>
      <c r="BW347" s="90"/>
      <c r="BX347" s="90"/>
      <c r="BY347" s="90"/>
      <c r="BZ347" s="90"/>
    </row>
    <row r="348" spans="61:78">
      <c r="BI348" s="59"/>
      <c r="BJ348" s="59"/>
      <c r="BK348" s="59"/>
      <c r="BL348" s="59"/>
      <c r="BM348" s="59"/>
      <c r="BN348" s="59"/>
      <c r="BO348" s="59"/>
      <c r="BP348" s="144"/>
      <c r="BS348" s="90"/>
      <c r="BT348" s="90"/>
      <c r="BU348" s="90"/>
      <c r="BV348" s="90"/>
      <c r="BW348" s="90"/>
      <c r="BX348" s="90"/>
      <c r="BY348" s="90"/>
      <c r="BZ348" s="90"/>
    </row>
    <row r="349" spans="61:78">
      <c r="BI349" s="59"/>
      <c r="BJ349" s="59"/>
      <c r="BK349" s="59"/>
      <c r="BL349" s="59"/>
      <c r="BM349" s="59"/>
      <c r="BN349" s="59"/>
      <c r="BO349" s="59"/>
      <c r="BP349" s="144"/>
      <c r="BS349" s="90"/>
      <c r="BT349" s="90"/>
      <c r="BU349" s="90"/>
      <c r="BV349" s="90"/>
      <c r="BW349" s="90"/>
      <c r="BX349" s="90"/>
      <c r="BY349" s="90"/>
      <c r="BZ349" s="90"/>
    </row>
    <row r="350" spans="61:78">
      <c r="BI350" s="59"/>
      <c r="BJ350" s="59"/>
      <c r="BK350" s="59"/>
      <c r="BL350" s="59"/>
      <c r="BM350" s="59"/>
      <c r="BN350" s="59"/>
      <c r="BO350" s="59"/>
      <c r="BP350" s="144"/>
      <c r="BS350" s="90"/>
      <c r="BT350" s="90"/>
      <c r="BU350" s="90"/>
      <c r="BV350" s="90"/>
      <c r="BW350" s="90"/>
      <c r="BX350" s="90"/>
      <c r="BY350" s="90"/>
      <c r="BZ350" s="90"/>
    </row>
    <row r="351" spans="61:78">
      <c r="BI351" s="59"/>
      <c r="BJ351" s="59"/>
      <c r="BK351" s="59"/>
      <c r="BL351" s="59"/>
      <c r="BM351" s="59"/>
      <c r="BN351" s="59"/>
      <c r="BO351" s="59"/>
      <c r="BP351" s="144"/>
      <c r="BS351" s="90"/>
      <c r="BT351" s="90"/>
      <c r="BU351" s="90"/>
      <c r="BV351" s="90"/>
      <c r="BW351" s="90"/>
      <c r="BX351" s="90"/>
      <c r="BY351" s="90"/>
      <c r="BZ351" s="90"/>
    </row>
    <row r="352" spans="61:78">
      <c r="BI352" s="59"/>
      <c r="BJ352" s="59"/>
      <c r="BK352" s="59"/>
      <c r="BL352" s="59"/>
      <c r="BM352" s="59"/>
      <c r="BN352" s="59"/>
      <c r="BO352" s="59"/>
      <c r="BP352" s="144"/>
      <c r="BS352" s="90"/>
      <c r="BT352" s="90"/>
      <c r="BU352" s="90"/>
      <c r="BV352" s="90"/>
      <c r="BW352" s="90"/>
      <c r="BX352" s="90"/>
      <c r="BY352" s="90"/>
      <c r="BZ352" s="90"/>
    </row>
    <row r="353" spans="61:78">
      <c r="BI353" s="59"/>
      <c r="BJ353" s="59"/>
      <c r="BK353" s="59"/>
      <c r="BL353" s="59"/>
      <c r="BM353" s="59"/>
      <c r="BN353" s="59"/>
      <c r="BO353" s="59"/>
      <c r="BP353" s="144"/>
      <c r="BS353" s="90"/>
      <c r="BT353" s="90"/>
      <c r="BU353" s="90"/>
      <c r="BV353" s="90"/>
      <c r="BW353" s="90"/>
      <c r="BX353" s="90"/>
      <c r="BY353" s="90"/>
      <c r="BZ353" s="90"/>
    </row>
    <row r="354" spans="61:78">
      <c r="BI354" s="59"/>
      <c r="BJ354" s="59"/>
      <c r="BK354" s="59"/>
      <c r="BL354" s="59"/>
      <c r="BM354" s="59"/>
      <c r="BN354" s="59"/>
      <c r="BO354" s="59"/>
      <c r="BP354" s="144"/>
      <c r="BS354" s="90"/>
      <c r="BT354" s="90"/>
      <c r="BU354" s="90"/>
      <c r="BV354" s="90"/>
      <c r="BW354" s="90"/>
      <c r="BX354" s="90"/>
      <c r="BY354" s="90"/>
      <c r="BZ354" s="90"/>
    </row>
    <row r="355" spans="61:78">
      <c r="BI355" s="59"/>
      <c r="BJ355" s="59"/>
      <c r="BK355" s="59"/>
      <c r="BL355" s="59"/>
      <c r="BM355" s="59"/>
      <c r="BN355" s="59"/>
      <c r="BO355" s="59"/>
      <c r="BP355" s="144"/>
      <c r="BS355" s="90"/>
      <c r="BT355" s="90"/>
      <c r="BU355" s="90"/>
      <c r="BV355" s="90"/>
      <c r="BW355" s="90"/>
      <c r="BX355" s="90"/>
      <c r="BY355" s="90"/>
      <c r="BZ355" s="90"/>
    </row>
    <row r="356" spans="61:78">
      <c r="BI356" s="59"/>
      <c r="BJ356" s="59"/>
      <c r="BK356" s="59"/>
      <c r="BL356" s="59"/>
      <c r="BM356" s="59"/>
      <c r="BN356" s="59"/>
      <c r="BO356" s="59"/>
      <c r="BP356" s="144"/>
      <c r="BS356" s="90"/>
      <c r="BT356" s="90"/>
      <c r="BU356" s="90"/>
      <c r="BV356" s="90"/>
      <c r="BW356" s="90"/>
      <c r="BX356" s="90"/>
      <c r="BY356" s="90"/>
      <c r="BZ356" s="90"/>
    </row>
    <row r="357" spans="61:78">
      <c r="BI357" s="59"/>
      <c r="BJ357" s="59"/>
      <c r="BK357" s="59"/>
      <c r="BL357" s="59"/>
      <c r="BM357" s="59"/>
      <c r="BN357" s="59"/>
      <c r="BO357" s="59"/>
      <c r="BP357" s="144"/>
      <c r="BS357" s="90"/>
      <c r="BT357" s="90"/>
      <c r="BU357" s="90"/>
      <c r="BV357" s="90"/>
      <c r="BW357" s="90"/>
      <c r="BX357" s="90"/>
      <c r="BY357" s="90"/>
      <c r="BZ357" s="90"/>
    </row>
    <row r="358" spans="61:78">
      <c r="BI358" s="59"/>
      <c r="BJ358" s="59"/>
      <c r="BK358" s="59"/>
      <c r="BL358" s="59"/>
      <c r="BM358" s="59"/>
      <c r="BN358" s="59"/>
      <c r="BO358" s="59"/>
      <c r="BP358" s="144"/>
      <c r="BS358" s="90"/>
      <c r="BT358" s="90"/>
      <c r="BU358" s="90"/>
      <c r="BV358" s="90"/>
      <c r="BW358" s="90"/>
      <c r="BX358" s="90"/>
      <c r="BY358" s="90"/>
      <c r="BZ358" s="90"/>
    </row>
    <row r="359" spans="61:78">
      <c r="BI359" s="59"/>
      <c r="BJ359" s="59"/>
      <c r="BK359" s="59"/>
      <c r="BL359" s="59"/>
      <c r="BM359" s="59"/>
      <c r="BN359" s="59"/>
      <c r="BO359" s="59"/>
      <c r="BP359" s="144"/>
      <c r="BS359" s="90"/>
      <c r="BT359" s="90"/>
      <c r="BU359" s="90"/>
      <c r="BV359" s="90"/>
      <c r="BW359" s="90"/>
      <c r="BX359" s="90"/>
      <c r="BY359" s="90"/>
      <c r="BZ359" s="90"/>
    </row>
    <row r="360" spans="61:78">
      <c r="BI360" s="59"/>
      <c r="BJ360" s="59"/>
      <c r="BK360" s="59"/>
      <c r="BL360" s="59"/>
      <c r="BM360" s="59"/>
      <c r="BN360" s="59"/>
      <c r="BO360" s="59"/>
      <c r="BP360" s="144"/>
      <c r="BS360" s="90"/>
      <c r="BT360" s="90"/>
      <c r="BU360" s="90"/>
      <c r="BV360" s="90"/>
      <c r="BW360" s="90"/>
      <c r="BX360" s="90"/>
      <c r="BY360" s="90"/>
      <c r="BZ360" s="90"/>
    </row>
    <row r="361" spans="61:78">
      <c r="BI361" s="59"/>
      <c r="BJ361" s="59"/>
      <c r="BK361" s="59"/>
      <c r="BL361" s="59"/>
      <c r="BM361" s="59"/>
      <c r="BN361" s="59"/>
      <c r="BO361" s="59"/>
      <c r="BP361" s="144"/>
      <c r="BS361" s="90"/>
      <c r="BT361" s="90"/>
      <c r="BU361" s="90"/>
      <c r="BV361" s="90"/>
      <c r="BW361" s="90"/>
      <c r="BX361" s="90"/>
      <c r="BY361" s="90"/>
      <c r="BZ361" s="90"/>
    </row>
    <row r="362" spans="61:78">
      <c r="BI362" s="59"/>
      <c r="BJ362" s="59"/>
      <c r="BK362" s="59"/>
      <c r="BL362" s="59"/>
      <c r="BM362" s="59"/>
      <c r="BN362" s="59"/>
      <c r="BO362" s="59"/>
      <c r="BP362" s="144"/>
      <c r="BS362" s="90"/>
      <c r="BT362" s="90"/>
      <c r="BU362" s="90"/>
      <c r="BV362" s="90"/>
      <c r="BW362" s="90"/>
      <c r="BX362" s="90"/>
      <c r="BY362" s="90"/>
      <c r="BZ362" s="90"/>
    </row>
    <row r="363" spans="61:78">
      <c r="BI363" s="59"/>
      <c r="BJ363" s="59"/>
      <c r="BK363" s="59"/>
      <c r="BL363" s="59"/>
      <c r="BM363" s="59"/>
      <c r="BN363" s="59"/>
      <c r="BO363" s="59"/>
      <c r="BP363" s="144"/>
      <c r="BS363" s="90"/>
      <c r="BT363" s="90"/>
      <c r="BU363" s="90"/>
      <c r="BV363" s="90"/>
      <c r="BW363" s="90"/>
      <c r="BX363" s="90"/>
      <c r="BY363" s="90"/>
      <c r="BZ363" s="90"/>
    </row>
    <row r="364" spans="61:78">
      <c r="BI364" s="59"/>
      <c r="BJ364" s="59"/>
      <c r="BK364" s="59"/>
      <c r="BL364" s="59"/>
      <c r="BM364" s="59"/>
      <c r="BN364" s="59"/>
      <c r="BO364" s="59"/>
      <c r="BP364" s="144"/>
      <c r="BS364" s="90"/>
      <c r="BT364" s="90"/>
      <c r="BU364" s="90"/>
      <c r="BV364" s="90"/>
      <c r="BW364" s="90"/>
      <c r="BX364" s="90"/>
      <c r="BY364" s="90"/>
      <c r="BZ364" s="90"/>
    </row>
    <row r="365" spans="61:78">
      <c r="BI365" s="59"/>
      <c r="BJ365" s="59"/>
      <c r="BK365" s="59"/>
      <c r="BL365" s="59"/>
      <c r="BM365" s="59"/>
      <c r="BN365" s="59"/>
      <c r="BO365" s="59"/>
      <c r="BP365" s="144"/>
      <c r="BS365" s="90"/>
      <c r="BT365" s="90"/>
      <c r="BU365" s="90"/>
      <c r="BV365" s="90"/>
      <c r="BW365" s="90"/>
      <c r="BX365" s="90"/>
      <c r="BY365" s="90"/>
      <c r="BZ365" s="90"/>
    </row>
    <row r="366" spans="61:78">
      <c r="BI366" s="59"/>
      <c r="BJ366" s="59"/>
      <c r="BK366" s="59"/>
      <c r="BL366" s="59"/>
      <c r="BM366" s="59"/>
      <c r="BN366" s="59"/>
      <c r="BO366" s="59"/>
      <c r="BP366" s="144"/>
      <c r="BS366" s="90"/>
      <c r="BT366" s="90"/>
      <c r="BU366" s="90"/>
      <c r="BV366" s="90"/>
      <c r="BW366" s="90"/>
      <c r="BX366" s="90"/>
      <c r="BY366" s="90"/>
      <c r="BZ366" s="90"/>
    </row>
    <row r="367" spans="61:78">
      <c r="BI367" s="59"/>
      <c r="BJ367" s="59"/>
      <c r="BK367" s="59"/>
      <c r="BL367" s="59"/>
      <c r="BM367" s="59"/>
      <c r="BN367" s="59"/>
      <c r="BO367" s="59"/>
      <c r="BP367" s="144"/>
      <c r="BS367" s="90"/>
      <c r="BT367" s="90"/>
      <c r="BU367" s="90"/>
      <c r="BV367" s="90"/>
      <c r="BW367" s="90"/>
      <c r="BX367" s="90"/>
      <c r="BY367" s="90"/>
      <c r="BZ367" s="90"/>
    </row>
    <row r="368" spans="61:78">
      <c r="BI368" s="59"/>
      <c r="BJ368" s="59"/>
      <c r="BK368" s="59"/>
      <c r="BL368" s="59"/>
      <c r="BM368" s="59"/>
      <c r="BN368" s="59"/>
      <c r="BO368" s="59"/>
      <c r="BP368" s="144"/>
      <c r="BS368" s="90"/>
      <c r="BT368" s="90"/>
      <c r="BU368" s="90"/>
      <c r="BV368" s="90"/>
      <c r="BW368" s="90"/>
      <c r="BX368" s="90"/>
      <c r="BY368" s="90"/>
      <c r="BZ368" s="90"/>
    </row>
    <row r="369" spans="61:78">
      <c r="BI369" s="59"/>
      <c r="BJ369" s="59"/>
      <c r="BK369" s="59"/>
      <c r="BL369" s="59"/>
      <c r="BM369" s="59"/>
      <c r="BN369" s="59"/>
      <c r="BO369" s="59"/>
      <c r="BP369" s="144"/>
      <c r="BS369" s="90"/>
      <c r="BT369" s="90"/>
      <c r="BU369" s="90"/>
      <c r="BV369" s="90"/>
      <c r="BW369" s="90"/>
      <c r="BX369" s="90"/>
      <c r="BY369" s="90"/>
      <c r="BZ369" s="90"/>
    </row>
    <row r="370" spans="61:78">
      <c r="BI370" s="59"/>
      <c r="BJ370" s="59"/>
      <c r="BK370" s="59"/>
      <c r="BL370" s="59"/>
      <c r="BM370" s="59"/>
      <c r="BN370" s="59"/>
      <c r="BO370" s="59"/>
      <c r="BP370" s="144"/>
      <c r="BS370" s="90"/>
      <c r="BT370" s="90"/>
      <c r="BU370" s="90"/>
      <c r="BV370" s="90"/>
      <c r="BW370" s="90"/>
      <c r="BX370" s="90"/>
      <c r="BY370" s="90"/>
      <c r="BZ370" s="90"/>
    </row>
    <row r="371" spans="61:78">
      <c r="BI371" s="59"/>
      <c r="BJ371" s="59"/>
      <c r="BK371" s="59"/>
      <c r="BL371" s="59"/>
      <c r="BM371" s="59"/>
      <c r="BN371" s="59"/>
      <c r="BO371" s="59"/>
      <c r="BP371" s="144"/>
      <c r="BS371" s="90"/>
      <c r="BT371" s="90"/>
      <c r="BU371" s="90"/>
      <c r="BV371" s="90"/>
      <c r="BW371" s="90"/>
      <c r="BX371" s="90"/>
      <c r="BY371" s="90"/>
      <c r="BZ371" s="90"/>
    </row>
    <row r="372" spans="61:78">
      <c r="BI372" s="59"/>
      <c r="BJ372" s="59"/>
      <c r="BK372" s="59"/>
      <c r="BL372" s="59"/>
      <c r="BM372" s="59"/>
      <c r="BN372" s="59"/>
      <c r="BO372" s="59"/>
      <c r="BP372" s="144"/>
      <c r="BS372" s="90"/>
      <c r="BT372" s="90"/>
      <c r="BU372" s="90"/>
      <c r="BV372" s="90"/>
      <c r="BW372" s="90"/>
      <c r="BX372" s="90"/>
      <c r="BY372" s="90"/>
      <c r="BZ372" s="90"/>
    </row>
    <row r="373" spans="61:78">
      <c r="BI373" s="59"/>
      <c r="BJ373" s="59"/>
      <c r="BK373" s="59"/>
      <c r="BL373" s="59"/>
      <c r="BM373" s="59"/>
      <c r="BN373" s="59"/>
      <c r="BO373" s="59"/>
      <c r="BP373" s="144"/>
      <c r="BS373" s="90"/>
      <c r="BT373" s="90"/>
      <c r="BU373" s="90"/>
      <c r="BV373" s="90"/>
      <c r="BW373" s="90"/>
      <c r="BX373" s="90"/>
      <c r="BY373" s="90"/>
      <c r="BZ373" s="90"/>
    </row>
    <row r="374" spans="61:78">
      <c r="BI374" s="59"/>
      <c r="BJ374" s="59"/>
      <c r="BK374" s="59"/>
      <c r="BL374" s="59"/>
      <c r="BM374" s="59"/>
      <c r="BN374" s="59"/>
      <c r="BO374" s="59"/>
      <c r="BP374" s="144"/>
      <c r="BS374" s="90"/>
      <c r="BT374" s="90"/>
      <c r="BU374" s="90"/>
      <c r="BV374" s="90"/>
      <c r="BW374" s="90"/>
      <c r="BX374" s="90"/>
      <c r="BY374" s="90"/>
      <c r="BZ374" s="90"/>
    </row>
    <row r="375" spans="61:78">
      <c r="BI375" s="59"/>
      <c r="BJ375" s="59"/>
      <c r="BK375" s="59"/>
      <c r="BL375" s="59"/>
      <c r="BM375" s="59"/>
      <c r="BN375" s="59"/>
      <c r="BO375" s="59"/>
      <c r="BP375" s="144"/>
      <c r="BS375" s="90"/>
      <c r="BT375" s="90"/>
      <c r="BU375" s="90"/>
      <c r="BV375" s="90"/>
      <c r="BW375" s="90"/>
      <c r="BX375" s="90"/>
      <c r="BY375" s="90"/>
      <c r="BZ375" s="90"/>
    </row>
    <row r="376" spans="61:78">
      <c r="BI376" s="59"/>
      <c r="BJ376" s="59"/>
      <c r="BK376" s="59"/>
      <c r="BL376" s="59"/>
      <c r="BM376" s="59"/>
      <c r="BN376" s="59"/>
      <c r="BO376" s="59"/>
      <c r="BP376" s="144"/>
      <c r="BS376" s="90"/>
      <c r="BT376" s="90"/>
      <c r="BU376" s="90"/>
      <c r="BV376" s="90"/>
      <c r="BW376" s="90"/>
      <c r="BX376" s="90"/>
      <c r="BY376" s="90"/>
      <c r="BZ376" s="90"/>
    </row>
    <row r="377" spans="61:78">
      <c r="BI377" s="59"/>
      <c r="BJ377" s="59"/>
      <c r="BK377" s="59"/>
      <c r="BL377" s="59"/>
      <c r="BM377" s="59"/>
      <c r="BN377" s="59"/>
      <c r="BO377" s="59"/>
      <c r="BP377" s="144"/>
      <c r="BS377" s="90"/>
      <c r="BT377" s="90"/>
      <c r="BU377" s="90"/>
      <c r="BV377" s="90"/>
      <c r="BW377" s="90"/>
      <c r="BX377" s="90"/>
      <c r="BY377" s="90"/>
      <c r="BZ377" s="90"/>
    </row>
    <row r="378" spans="61:78">
      <c r="BI378" s="59"/>
      <c r="BJ378" s="59"/>
      <c r="BK378" s="59"/>
      <c r="BL378" s="59"/>
      <c r="BM378" s="59"/>
      <c r="BN378" s="59"/>
      <c r="BO378" s="59"/>
      <c r="BP378" s="144"/>
      <c r="BS378" s="90"/>
      <c r="BT378" s="90"/>
      <c r="BU378" s="90"/>
      <c r="BV378" s="90"/>
      <c r="BW378" s="90"/>
      <c r="BX378" s="90"/>
      <c r="BY378" s="90"/>
      <c r="BZ378" s="90"/>
    </row>
    <row r="379" spans="61:78">
      <c r="BI379" s="59"/>
      <c r="BJ379" s="59"/>
      <c r="BK379" s="59"/>
      <c r="BL379" s="59"/>
      <c r="BM379" s="59"/>
      <c r="BN379" s="59"/>
      <c r="BO379" s="59"/>
      <c r="BP379" s="144"/>
      <c r="BS379" s="90"/>
      <c r="BT379" s="90"/>
      <c r="BU379" s="90"/>
      <c r="BV379" s="90"/>
      <c r="BW379" s="90"/>
      <c r="BX379" s="90"/>
      <c r="BY379" s="90"/>
      <c r="BZ379" s="90"/>
    </row>
    <row r="380" spans="61:78">
      <c r="BI380" s="59"/>
      <c r="BJ380" s="59"/>
      <c r="BK380" s="59"/>
      <c r="BL380" s="59"/>
      <c r="BM380" s="59"/>
      <c r="BN380" s="59"/>
      <c r="BO380" s="59"/>
      <c r="BP380" s="144"/>
      <c r="BS380" s="90"/>
      <c r="BT380" s="90"/>
      <c r="BU380" s="90"/>
      <c r="BV380" s="90"/>
      <c r="BW380" s="90"/>
      <c r="BX380" s="90"/>
      <c r="BY380" s="90"/>
      <c r="BZ380" s="90"/>
    </row>
    <row r="381" spans="61:78">
      <c r="BI381" s="59"/>
      <c r="BJ381" s="59"/>
      <c r="BK381" s="59"/>
      <c r="BL381" s="59"/>
      <c r="BM381" s="59"/>
      <c r="BN381" s="59"/>
      <c r="BO381" s="59"/>
      <c r="BP381" s="144"/>
      <c r="BS381" s="90"/>
      <c r="BT381" s="90"/>
      <c r="BU381" s="90"/>
      <c r="BV381" s="90"/>
      <c r="BW381" s="90"/>
      <c r="BX381" s="90"/>
      <c r="BY381" s="90"/>
      <c r="BZ381" s="90"/>
    </row>
    <row r="382" spans="61:78">
      <c r="BI382" s="59"/>
      <c r="BJ382" s="59"/>
      <c r="BK382" s="59"/>
      <c r="BL382" s="59"/>
      <c r="BM382" s="59"/>
      <c r="BN382" s="59"/>
      <c r="BO382" s="59"/>
      <c r="BP382" s="144"/>
      <c r="BS382" s="90"/>
      <c r="BT382" s="90"/>
      <c r="BU382" s="90"/>
      <c r="BV382" s="90"/>
      <c r="BW382" s="90"/>
      <c r="BX382" s="90"/>
      <c r="BY382" s="90"/>
      <c r="BZ382" s="90"/>
    </row>
    <row r="383" spans="61:78">
      <c r="BI383" s="59"/>
      <c r="BJ383" s="59"/>
      <c r="BK383" s="59"/>
      <c r="BL383" s="59"/>
      <c r="BM383" s="59"/>
      <c r="BN383" s="59"/>
      <c r="BO383" s="59"/>
      <c r="BP383" s="144"/>
      <c r="BS383" s="90"/>
      <c r="BT383" s="90"/>
      <c r="BU383" s="90"/>
      <c r="BV383" s="90"/>
      <c r="BW383" s="90"/>
      <c r="BX383" s="90"/>
      <c r="BY383" s="90"/>
      <c r="BZ383" s="90"/>
    </row>
    <row r="384" spans="61:78">
      <c r="BI384" s="59"/>
      <c r="BJ384" s="59"/>
      <c r="BK384" s="59"/>
      <c r="BL384" s="59"/>
      <c r="BM384" s="59"/>
      <c r="BN384" s="59"/>
      <c r="BO384" s="59"/>
      <c r="BP384" s="144"/>
      <c r="BS384" s="90"/>
      <c r="BT384" s="90"/>
      <c r="BU384" s="90"/>
      <c r="BV384" s="90"/>
      <c r="BW384" s="90"/>
      <c r="BX384" s="90"/>
      <c r="BY384" s="90"/>
      <c r="BZ384" s="90"/>
    </row>
    <row r="385" spans="61:78">
      <c r="BI385" s="59"/>
      <c r="BJ385" s="59"/>
      <c r="BK385" s="59"/>
      <c r="BL385" s="59"/>
      <c r="BM385" s="59"/>
      <c r="BN385" s="59"/>
      <c r="BO385" s="59"/>
      <c r="BP385" s="144"/>
      <c r="BS385" s="90"/>
      <c r="BT385" s="90"/>
      <c r="BU385" s="90"/>
      <c r="BV385" s="90"/>
      <c r="BW385" s="90"/>
      <c r="BX385" s="90"/>
      <c r="BY385" s="90"/>
      <c r="BZ385" s="90"/>
    </row>
    <row r="386" spans="61:78">
      <c r="BI386" s="59"/>
      <c r="BJ386" s="59"/>
      <c r="BK386" s="59"/>
      <c r="BL386" s="59"/>
      <c r="BM386" s="59"/>
      <c r="BN386" s="59"/>
      <c r="BO386" s="59"/>
      <c r="BP386" s="144"/>
      <c r="BS386" s="90"/>
      <c r="BT386" s="90"/>
      <c r="BU386" s="90"/>
      <c r="BV386" s="90"/>
      <c r="BW386" s="90"/>
      <c r="BX386" s="90"/>
      <c r="BY386" s="90"/>
      <c r="BZ386" s="90"/>
    </row>
    <row r="387" spans="61:78">
      <c r="BI387" s="59"/>
      <c r="BJ387" s="59"/>
      <c r="BK387" s="59"/>
      <c r="BL387" s="59"/>
      <c r="BM387" s="59"/>
      <c r="BN387" s="59"/>
      <c r="BO387" s="59"/>
      <c r="BP387" s="144"/>
      <c r="BS387" s="90"/>
      <c r="BT387" s="90"/>
      <c r="BU387" s="90"/>
      <c r="BV387" s="90"/>
      <c r="BW387" s="90"/>
      <c r="BX387" s="90"/>
      <c r="BY387" s="90"/>
      <c r="BZ387" s="90"/>
    </row>
    <row r="388" spans="61:78">
      <c r="BI388" s="59"/>
      <c r="BJ388" s="59"/>
      <c r="BK388" s="59"/>
      <c r="BL388" s="59"/>
      <c r="BM388" s="59"/>
      <c r="BN388" s="59"/>
      <c r="BO388" s="59"/>
      <c r="BP388" s="144"/>
      <c r="BS388" s="90"/>
      <c r="BT388" s="90"/>
      <c r="BU388" s="90"/>
      <c r="BV388" s="90"/>
      <c r="BW388" s="90"/>
      <c r="BX388" s="90"/>
      <c r="BY388" s="90"/>
      <c r="BZ388" s="90"/>
    </row>
    <row r="389" spans="61:78">
      <c r="BI389" s="59"/>
      <c r="BJ389" s="59"/>
      <c r="BK389" s="59"/>
      <c r="BL389" s="59"/>
      <c r="BM389" s="59"/>
      <c r="BN389" s="59"/>
      <c r="BO389" s="59"/>
      <c r="BP389" s="144"/>
      <c r="BS389" s="90"/>
      <c r="BT389" s="90"/>
      <c r="BU389" s="90"/>
      <c r="BV389" s="90"/>
      <c r="BW389" s="90"/>
      <c r="BX389" s="90"/>
      <c r="BY389" s="90"/>
      <c r="BZ389" s="90"/>
    </row>
    <row r="390" spans="61:78">
      <c r="BI390" s="59"/>
      <c r="BJ390" s="59"/>
      <c r="BK390" s="59"/>
      <c r="BL390" s="59"/>
      <c r="BM390" s="59"/>
      <c r="BN390" s="59"/>
      <c r="BO390" s="59"/>
      <c r="BP390" s="144"/>
      <c r="BS390" s="90"/>
      <c r="BT390" s="90"/>
      <c r="BU390" s="90"/>
      <c r="BV390" s="90"/>
      <c r="BW390" s="90"/>
      <c r="BX390" s="90"/>
      <c r="BY390" s="90"/>
      <c r="BZ390" s="90"/>
    </row>
    <row r="391" spans="61:78">
      <c r="BI391" s="59"/>
      <c r="BJ391" s="59"/>
      <c r="BK391" s="59"/>
      <c r="BL391" s="59"/>
      <c r="BM391" s="59"/>
      <c r="BN391" s="59"/>
      <c r="BO391" s="59"/>
      <c r="BP391" s="144"/>
      <c r="BS391" s="90"/>
      <c r="BT391" s="90"/>
      <c r="BU391" s="90"/>
      <c r="BV391" s="90"/>
      <c r="BW391" s="90"/>
      <c r="BX391" s="90"/>
      <c r="BY391" s="90"/>
      <c r="BZ391" s="90"/>
    </row>
    <row r="392" spans="61:78">
      <c r="BI392" s="59"/>
      <c r="BJ392" s="59"/>
      <c r="BK392" s="59"/>
      <c r="BL392" s="59"/>
      <c r="BM392" s="59"/>
      <c r="BN392" s="59"/>
      <c r="BO392" s="59"/>
      <c r="BP392" s="144"/>
      <c r="BS392" s="90"/>
      <c r="BT392" s="90"/>
      <c r="BU392" s="90"/>
      <c r="BV392" s="90"/>
      <c r="BW392" s="90"/>
      <c r="BX392" s="90"/>
      <c r="BY392" s="90"/>
      <c r="BZ392" s="90"/>
    </row>
    <row r="393" spans="61:78">
      <c r="BI393" s="59"/>
      <c r="BJ393" s="59"/>
      <c r="BK393" s="59"/>
      <c r="BL393" s="59"/>
      <c r="BM393" s="59"/>
      <c r="BN393" s="59"/>
      <c r="BO393" s="59"/>
      <c r="BP393" s="144"/>
      <c r="BS393" s="90"/>
      <c r="BT393" s="90"/>
      <c r="BU393" s="90"/>
      <c r="BV393" s="90"/>
      <c r="BW393" s="90"/>
      <c r="BX393" s="90"/>
      <c r="BY393" s="90"/>
      <c r="BZ393" s="90"/>
    </row>
    <row r="394" spans="61:78">
      <c r="BI394" s="59"/>
      <c r="BJ394" s="59"/>
      <c r="BK394" s="59"/>
      <c r="BL394" s="59"/>
      <c r="BM394" s="59"/>
      <c r="BN394" s="59"/>
      <c r="BO394" s="59"/>
      <c r="BP394" s="144"/>
      <c r="BS394" s="90"/>
      <c r="BT394" s="90"/>
      <c r="BU394" s="90"/>
      <c r="BV394" s="90"/>
      <c r="BW394" s="90"/>
      <c r="BX394" s="90"/>
      <c r="BY394" s="90"/>
      <c r="BZ394" s="90"/>
    </row>
    <row r="395" spans="61:78">
      <c r="BI395" s="59"/>
      <c r="BJ395" s="59"/>
      <c r="BK395" s="59"/>
      <c r="BL395" s="59"/>
      <c r="BM395" s="59"/>
      <c r="BN395" s="59"/>
      <c r="BO395" s="59"/>
      <c r="BP395" s="144"/>
      <c r="BS395" s="90"/>
      <c r="BT395" s="90"/>
      <c r="BU395" s="90"/>
      <c r="BV395" s="90"/>
      <c r="BW395" s="90"/>
      <c r="BX395" s="90"/>
      <c r="BY395" s="90"/>
      <c r="BZ395" s="90"/>
    </row>
    <row r="396" spans="61:78">
      <c r="BI396" s="59"/>
      <c r="BJ396" s="59"/>
      <c r="BK396" s="59"/>
      <c r="BL396" s="59"/>
      <c r="BM396" s="59"/>
      <c r="BN396" s="59"/>
      <c r="BO396" s="59"/>
      <c r="BP396" s="144"/>
      <c r="BS396" s="90"/>
      <c r="BT396" s="90"/>
      <c r="BU396" s="90"/>
      <c r="BV396" s="90"/>
      <c r="BW396" s="90"/>
      <c r="BX396" s="90"/>
      <c r="BY396" s="90"/>
      <c r="BZ396" s="90"/>
    </row>
    <row r="397" spans="61:78">
      <c r="BI397" s="59"/>
      <c r="BJ397" s="59"/>
      <c r="BK397" s="59"/>
      <c r="BL397" s="59"/>
      <c r="BM397" s="59"/>
      <c r="BN397" s="59"/>
      <c r="BO397" s="59"/>
      <c r="BP397" s="144"/>
      <c r="BS397" s="90"/>
      <c r="BT397" s="90"/>
      <c r="BU397" s="90"/>
      <c r="BV397" s="90"/>
      <c r="BW397" s="90"/>
      <c r="BX397" s="90"/>
      <c r="BY397" s="90"/>
      <c r="BZ397" s="90"/>
    </row>
    <row r="398" spans="61:78">
      <c r="BI398" s="59"/>
      <c r="BJ398" s="59"/>
      <c r="BK398" s="59"/>
      <c r="BL398" s="59"/>
      <c r="BM398" s="59"/>
      <c r="BN398" s="59"/>
      <c r="BO398" s="59"/>
      <c r="BP398" s="144"/>
      <c r="BS398" s="90"/>
      <c r="BT398" s="90"/>
      <c r="BU398" s="90"/>
      <c r="BV398" s="90"/>
      <c r="BW398" s="90"/>
      <c r="BX398" s="90"/>
      <c r="BY398" s="90"/>
      <c r="BZ398" s="90"/>
    </row>
    <row r="399" spans="61:78">
      <c r="BI399" s="59"/>
      <c r="BJ399" s="59"/>
      <c r="BK399" s="59"/>
      <c r="BL399" s="59"/>
      <c r="BM399" s="59"/>
      <c r="BN399" s="59"/>
      <c r="BO399" s="59"/>
      <c r="BP399" s="144"/>
      <c r="BS399" s="90"/>
      <c r="BT399" s="90"/>
      <c r="BU399" s="90"/>
      <c r="BV399" s="90"/>
      <c r="BW399" s="90"/>
      <c r="BX399" s="90"/>
      <c r="BY399" s="90"/>
      <c r="BZ399" s="90"/>
    </row>
    <row r="400" spans="61:78">
      <c r="BI400" s="59"/>
      <c r="BJ400" s="59"/>
      <c r="BK400" s="59"/>
      <c r="BL400" s="59"/>
      <c r="BM400" s="59"/>
      <c r="BN400" s="59"/>
      <c r="BO400" s="59"/>
      <c r="BP400" s="144"/>
      <c r="BS400" s="90"/>
      <c r="BT400" s="90"/>
      <c r="BU400" s="90"/>
      <c r="BV400" s="90"/>
      <c r="BW400" s="90"/>
      <c r="BX400" s="90"/>
      <c r="BY400" s="90"/>
      <c r="BZ400" s="90"/>
    </row>
    <row r="401" spans="61:78">
      <c r="BI401" s="59"/>
      <c r="BJ401" s="59"/>
      <c r="BK401" s="59"/>
      <c r="BL401" s="59"/>
      <c r="BM401" s="59"/>
      <c r="BN401" s="59"/>
      <c r="BO401" s="59"/>
      <c r="BP401" s="144"/>
      <c r="BS401" s="90"/>
      <c r="BT401" s="90"/>
      <c r="BU401" s="90"/>
      <c r="BV401" s="90"/>
      <c r="BW401" s="90"/>
      <c r="BX401" s="90"/>
      <c r="BY401" s="90"/>
      <c r="BZ401" s="90"/>
    </row>
    <row r="402" spans="61:78">
      <c r="BI402" s="59"/>
      <c r="BJ402" s="59"/>
      <c r="BK402" s="59"/>
      <c r="BL402" s="59"/>
      <c r="BM402" s="59"/>
      <c r="BN402" s="59"/>
      <c r="BO402" s="59"/>
      <c r="BP402" s="144"/>
      <c r="BS402" s="90"/>
      <c r="BT402" s="90"/>
      <c r="BU402" s="90"/>
      <c r="BV402" s="90"/>
      <c r="BW402" s="90"/>
      <c r="BX402" s="90"/>
      <c r="BY402" s="90"/>
      <c r="BZ402" s="90"/>
    </row>
    <row r="403" spans="61:78">
      <c r="BI403" s="59"/>
      <c r="BJ403" s="59"/>
      <c r="BK403" s="59"/>
      <c r="BL403" s="59"/>
      <c r="BM403" s="59"/>
      <c r="BN403" s="59"/>
      <c r="BO403" s="59"/>
      <c r="BP403" s="144"/>
      <c r="BS403" s="90"/>
      <c r="BT403" s="90"/>
      <c r="BU403" s="90"/>
      <c r="BV403" s="90"/>
      <c r="BW403" s="90"/>
      <c r="BX403" s="90"/>
      <c r="BY403" s="90"/>
      <c r="BZ403" s="90"/>
    </row>
    <row r="404" spans="61:78">
      <c r="BI404" s="59"/>
      <c r="BJ404" s="59"/>
      <c r="BK404" s="59"/>
      <c r="BL404" s="59"/>
      <c r="BM404" s="59"/>
      <c r="BN404" s="59"/>
      <c r="BO404" s="59"/>
      <c r="BP404" s="144"/>
      <c r="BS404" s="90"/>
      <c r="BT404" s="90"/>
      <c r="BU404" s="90"/>
      <c r="BV404" s="90"/>
      <c r="BW404" s="90"/>
      <c r="BX404" s="90"/>
      <c r="BY404" s="90"/>
      <c r="BZ404" s="90"/>
    </row>
    <row r="405" spans="61:78">
      <c r="BI405" s="59"/>
      <c r="BJ405" s="59"/>
      <c r="BK405" s="59"/>
      <c r="BL405" s="59"/>
      <c r="BM405" s="59"/>
      <c r="BN405" s="59"/>
      <c r="BO405" s="59"/>
      <c r="BP405" s="144"/>
      <c r="BS405" s="90"/>
      <c r="BT405" s="90"/>
      <c r="BU405" s="90"/>
      <c r="BV405" s="90"/>
      <c r="BW405" s="90"/>
      <c r="BX405" s="90"/>
      <c r="BY405" s="90"/>
      <c r="BZ405" s="90"/>
    </row>
    <row r="406" spans="61:78">
      <c r="BI406" s="59"/>
      <c r="BJ406" s="59"/>
      <c r="BK406" s="59"/>
      <c r="BL406" s="59"/>
      <c r="BM406" s="59"/>
      <c r="BN406" s="59"/>
      <c r="BO406" s="59"/>
      <c r="BP406" s="144"/>
      <c r="BS406" s="90"/>
      <c r="BT406" s="90"/>
      <c r="BU406" s="90"/>
      <c r="BV406" s="90"/>
      <c r="BW406" s="90"/>
      <c r="BX406" s="90"/>
      <c r="BY406" s="90"/>
      <c r="BZ406" s="90"/>
    </row>
    <row r="407" spans="61:78">
      <c r="BI407" s="59"/>
      <c r="BJ407" s="59"/>
      <c r="BK407" s="59"/>
      <c r="BL407" s="59"/>
      <c r="BM407" s="59"/>
      <c r="BN407" s="59"/>
      <c r="BO407" s="59"/>
      <c r="BP407" s="144"/>
      <c r="BS407" s="90"/>
      <c r="BT407" s="90"/>
      <c r="BU407" s="90"/>
      <c r="BV407" s="90"/>
      <c r="BW407" s="90"/>
      <c r="BX407" s="90"/>
      <c r="BY407" s="90"/>
      <c r="BZ407" s="90"/>
    </row>
    <row r="408" spans="61:78">
      <c r="BI408" s="59"/>
      <c r="BJ408" s="59"/>
      <c r="BK408" s="59"/>
      <c r="BL408" s="59"/>
      <c r="BM408" s="59"/>
      <c r="BN408" s="59"/>
      <c r="BO408" s="59"/>
      <c r="BP408" s="144"/>
      <c r="BS408" s="90"/>
      <c r="BT408" s="90"/>
      <c r="BU408" s="90"/>
      <c r="BV408" s="90"/>
      <c r="BW408" s="90"/>
      <c r="BX408" s="90"/>
      <c r="BY408" s="90"/>
      <c r="BZ408" s="90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9"/>
  <sheetViews>
    <sheetView topLeftCell="D1" workbookViewId="0">
      <selection activeCell="V22" sqref="V22"/>
    </sheetView>
  </sheetViews>
  <sheetFormatPr defaultRowHeight="12.6"/>
  <cols>
    <col min="1" max="1" width="5.42578125" style="136" bestFit="1" customWidth="1"/>
    <col min="2" max="3" width="9.28515625" style="136"/>
    <col min="4" max="4" width="5.5703125" style="136" bestFit="1" customWidth="1"/>
    <col min="5" max="5" width="9.28515625" style="136" bestFit="1" customWidth="1"/>
    <col min="6" max="6" width="13.28515625" style="136" customWidth="1"/>
    <col min="7" max="7" width="10" style="126" bestFit="1" customWidth="1"/>
    <col min="8" max="8" width="9.7109375" style="126" customWidth="1"/>
    <col min="9" max="12" width="10.28515625" style="126" customWidth="1"/>
    <col min="13" max="18" width="9.28515625" style="126" customWidth="1"/>
    <col min="19" max="21" width="10.28515625" style="126" customWidth="1"/>
    <col min="22" max="22" width="5.42578125" style="126" bestFit="1" customWidth="1"/>
    <col min="23" max="23" width="10.7109375" style="126" customWidth="1"/>
    <col min="24" max="24" width="9.28515625" style="126"/>
    <col min="25" max="25" width="8.7109375" style="126"/>
    <col min="26" max="26" width="10.7109375" style="126" bestFit="1" customWidth="1"/>
    <col min="27" max="27" width="9.28515625" style="126" bestFit="1" customWidth="1"/>
    <col min="28" max="29" width="11.28515625" bestFit="1" customWidth="1"/>
  </cols>
  <sheetData>
    <row r="1" spans="1:29" s="148" customFormat="1" ht="39">
      <c r="A1" s="148" t="s">
        <v>514</v>
      </c>
      <c r="B1" s="148" t="s">
        <v>515</v>
      </c>
      <c r="C1" s="148" t="s">
        <v>204</v>
      </c>
      <c r="D1" s="148" t="s">
        <v>516</v>
      </c>
      <c r="E1" s="153" t="s">
        <v>517</v>
      </c>
      <c r="F1" s="153" t="s">
        <v>518</v>
      </c>
      <c r="G1" s="147" t="s">
        <v>519</v>
      </c>
      <c r="H1" s="149" t="s">
        <v>520</v>
      </c>
      <c r="I1" s="149" t="s">
        <v>521</v>
      </c>
      <c r="J1" s="149" t="s">
        <v>522</v>
      </c>
      <c r="K1" s="149" t="s">
        <v>523</v>
      </c>
      <c r="L1" s="149" t="s">
        <v>524</v>
      </c>
      <c r="M1" s="154" t="s">
        <v>287</v>
      </c>
      <c r="N1" s="154" t="s">
        <v>288</v>
      </c>
      <c r="O1" s="154" t="s">
        <v>289</v>
      </c>
      <c r="P1" s="154" t="s">
        <v>290</v>
      </c>
      <c r="Q1" s="154" t="s">
        <v>291</v>
      </c>
      <c r="R1" s="154" t="s">
        <v>292</v>
      </c>
      <c r="S1" s="155" t="s">
        <v>525</v>
      </c>
      <c r="T1" s="155" t="s">
        <v>526</v>
      </c>
      <c r="U1" s="155" t="s">
        <v>527</v>
      </c>
      <c r="V1" s="150" t="s">
        <v>528</v>
      </c>
      <c r="W1" s="149" t="s">
        <v>529</v>
      </c>
      <c r="X1" s="150" t="s">
        <v>530</v>
      </c>
      <c r="Y1" s="150" t="s">
        <v>531</v>
      </c>
      <c r="Z1" s="151" t="s">
        <v>532</v>
      </c>
      <c r="AA1" s="151" t="s">
        <v>533</v>
      </c>
      <c r="AB1" s="152" t="s">
        <v>534</v>
      </c>
      <c r="AC1" s="114" t="s">
        <v>286</v>
      </c>
    </row>
    <row r="2" spans="1:29" ht="12.95">
      <c r="A2" s="60" t="str">
        <f>IF(基本信息!B2="","",基本信息!B2)</f>
        <v>CUS1525-0002</v>
      </c>
      <c r="B2" s="60" t="str">
        <f>IF($A2="","",基本信息!A2)</f>
        <v>NNRoad-Hermetic Solutions</v>
      </c>
      <c r="C2" s="60">
        <f>IF($A2="","",基本信息!J2)</f>
        <v>1</v>
      </c>
      <c r="D2" s="40" t="str">
        <f>IF($A2="","",基本信息!C2)</f>
        <v>杨明华</v>
      </c>
      <c r="E2" s="60" t="str">
        <f>IF($A2="","",基本信息!BM2)</f>
        <v>1</v>
      </c>
      <c r="F2" s="40" t="str">
        <f>IF($A2="","",基本信息!BN2)</f>
        <v>340403197908151230</v>
      </c>
      <c r="G2" s="125">
        <f>ROUND(MAX(计算结果!AJ2,计算结果!BC2),2)</f>
        <v>39120.1</v>
      </c>
      <c r="H2" s="125"/>
      <c r="I2" s="125">
        <f>IF($A2="","",计算结果!Z2+基本信息!DU2)</f>
        <v>2200.08</v>
      </c>
      <c r="J2" s="125">
        <f>IF($A2="","",计算结果!AA2+基本信息!DV2)</f>
        <v>673.32</v>
      </c>
      <c r="K2" s="125">
        <f>IF($A2="","",计算结果!AB2+基本信息!DW2)</f>
        <v>87.32</v>
      </c>
      <c r="L2" s="125">
        <f>IF($A2="","",计算结果!AC2+计算结果!AD2+计算结果!AF2)</f>
        <v>4365.8999999999996</v>
      </c>
      <c r="M2" s="125">
        <f>IF($A2="","",计算结果!AO2)</f>
        <v>24000</v>
      </c>
      <c r="N2" s="125">
        <f>IF($A2="","",计算结果!AP2)</f>
        <v>0</v>
      </c>
      <c r="O2" s="125">
        <f>IF($A2="","",计算结果!AQ2)</f>
        <v>6000</v>
      </c>
      <c r="P2" s="125">
        <f>IF($A2="","",计算结果!AR2)</f>
        <v>0</v>
      </c>
      <c r="Q2" s="125">
        <f>IF($A2="","",计算结果!AS2)</f>
        <v>18000</v>
      </c>
      <c r="R2" s="125">
        <f>IF($A2="","",计算结果!CE2)</f>
        <v>0</v>
      </c>
      <c r="S2" s="125">
        <f>IF($A2="","",基本信息!BF2)</f>
        <v>0</v>
      </c>
      <c r="T2" s="125"/>
      <c r="U2" s="125">
        <f>IF($A2="","",基本信息!CU2)</f>
        <v>0</v>
      </c>
      <c r="V2" s="125"/>
      <c r="W2" s="126">
        <f>IF($A2="","",基本信息!CV2)</f>
        <v>0</v>
      </c>
      <c r="Z2" s="125">
        <f>IF($A2="","",计算结果!BD2)</f>
        <v>9284.8858556700998</v>
      </c>
      <c r="AA2" s="125">
        <f>(IF($A2="","",计算结果!BE2+计算结果!AX2))</f>
        <v>1879.35</v>
      </c>
      <c r="AB2" s="50">
        <f>IF($A2="","",计算结果!BN2)</f>
        <v>0</v>
      </c>
      <c r="AC2" s="113" t="str">
        <f>VLOOKUP($A$2:$A$29,基本信息!$B$2:$CN$1048576,91,0)</f>
        <v>深圳人服</v>
      </c>
    </row>
    <row r="3" spans="1:29" ht="12.95">
      <c r="A3" s="60" t="str">
        <f>IF(基本信息!B3="","",基本信息!B3)</f>
        <v/>
      </c>
      <c r="B3" s="60" t="str">
        <f>IF($A3="","",基本信息!A3)</f>
        <v/>
      </c>
      <c r="C3" s="60" t="str">
        <f>IF($A3="","",基本信息!J3)</f>
        <v/>
      </c>
      <c r="D3" s="40" t="str">
        <f>IF($A3="","",基本信息!C3)</f>
        <v/>
      </c>
      <c r="E3" s="60" t="str">
        <f>IF($A3="","",基本信息!BM3)</f>
        <v/>
      </c>
      <c r="F3" s="40" t="str">
        <f>IF($A3="","",基本信息!BN3)</f>
        <v/>
      </c>
      <c r="G3" s="125" t="e">
        <f>ROUND(MAX(计算结果!AJ3,计算结果!BC3),2)</f>
        <v>#N/A</v>
      </c>
      <c r="H3" s="125"/>
      <c r="I3" s="125" t="str">
        <f>IF($A3="","",计算结果!Z3+基本信息!DU3)</f>
        <v/>
      </c>
      <c r="J3" s="125" t="str">
        <f>IF($A3="","",计算结果!AA3+基本信息!DV3)</f>
        <v/>
      </c>
      <c r="K3" s="125" t="str">
        <f>IF($A3="","",计算结果!AB3+基本信息!DW3)</f>
        <v/>
      </c>
      <c r="L3" s="125" t="str">
        <f>IF($A3="","",计算结果!AC3+计算结果!AD3+计算结果!AF3)</f>
        <v/>
      </c>
      <c r="M3" s="125" t="str">
        <f>IF($A3="","",计算结果!AO3)</f>
        <v/>
      </c>
      <c r="N3" s="125" t="str">
        <f>IF($A3="","",计算结果!AP3)</f>
        <v/>
      </c>
      <c r="O3" s="125" t="str">
        <f>IF($A3="","",计算结果!AQ3)</f>
        <v/>
      </c>
      <c r="P3" s="125" t="str">
        <f>IF($A3="","",计算结果!AR3)</f>
        <v/>
      </c>
      <c r="Q3" s="125" t="str">
        <f>IF($A3="","",计算结果!AS3)</f>
        <v/>
      </c>
      <c r="R3" s="125" t="str">
        <f>IF($A3="","",计算结果!CE3)</f>
        <v/>
      </c>
      <c r="S3" s="125" t="str">
        <f>IF($A3="","",基本信息!BF3)</f>
        <v/>
      </c>
      <c r="T3" s="125"/>
      <c r="U3" s="125" t="str">
        <f>IF($A3="","",基本信息!CU3)</f>
        <v/>
      </c>
      <c r="V3" s="125"/>
      <c r="W3" s="126" t="str">
        <f>IF($A3="","",基本信息!CV3)</f>
        <v/>
      </c>
      <c r="Z3" s="125" t="str">
        <f>IF($A3="","",计算结果!BD3)</f>
        <v/>
      </c>
      <c r="AA3" s="125" t="str">
        <f>(IF($A3="","",计算结果!BE3+计算结果!AX3))</f>
        <v/>
      </c>
      <c r="AB3" s="50" t="str">
        <f>IF($A3="","",计算结果!BN3)</f>
        <v/>
      </c>
      <c r="AC3" s="113" t="e">
        <f>VLOOKUP($A$2:$A$29,基本信息!$B$2:$CN$1048576,91,0)</f>
        <v>#N/A</v>
      </c>
    </row>
    <row r="4" spans="1:29" ht="12.95">
      <c r="A4" s="60" t="str">
        <f>IF(基本信息!B4="","",基本信息!B4)</f>
        <v/>
      </c>
      <c r="B4" s="60" t="str">
        <f>IF($A4="","",基本信息!A4)</f>
        <v/>
      </c>
      <c r="C4" s="60" t="str">
        <f>IF($A4="","",基本信息!J4)</f>
        <v/>
      </c>
      <c r="D4" s="40" t="str">
        <f>IF($A4="","",基本信息!C4)</f>
        <v/>
      </c>
      <c r="E4" s="60" t="str">
        <f>IF($A4="","",基本信息!BM4)</f>
        <v/>
      </c>
      <c r="F4" s="40" t="str">
        <f>IF($A4="","",基本信息!BN4)</f>
        <v/>
      </c>
      <c r="G4" s="125" t="e">
        <f>ROUND(MAX(计算结果!AJ4,计算结果!BC4),2)</f>
        <v>#N/A</v>
      </c>
      <c r="H4" s="125"/>
      <c r="I4" s="125" t="str">
        <f>IF($A4="","",计算结果!Z4+基本信息!DU4)</f>
        <v/>
      </c>
      <c r="J4" s="125" t="str">
        <f>IF($A4="","",计算结果!AA4+基本信息!DV4)</f>
        <v/>
      </c>
      <c r="K4" s="125" t="str">
        <f>IF($A4="","",计算结果!AB4+基本信息!DW4)</f>
        <v/>
      </c>
      <c r="L4" s="125" t="str">
        <f>IF($A4="","",计算结果!AC4+计算结果!AD4+计算结果!AF4)</f>
        <v/>
      </c>
      <c r="M4" s="125" t="str">
        <f>IF($A4="","",计算结果!AO4)</f>
        <v/>
      </c>
      <c r="N4" s="125" t="str">
        <f>IF($A4="","",计算结果!AP4)</f>
        <v/>
      </c>
      <c r="O4" s="125" t="str">
        <f>IF($A4="","",计算结果!AQ4)</f>
        <v/>
      </c>
      <c r="P4" s="125" t="str">
        <f>IF($A4="","",计算结果!AR4)</f>
        <v/>
      </c>
      <c r="Q4" s="125" t="str">
        <f>IF($A4="","",计算结果!AS4)</f>
        <v/>
      </c>
      <c r="R4" s="125" t="str">
        <f>IF($A4="","",计算结果!CE4)</f>
        <v/>
      </c>
      <c r="S4" s="125" t="str">
        <f>IF($A4="","",基本信息!BF4)</f>
        <v/>
      </c>
      <c r="T4" s="125"/>
      <c r="U4" s="125" t="str">
        <f>IF($A4="","",基本信息!CU4)</f>
        <v/>
      </c>
      <c r="V4" s="125"/>
      <c r="W4" s="126" t="str">
        <f>IF($A4="","",基本信息!CV4)</f>
        <v/>
      </c>
      <c r="Z4" s="125" t="str">
        <f>IF($A4="","",计算结果!BD4)</f>
        <v/>
      </c>
      <c r="AA4" s="125" t="str">
        <f>(IF($A4="","",计算结果!BE4+计算结果!AX4))</f>
        <v/>
      </c>
      <c r="AB4" s="50" t="str">
        <f>IF($A4="","",计算结果!BN4)</f>
        <v/>
      </c>
      <c r="AC4" s="113" t="e">
        <f>VLOOKUP($A$2:$A$29,基本信息!$B$2:$CN$1048576,91,0)</f>
        <v>#N/A</v>
      </c>
    </row>
    <row r="5" spans="1:29" ht="12.95">
      <c r="A5" s="60" t="str">
        <f>IF(基本信息!B5="","",基本信息!B5)</f>
        <v/>
      </c>
      <c r="B5" s="60" t="str">
        <f>IF($A5="","",基本信息!A5)</f>
        <v/>
      </c>
      <c r="C5" s="60" t="str">
        <f>IF($A5="","",基本信息!J5)</f>
        <v/>
      </c>
      <c r="D5" s="40" t="str">
        <f>IF($A5="","",基本信息!C5)</f>
        <v/>
      </c>
      <c r="E5" s="60" t="str">
        <f>IF($A5="","",基本信息!BM5)</f>
        <v/>
      </c>
      <c r="F5" s="40" t="str">
        <f>IF($A5="","",基本信息!BN5)</f>
        <v/>
      </c>
      <c r="G5" s="125" t="e">
        <f>ROUND(MAX(计算结果!AJ5,计算结果!BC5),2)</f>
        <v>#N/A</v>
      </c>
      <c r="H5" s="125"/>
      <c r="I5" s="125" t="str">
        <f>IF($A5="","",计算结果!Z5+基本信息!DU5)</f>
        <v/>
      </c>
      <c r="J5" s="125" t="str">
        <f>IF($A5="","",计算结果!AA5+基本信息!DV5)</f>
        <v/>
      </c>
      <c r="K5" s="125" t="str">
        <f>IF($A5="","",计算结果!AB5+基本信息!DW5)</f>
        <v/>
      </c>
      <c r="L5" s="125" t="str">
        <f>IF($A5="","",计算结果!AC5+计算结果!AD5+计算结果!AF5)</f>
        <v/>
      </c>
      <c r="M5" s="125" t="str">
        <f>IF($A5="","",计算结果!AO5)</f>
        <v/>
      </c>
      <c r="N5" s="125" t="str">
        <f>IF($A5="","",计算结果!AP5)</f>
        <v/>
      </c>
      <c r="O5" s="125" t="str">
        <f>IF($A5="","",计算结果!AQ5)</f>
        <v/>
      </c>
      <c r="P5" s="125" t="str">
        <f>IF($A5="","",计算结果!AR5)</f>
        <v/>
      </c>
      <c r="Q5" s="125" t="str">
        <f>IF($A5="","",计算结果!AS5)</f>
        <v/>
      </c>
      <c r="R5" s="125" t="str">
        <f>IF($A5="","",计算结果!CE5)</f>
        <v/>
      </c>
      <c r="S5" s="125" t="str">
        <f>IF($A5="","",基本信息!BF5)</f>
        <v/>
      </c>
      <c r="T5" s="125"/>
      <c r="U5" s="125" t="str">
        <f>IF($A5="","",基本信息!CU5)</f>
        <v/>
      </c>
      <c r="V5" s="125"/>
      <c r="W5" s="126" t="str">
        <f>IF($A5="","",基本信息!CV5)</f>
        <v/>
      </c>
      <c r="Z5" s="125" t="str">
        <f>IF($A5="","",计算结果!BD5)</f>
        <v/>
      </c>
      <c r="AA5" s="125" t="str">
        <f>(IF($A5="","",计算结果!BE5+计算结果!AX5))</f>
        <v/>
      </c>
      <c r="AB5" s="50" t="str">
        <f>IF($A5="","",计算结果!BN5)</f>
        <v/>
      </c>
      <c r="AC5" s="113" t="e">
        <f>VLOOKUP($A$2:$A$29,基本信息!$B$2:$CN$1048576,91,0)</f>
        <v>#N/A</v>
      </c>
    </row>
    <row r="6" spans="1:29" ht="12.95">
      <c r="A6" s="60" t="str">
        <f>IF(基本信息!B6="","",基本信息!B6)</f>
        <v/>
      </c>
      <c r="B6" s="60" t="str">
        <f>IF($A6="","",基本信息!A6)</f>
        <v/>
      </c>
      <c r="C6" s="60" t="str">
        <f>IF($A6="","",基本信息!J6)</f>
        <v/>
      </c>
      <c r="D6" s="40" t="str">
        <f>IF($A6="","",基本信息!C6)</f>
        <v/>
      </c>
      <c r="E6" s="60" t="str">
        <f>IF($A6="","",基本信息!BM6)</f>
        <v/>
      </c>
      <c r="F6" s="40" t="str">
        <f>IF($A6="","",基本信息!BN6)</f>
        <v/>
      </c>
      <c r="G6" s="125" t="e">
        <f>ROUND(MAX(计算结果!AJ6,计算结果!BC6),2)</f>
        <v>#N/A</v>
      </c>
      <c r="H6" s="125"/>
      <c r="I6" s="125" t="str">
        <f>IF($A6="","",计算结果!Z6+基本信息!DU6)</f>
        <v/>
      </c>
      <c r="J6" s="125" t="str">
        <f>IF($A6="","",计算结果!AA6+基本信息!DV6)</f>
        <v/>
      </c>
      <c r="K6" s="125" t="str">
        <f>IF($A6="","",计算结果!AB6+基本信息!DW6)</f>
        <v/>
      </c>
      <c r="L6" s="125" t="str">
        <f>IF($A6="","",计算结果!AC6+计算结果!AD6+计算结果!AF6)</f>
        <v/>
      </c>
      <c r="M6" s="125" t="str">
        <f>IF($A6="","",计算结果!AO6)</f>
        <v/>
      </c>
      <c r="N6" s="125" t="str">
        <f>IF($A6="","",计算结果!AP6)</f>
        <v/>
      </c>
      <c r="O6" s="125" t="str">
        <f>IF($A6="","",计算结果!AQ6)</f>
        <v/>
      </c>
      <c r="P6" s="125" t="str">
        <f>IF($A6="","",计算结果!AR6)</f>
        <v/>
      </c>
      <c r="Q6" s="125" t="str">
        <f>IF($A6="","",计算结果!AS6)</f>
        <v/>
      </c>
      <c r="R6" s="125" t="str">
        <f>IF($A6="","",计算结果!CE6)</f>
        <v/>
      </c>
      <c r="S6" s="125" t="str">
        <f>IF($A6="","",基本信息!BF6)</f>
        <v/>
      </c>
      <c r="T6" s="125"/>
      <c r="U6" s="125" t="str">
        <f>IF($A6="","",基本信息!CU6)</f>
        <v/>
      </c>
      <c r="V6" s="125"/>
      <c r="W6" s="126" t="str">
        <f>IF($A6="","",基本信息!CV6)</f>
        <v/>
      </c>
      <c r="Z6" s="125" t="str">
        <f>IF($A6="","",计算结果!BD6)</f>
        <v/>
      </c>
      <c r="AA6" s="125" t="str">
        <f>(IF($A6="","",计算结果!BE6+计算结果!AX6))</f>
        <v/>
      </c>
      <c r="AB6" s="50" t="str">
        <f>IF($A6="","",计算结果!BN6)</f>
        <v/>
      </c>
      <c r="AC6" s="113" t="e">
        <f>VLOOKUP($A$2:$A$29,基本信息!$B$2:$CN$1048576,91,0)</f>
        <v>#N/A</v>
      </c>
    </row>
    <row r="7" spans="1:29" ht="12.95">
      <c r="A7" s="60" t="str">
        <f>IF(基本信息!B7="","",基本信息!B7)</f>
        <v/>
      </c>
      <c r="B7" s="60" t="str">
        <f>IF($A7="","",基本信息!A7)</f>
        <v/>
      </c>
      <c r="C7" s="60" t="str">
        <f>IF($A7="","",基本信息!J7)</f>
        <v/>
      </c>
      <c r="D7" s="40" t="str">
        <f>IF($A7="","",基本信息!C7)</f>
        <v/>
      </c>
      <c r="E7" s="60" t="str">
        <f>IF($A7="","",基本信息!BM7)</f>
        <v/>
      </c>
      <c r="F7" s="40" t="str">
        <f>IF($A7="","",基本信息!BN7)</f>
        <v/>
      </c>
      <c r="G7" s="125" t="e">
        <f>ROUND(MAX(计算结果!AJ7,计算结果!BC7),2)</f>
        <v>#N/A</v>
      </c>
      <c r="H7" s="125"/>
      <c r="I7" s="125" t="str">
        <f>IF($A7="","",计算结果!Z7+基本信息!DU7)</f>
        <v/>
      </c>
      <c r="J7" s="125" t="str">
        <f>IF($A7="","",计算结果!AA7+基本信息!DV7)</f>
        <v/>
      </c>
      <c r="K7" s="125" t="str">
        <f>IF($A7="","",计算结果!AB7+基本信息!DW7)</f>
        <v/>
      </c>
      <c r="L7" s="125" t="str">
        <f>IF($A7="","",计算结果!AC7+计算结果!AD7+计算结果!AF7)</f>
        <v/>
      </c>
      <c r="M7" s="125" t="str">
        <f>IF($A7="","",计算结果!AO7)</f>
        <v/>
      </c>
      <c r="N7" s="125" t="str">
        <f>IF($A7="","",计算结果!AP7)</f>
        <v/>
      </c>
      <c r="O7" s="125" t="str">
        <f>IF($A7="","",计算结果!AQ7)</f>
        <v/>
      </c>
      <c r="P7" s="125" t="str">
        <f>IF($A7="","",计算结果!AR7)</f>
        <v/>
      </c>
      <c r="Q7" s="125" t="str">
        <f>IF($A7="","",计算结果!AS7)</f>
        <v/>
      </c>
      <c r="R7" s="125" t="str">
        <f>IF($A7="","",计算结果!CE7)</f>
        <v/>
      </c>
      <c r="S7" s="125" t="str">
        <f>IF($A7="","",基本信息!BF7)</f>
        <v/>
      </c>
      <c r="T7" s="125"/>
      <c r="U7" s="125" t="str">
        <f>IF($A7="","",基本信息!CU7)</f>
        <v/>
      </c>
      <c r="V7" s="125"/>
      <c r="W7" s="126" t="str">
        <f>IF($A7="","",基本信息!CV7)</f>
        <v/>
      </c>
      <c r="Z7" s="125" t="str">
        <f>IF($A7="","",计算结果!BD7)</f>
        <v/>
      </c>
      <c r="AA7" s="125" t="str">
        <f>(IF($A7="","",计算结果!BE7+计算结果!AX7))</f>
        <v/>
      </c>
      <c r="AB7" s="50" t="str">
        <f>IF($A7="","",计算结果!BN7)</f>
        <v/>
      </c>
      <c r="AC7" s="113" t="e">
        <f>VLOOKUP($A$2:$A$29,基本信息!$B$2:$CN$1048576,91,0)</f>
        <v>#N/A</v>
      </c>
    </row>
    <row r="8" spans="1:29" ht="12.95">
      <c r="A8" s="60" t="str">
        <f>IF(基本信息!B8="","",基本信息!B8)</f>
        <v/>
      </c>
      <c r="B8" s="60" t="str">
        <f>IF($A8="","",基本信息!A8)</f>
        <v/>
      </c>
      <c r="C8" s="60" t="str">
        <f>IF($A8="","",基本信息!J8)</f>
        <v/>
      </c>
      <c r="D8" s="40" t="str">
        <f>IF($A8="","",基本信息!C8)</f>
        <v/>
      </c>
      <c r="E8" s="60" t="str">
        <f>IF($A8="","",基本信息!BM8)</f>
        <v/>
      </c>
      <c r="F8" s="40" t="str">
        <f>IF($A8="","",基本信息!BN8)</f>
        <v/>
      </c>
      <c r="G8" s="125" t="e">
        <f>ROUND(MAX(计算结果!AJ8,计算结果!BC8),2)</f>
        <v>#N/A</v>
      </c>
      <c r="H8" s="125"/>
      <c r="I8" s="125" t="str">
        <f>IF($A8="","",计算结果!Z8+基本信息!DU8)</f>
        <v/>
      </c>
      <c r="J8" s="125" t="str">
        <f>IF($A8="","",计算结果!AA8+基本信息!DV8)</f>
        <v/>
      </c>
      <c r="K8" s="125" t="str">
        <f>IF($A8="","",计算结果!AB8+基本信息!DW8)</f>
        <v/>
      </c>
      <c r="L8" s="125" t="str">
        <f>IF($A8="","",计算结果!AC8+计算结果!AD8+计算结果!AF8)</f>
        <v/>
      </c>
      <c r="M8" s="125" t="str">
        <f>IF($A8="","",计算结果!AO8)</f>
        <v/>
      </c>
      <c r="N8" s="125" t="str">
        <f>IF($A8="","",计算结果!AP8)</f>
        <v/>
      </c>
      <c r="O8" s="125" t="str">
        <f>IF($A8="","",计算结果!AQ8)</f>
        <v/>
      </c>
      <c r="P8" s="125" t="str">
        <f>IF($A8="","",计算结果!AR8)</f>
        <v/>
      </c>
      <c r="Q8" s="125" t="str">
        <f>IF($A8="","",计算结果!AS8)</f>
        <v/>
      </c>
      <c r="R8" s="125" t="str">
        <f>IF($A8="","",计算结果!CE8)</f>
        <v/>
      </c>
      <c r="S8" s="125" t="str">
        <f>IF($A8="","",基本信息!BF8)</f>
        <v/>
      </c>
      <c r="T8" s="125"/>
      <c r="U8" s="125" t="str">
        <f>IF($A8="","",基本信息!CU8)</f>
        <v/>
      </c>
      <c r="V8" s="125"/>
      <c r="W8" s="126" t="str">
        <f>IF($A8="","",基本信息!CV8)</f>
        <v/>
      </c>
      <c r="Z8" s="125" t="str">
        <f>IF($A8="","",计算结果!BD8)</f>
        <v/>
      </c>
      <c r="AA8" s="125" t="str">
        <f>(IF($A8="","",计算结果!BE8+计算结果!AX8))</f>
        <v/>
      </c>
      <c r="AB8" s="50" t="str">
        <f>IF($A8="","",计算结果!BN8)</f>
        <v/>
      </c>
      <c r="AC8" s="113" t="e">
        <f>VLOOKUP($A$2:$A$29,基本信息!$B$2:$CN$1048576,91,0)</f>
        <v>#N/A</v>
      </c>
    </row>
    <row r="9" spans="1:29" ht="12.95">
      <c r="A9" s="60" t="str">
        <f>IF(基本信息!B9="","",基本信息!B9)</f>
        <v/>
      </c>
      <c r="B9" s="60" t="str">
        <f>IF($A9="","",基本信息!A9)</f>
        <v/>
      </c>
      <c r="C9" s="60" t="str">
        <f>IF($A9="","",基本信息!J9)</f>
        <v/>
      </c>
      <c r="D9" s="40" t="str">
        <f>IF($A9="","",基本信息!C9)</f>
        <v/>
      </c>
      <c r="E9" s="60" t="str">
        <f>IF($A9="","",基本信息!BM9)</f>
        <v/>
      </c>
      <c r="F9" s="40" t="str">
        <f>IF($A9="","",基本信息!BN9)</f>
        <v/>
      </c>
      <c r="G9" s="125" t="e">
        <f>ROUND(MAX(计算结果!AJ9,计算结果!BC9),2)</f>
        <v>#N/A</v>
      </c>
      <c r="H9" s="125"/>
      <c r="I9" s="125" t="str">
        <f>IF($A9="","",计算结果!Z9+基本信息!DU9)</f>
        <v/>
      </c>
      <c r="J9" s="125" t="str">
        <f>IF($A9="","",计算结果!AA9+基本信息!DV9)</f>
        <v/>
      </c>
      <c r="K9" s="125" t="str">
        <f>IF($A9="","",计算结果!AB9+基本信息!DW9)</f>
        <v/>
      </c>
      <c r="L9" s="125" t="str">
        <f>IF($A9="","",计算结果!AC9+计算结果!AD9+计算结果!AF9)</f>
        <v/>
      </c>
      <c r="M9" s="125" t="str">
        <f>IF($A9="","",计算结果!AO9)</f>
        <v/>
      </c>
      <c r="N9" s="125" t="str">
        <f>IF($A9="","",计算结果!AP9)</f>
        <v/>
      </c>
      <c r="O9" s="125" t="str">
        <f>IF($A9="","",计算结果!AQ9)</f>
        <v/>
      </c>
      <c r="P9" s="125" t="str">
        <f>IF($A9="","",计算结果!AR9)</f>
        <v/>
      </c>
      <c r="Q9" s="125" t="str">
        <f>IF($A9="","",计算结果!AS9)</f>
        <v/>
      </c>
      <c r="R9" s="125" t="str">
        <f>IF($A9="","",计算结果!CE9)</f>
        <v/>
      </c>
      <c r="S9" s="125" t="str">
        <f>IF($A9="","",基本信息!BF9)</f>
        <v/>
      </c>
      <c r="T9" s="125"/>
      <c r="U9" s="125" t="str">
        <f>IF($A9="","",基本信息!CU9)</f>
        <v/>
      </c>
      <c r="V9" s="125"/>
      <c r="W9" s="126" t="str">
        <f>IF($A9="","",基本信息!CV9)</f>
        <v/>
      </c>
      <c r="Z9" s="125" t="str">
        <f>IF($A9="","",计算结果!BD9)</f>
        <v/>
      </c>
      <c r="AA9" s="125" t="str">
        <f>(IF($A9="","",计算结果!BE9+计算结果!AX9))</f>
        <v/>
      </c>
      <c r="AB9" s="50" t="str">
        <f>IF($A9="","",计算结果!BN9)</f>
        <v/>
      </c>
      <c r="AC9" s="113" t="e">
        <f>VLOOKUP($A$2:$A$29,基本信息!$B$2:$CN$1048576,91,0)</f>
        <v>#N/A</v>
      </c>
    </row>
    <row r="10" spans="1:29" ht="12.95">
      <c r="A10" s="60" t="str">
        <f>IF(基本信息!B10="","",基本信息!B10)</f>
        <v/>
      </c>
      <c r="B10" s="60" t="str">
        <f>IF($A10="","",基本信息!A10)</f>
        <v/>
      </c>
      <c r="C10" s="60" t="str">
        <f>IF($A10="","",基本信息!J10)</f>
        <v/>
      </c>
      <c r="D10" s="40" t="str">
        <f>IF($A10="","",基本信息!C10)</f>
        <v/>
      </c>
      <c r="E10" s="60" t="str">
        <f>IF($A10="","",基本信息!BM10)</f>
        <v/>
      </c>
      <c r="F10" s="40" t="str">
        <f>IF($A10="","",基本信息!BN10)</f>
        <v/>
      </c>
      <c r="G10" s="125">
        <f>ROUND(MAX(计算结果!AJ10,计算结果!BC10),2)</f>
        <v>0</v>
      </c>
      <c r="H10" s="125"/>
      <c r="I10" s="125" t="str">
        <f>IF($A10="","",计算结果!Z10+基本信息!DU10)</f>
        <v/>
      </c>
      <c r="J10" s="125" t="str">
        <f>IF($A10="","",计算结果!AA10+基本信息!DV10)</f>
        <v/>
      </c>
      <c r="K10" s="125" t="str">
        <f>IF($A10="","",计算结果!AB10+基本信息!DW10)</f>
        <v/>
      </c>
      <c r="L10" s="125" t="str">
        <f>IF($A10="","",计算结果!AC10+计算结果!AD10+计算结果!AF10)</f>
        <v/>
      </c>
      <c r="M10" s="125" t="str">
        <f>IF($A10="","",计算结果!AO10)</f>
        <v/>
      </c>
      <c r="N10" s="125" t="str">
        <f>IF($A10="","",计算结果!AP10)</f>
        <v/>
      </c>
      <c r="O10" s="125" t="str">
        <f>IF($A10="","",计算结果!AQ10)</f>
        <v/>
      </c>
      <c r="P10" s="125" t="str">
        <f>IF($A10="","",计算结果!AR10)</f>
        <v/>
      </c>
      <c r="Q10" s="125" t="str">
        <f>IF($A10="","",计算结果!AS10)</f>
        <v/>
      </c>
      <c r="R10" s="125" t="str">
        <f>IF($A10="","",计算结果!CE10)</f>
        <v/>
      </c>
      <c r="S10" s="125" t="str">
        <f>IF($A10="","",基本信息!BF10)</f>
        <v/>
      </c>
      <c r="T10" s="125"/>
      <c r="U10" s="125" t="str">
        <f>IF($A10="","",基本信息!CU10)</f>
        <v/>
      </c>
      <c r="V10" s="125"/>
      <c r="W10" s="126" t="str">
        <f>IF($A10="","",基本信息!CV10)</f>
        <v/>
      </c>
      <c r="Z10" s="125" t="str">
        <f>IF($A10="","",计算结果!BD10)</f>
        <v/>
      </c>
      <c r="AA10" s="125" t="str">
        <f>(IF($A10="","",计算结果!BE10+计算结果!AX10))</f>
        <v/>
      </c>
      <c r="AB10" s="50" t="str">
        <f>IF($A10="","",计算结果!BN10)</f>
        <v/>
      </c>
      <c r="AC10" s="113" t="e">
        <f>VLOOKUP($A$2:$A$29,基本信息!$B$2:$CN$1048576,91,0)</f>
        <v>#N/A</v>
      </c>
    </row>
    <row r="11" spans="1:29" ht="12.95">
      <c r="A11" s="60" t="str">
        <f>IF(基本信息!B11="","",基本信息!B11)</f>
        <v/>
      </c>
      <c r="B11" s="60" t="str">
        <f>IF($A11="","",基本信息!A11)</f>
        <v/>
      </c>
      <c r="C11" s="60" t="str">
        <f>IF($A11="","",基本信息!J11)</f>
        <v/>
      </c>
      <c r="D11" s="40" t="str">
        <f>IF($A11="","",基本信息!C11)</f>
        <v/>
      </c>
      <c r="E11" s="60" t="str">
        <f>IF($A11="","",基本信息!BM11)</f>
        <v/>
      </c>
      <c r="F11" s="40" t="str">
        <f>IF($A11="","",基本信息!BN11)</f>
        <v/>
      </c>
      <c r="G11" s="125">
        <f>ROUND(MAX(计算结果!AJ11,计算结果!BC11),2)</f>
        <v>0</v>
      </c>
      <c r="H11" s="125"/>
      <c r="I11" s="125" t="str">
        <f>IF($A11="","",计算结果!Z11+基本信息!DU11)</f>
        <v/>
      </c>
      <c r="J11" s="125" t="str">
        <f>IF($A11="","",计算结果!AA11+基本信息!DV11)</f>
        <v/>
      </c>
      <c r="K11" s="125" t="str">
        <f>IF($A11="","",计算结果!AB11+基本信息!DW11)</f>
        <v/>
      </c>
      <c r="L11" s="125" t="str">
        <f>IF($A11="","",计算结果!AC11+计算结果!AD11+计算结果!AF11)</f>
        <v/>
      </c>
      <c r="M11" s="125" t="str">
        <f>IF($A11="","",计算结果!AO11)</f>
        <v/>
      </c>
      <c r="N11" s="125" t="str">
        <f>IF($A11="","",计算结果!AP11)</f>
        <v/>
      </c>
      <c r="O11" s="125" t="str">
        <f>IF($A11="","",计算结果!AQ11)</f>
        <v/>
      </c>
      <c r="P11" s="125" t="str">
        <f>IF($A11="","",计算结果!AR11)</f>
        <v/>
      </c>
      <c r="Q11" s="125" t="str">
        <f>IF($A11="","",计算结果!AS11)</f>
        <v/>
      </c>
      <c r="R11" s="125" t="str">
        <f>IF($A11="","",计算结果!CE11)</f>
        <v/>
      </c>
      <c r="S11" s="125" t="str">
        <f>IF($A11="","",基本信息!BF11)</f>
        <v/>
      </c>
      <c r="T11" s="125"/>
      <c r="U11" s="125" t="str">
        <f>IF($A11="","",基本信息!CU11)</f>
        <v/>
      </c>
      <c r="V11" s="125"/>
      <c r="W11" s="126" t="str">
        <f>IF($A11="","",基本信息!CV11)</f>
        <v/>
      </c>
      <c r="Z11" s="125" t="str">
        <f>IF($A11="","",计算结果!BD11)</f>
        <v/>
      </c>
      <c r="AA11" s="125" t="str">
        <f>(IF($A11="","",计算结果!BE11+计算结果!AX11))</f>
        <v/>
      </c>
      <c r="AB11" s="50" t="str">
        <f>IF($A11="","",计算结果!BN11)</f>
        <v/>
      </c>
      <c r="AC11" s="113" t="e">
        <f>VLOOKUP($A$2:$A$29,基本信息!$B$2:$CN$1048576,91,0)</f>
        <v>#N/A</v>
      </c>
    </row>
    <row r="12" spans="1:29" ht="12.95">
      <c r="A12" s="60" t="str">
        <f>IF(基本信息!B12="","",基本信息!B12)</f>
        <v/>
      </c>
      <c r="B12" s="60" t="str">
        <f>IF($A12="","",基本信息!A12)</f>
        <v/>
      </c>
      <c r="C12" s="60" t="str">
        <f>IF($A12="","",基本信息!J12)</f>
        <v/>
      </c>
      <c r="D12" s="40" t="str">
        <f>IF($A12="","",基本信息!C12)</f>
        <v/>
      </c>
      <c r="E12" s="60" t="str">
        <f>IF($A12="","",基本信息!BM12)</f>
        <v/>
      </c>
      <c r="F12" s="40" t="str">
        <f>IF($A12="","",基本信息!BN12)</f>
        <v/>
      </c>
      <c r="G12" s="125">
        <f>ROUND(MAX(计算结果!AJ12,计算结果!BC12),2)</f>
        <v>0</v>
      </c>
      <c r="H12" s="125"/>
      <c r="I12" s="125" t="str">
        <f>IF($A12="","",计算结果!Z12+基本信息!DU12)</f>
        <v/>
      </c>
      <c r="J12" s="125" t="str">
        <f>IF($A12="","",计算结果!AA12+基本信息!DV12)</f>
        <v/>
      </c>
      <c r="K12" s="125" t="str">
        <f>IF($A12="","",计算结果!AB12+基本信息!DW12)</f>
        <v/>
      </c>
      <c r="L12" s="125" t="str">
        <f>IF($A12="","",计算结果!AC12+计算结果!AD12+计算结果!AF12)</f>
        <v/>
      </c>
      <c r="M12" s="125" t="str">
        <f>IF($A12="","",计算结果!AO12)</f>
        <v/>
      </c>
      <c r="N12" s="125" t="str">
        <f>IF($A12="","",计算结果!AP12)</f>
        <v/>
      </c>
      <c r="O12" s="125" t="str">
        <f>IF($A12="","",计算结果!AQ12)</f>
        <v/>
      </c>
      <c r="P12" s="125" t="str">
        <f>IF($A12="","",计算结果!AR12)</f>
        <v/>
      </c>
      <c r="Q12" s="125" t="str">
        <f>IF($A12="","",计算结果!AS12)</f>
        <v/>
      </c>
      <c r="R12" s="125" t="str">
        <f>IF($A12="","",计算结果!CE12)</f>
        <v/>
      </c>
      <c r="S12" s="125" t="str">
        <f>IF($A12="","",基本信息!BF12)</f>
        <v/>
      </c>
      <c r="T12" s="125"/>
      <c r="U12" s="125" t="str">
        <f>IF($A12="","",基本信息!CU12)</f>
        <v/>
      </c>
      <c r="V12" s="125"/>
      <c r="W12" s="126" t="str">
        <f>IF($A12="","",基本信息!CV12)</f>
        <v/>
      </c>
      <c r="Z12" s="125" t="str">
        <f>IF($A12="","",计算结果!BD12)</f>
        <v/>
      </c>
      <c r="AA12" s="125" t="str">
        <f>(IF($A12="","",计算结果!BE12+计算结果!AX12))</f>
        <v/>
      </c>
      <c r="AB12" s="50" t="str">
        <f>IF($A12="","",计算结果!BN12)</f>
        <v/>
      </c>
      <c r="AC12" s="113" t="e">
        <f>VLOOKUP($A$2:$A$29,基本信息!$B$2:$CN$1048576,91,0)</f>
        <v>#N/A</v>
      </c>
    </row>
    <row r="13" spans="1:29" ht="12.95">
      <c r="A13" s="60" t="str">
        <f>IF(基本信息!B13="","",基本信息!B13)</f>
        <v/>
      </c>
      <c r="B13" s="60" t="str">
        <f>IF($A13="","",基本信息!A13)</f>
        <v/>
      </c>
      <c r="C13" s="60" t="str">
        <f>IF($A13="","",基本信息!J13)</f>
        <v/>
      </c>
      <c r="D13" s="40" t="str">
        <f>IF($A13="","",基本信息!C13)</f>
        <v/>
      </c>
      <c r="E13" s="60" t="str">
        <f>IF($A13="","",基本信息!BM13)</f>
        <v/>
      </c>
      <c r="F13" s="40" t="str">
        <f>IF($A13="","",基本信息!BN13)</f>
        <v/>
      </c>
      <c r="G13" s="125">
        <f>ROUND(MAX(计算结果!AJ13,计算结果!BC13),2)</f>
        <v>0</v>
      </c>
      <c r="H13" s="125"/>
      <c r="I13" s="125" t="str">
        <f>IF($A13="","",计算结果!Z13+基本信息!DU13)</f>
        <v/>
      </c>
      <c r="J13" s="125" t="str">
        <f>IF($A13="","",计算结果!AA13+基本信息!DV13)</f>
        <v/>
      </c>
      <c r="K13" s="125" t="str">
        <f>IF($A13="","",计算结果!AB13+基本信息!DW13)</f>
        <v/>
      </c>
      <c r="L13" s="125" t="str">
        <f>IF($A13="","",计算结果!AC13+计算结果!AD13+计算结果!AF13)</f>
        <v/>
      </c>
      <c r="M13" s="125" t="str">
        <f>IF($A13="","",计算结果!AO13)</f>
        <v/>
      </c>
      <c r="N13" s="125" t="str">
        <f>IF($A13="","",计算结果!AP13)</f>
        <v/>
      </c>
      <c r="O13" s="125" t="str">
        <f>IF($A13="","",计算结果!AQ13)</f>
        <v/>
      </c>
      <c r="P13" s="125" t="str">
        <f>IF($A13="","",计算结果!AR13)</f>
        <v/>
      </c>
      <c r="Q13" s="125" t="str">
        <f>IF($A13="","",计算结果!AS13)</f>
        <v/>
      </c>
      <c r="R13" s="125" t="str">
        <f>IF($A13="","",计算结果!CE13)</f>
        <v/>
      </c>
      <c r="S13" s="125" t="str">
        <f>IF($A13="","",基本信息!BF13)</f>
        <v/>
      </c>
      <c r="T13" s="125"/>
      <c r="U13" s="125" t="str">
        <f>IF($A13="","",基本信息!CU13)</f>
        <v/>
      </c>
      <c r="V13" s="125"/>
      <c r="W13" s="126" t="str">
        <f>IF($A13="","",基本信息!CV13)</f>
        <v/>
      </c>
      <c r="Z13" s="125" t="str">
        <f>IF($A13="","",计算结果!BD13)</f>
        <v/>
      </c>
      <c r="AA13" s="125" t="str">
        <f>(IF($A13="","",计算结果!BE13+计算结果!AX13))</f>
        <v/>
      </c>
      <c r="AB13" s="50" t="str">
        <f>IF($A13="","",计算结果!BN13)</f>
        <v/>
      </c>
      <c r="AC13" s="113" t="e">
        <f>VLOOKUP($A$2:$A$29,基本信息!$B$2:$CN$1048576,91,0)</f>
        <v>#N/A</v>
      </c>
    </row>
    <row r="14" spans="1:29" ht="12.95">
      <c r="A14" s="60" t="str">
        <f>IF(基本信息!B14="","",基本信息!B14)</f>
        <v/>
      </c>
      <c r="B14" s="60" t="str">
        <f>IF($A14="","",基本信息!A14)</f>
        <v/>
      </c>
      <c r="C14" s="60" t="str">
        <f>IF($A14="","",基本信息!J14)</f>
        <v/>
      </c>
      <c r="D14" s="40" t="str">
        <f>IF($A14="","",基本信息!C14)</f>
        <v/>
      </c>
      <c r="E14" s="60" t="str">
        <f>IF($A14="","",基本信息!BM14)</f>
        <v/>
      </c>
      <c r="F14" s="40" t="str">
        <f>IF($A14="","",基本信息!BN14)</f>
        <v/>
      </c>
      <c r="G14" s="125">
        <f>ROUND(MAX(计算结果!AJ14,计算结果!BC14),2)</f>
        <v>0</v>
      </c>
      <c r="H14" s="125"/>
      <c r="I14" s="125" t="str">
        <f>IF($A14="","",计算结果!Z14+基本信息!DU14)</f>
        <v/>
      </c>
      <c r="J14" s="125" t="str">
        <f>IF($A14="","",计算结果!AA14+基本信息!DV14)</f>
        <v/>
      </c>
      <c r="K14" s="125" t="str">
        <f>IF($A14="","",计算结果!AB14+基本信息!DW14)</f>
        <v/>
      </c>
      <c r="L14" s="125" t="str">
        <f>IF($A14="","",计算结果!AC14+计算结果!AD14+计算结果!AF14)</f>
        <v/>
      </c>
      <c r="M14" s="125" t="str">
        <f>IF($A14="","",计算结果!AO14)</f>
        <v/>
      </c>
      <c r="N14" s="125" t="str">
        <f>IF($A14="","",计算结果!AP14)</f>
        <v/>
      </c>
      <c r="O14" s="125" t="str">
        <f>IF($A14="","",计算结果!AQ14)</f>
        <v/>
      </c>
      <c r="P14" s="125" t="str">
        <f>IF($A14="","",计算结果!AR14)</f>
        <v/>
      </c>
      <c r="Q14" s="125" t="str">
        <f>IF($A14="","",计算结果!AS14)</f>
        <v/>
      </c>
      <c r="R14" s="125" t="str">
        <f>IF($A14="","",计算结果!CE14)</f>
        <v/>
      </c>
      <c r="S14" s="125" t="str">
        <f>IF($A14="","",基本信息!BF14)</f>
        <v/>
      </c>
      <c r="T14" s="125"/>
      <c r="U14" s="125" t="str">
        <f>IF($A14="","",基本信息!CU14)</f>
        <v/>
      </c>
      <c r="V14" s="125"/>
      <c r="W14" s="126" t="str">
        <f>IF($A14="","",基本信息!CV14)</f>
        <v/>
      </c>
      <c r="Z14" s="125" t="str">
        <f>IF($A14="","",计算结果!BD14)</f>
        <v/>
      </c>
      <c r="AA14" s="125" t="str">
        <f>(IF($A14="","",计算结果!BE14+计算结果!AX14))</f>
        <v/>
      </c>
      <c r="AB14" s="50" t="str">
        <f>IF($A14="","",计算结果!BN14)</f>
        <v/>
      </c>
      <c r="AC14" s="113" t="e">
        <f>VLOOKUP($A$2:$A$29,基本信息!$B$2:$CN$1048576,91,0)</f>
        <v>#N/A</v>
      </c>
    </row>
    <row r="15" spans="1:29" ht="12.95">
      <c r="A15" s="60" t="str">
        <f>IF(基本信息!B15="","",基本信息!B15)</f>
        <v/>
      </c>
      <c r="B15" s="60" t="str">
        <f>IF($A15="","",基本信息!A15)</f>
        <v/>
      </c>
      <c r="C15" s="60" t="str">
        <f>IF($A15="","",基本信息!J15)</f>
        <v/>
      </c>
      <c r="D15" s="40" t="str">
        <f>IF($A15="","",基本信息!C15)</f>
        <v/>
      </c>
      <c r="E15" s="60" t="str">
        <f>IF($A15="","",基本信息!BM15)</f>
        <v/>
      </c>
      <c r="F15" s="40" t="str">
        <f>IF($A15="","",基本信息!BN15)</f>
        <v/>
      </c>
      <c r="G15" s="125">
        <f>ROUND(MAX(计算结果!AJ15,计算结果!BC15),2)</f>
        <v>0</v>
      </c>
      <c r="H15" s="125"/>
      <c r="I15" s="125" t="str">
        <f>IF($A15="","",计算结果!Z15+基本信息!DU15)</f>
        <v/>
      </c>
      <c r="J15" s="125" t="str">
        <f>IF($A15="","",计算结果!AA15+基本信息!DV15)</f>
        <v/>
      </c>
      <c r="K15" s="125" t="str">
        <f>IF($A15="","",计算结果!AB15+基本信息!DW15)</f>
        <v/>
      </c>
      <c r="L15" s="125" t="str">
        <f>IF($A15="","",计算结果!AC15+计算结果!AD15+计算结果!AF15)</f>
        <v/>
      </c>
      <c r="M15" s="125" t="str">
        <f>IF($A15="","",计算结果!AO15)</f>
        <v/>
      </c>
      <c r="N15" s="125" t="str">
        <f>IF($A15="","",计算结果!AP15)</f>
        <v/>
      </c>
      <c r="O15" s="125" t="str">
        <f>IF($A15="","",计算结果!AQ15)</f>
        <v/>
      </c>
      <c r="P15" s="125" t="str">
        <f>IF($A15="","",计算结果!AR15)</f>
        <v/>
      </c>
      <c r="Q15" s="125" t="str">
        <f>IF($A15="","",计算结果!AS15)</f>
        <v/>
      </c>
      <c r="R15" s="125" t="str">
        <f>IF($A15="","",计算结果!CE15)</f>
        <v/>
      </c>
      <c r="S15" s="125" t="str">
        <f>IF($A15="","",基本信息!BF15)</f>
        <v/>
      </c>
      <c r="T15" s="125"/>
      <c r="U15" s="125" t="str">
        <f>IF($A15="","",基本信息!CU15)</f>
        <v/>
      </c>
      <c r="V15" s="125"/>
      <c r="W15" s="126" t="str">
        <f>IF($A15="","",基本信息!CV15)</f>
        <v/>
      </c>
      <c r="Z15" s="125" t="str">
        <f>IF($A15="","",计算结果!BD15)</f>
        <v/>
      </c>
      <c r="AA15" s="125" t="str">
        <f>(IF($A15="","",计算结果!BE15+计算结果!AX15))</f>
        <v/>
      </c>
      <c r="AB15" s="50" t="str">
        <f>IF($A15="","",计算结果!BN15)</f>
        <v/>
      </c>
      <c r="AC15" s="113" t="e">
        <f>VLOOKUP($A$2:$A$29,基本信息!$B$2:$CN$1048576,91,0)</f>
        <v>#N/A</v>
      </c>
    </row>
    <row r="16" spans="1:29" ht="12.95">
      <c r="A16" s="60" t="str">
        <f>IF(基本信息!B16="","",基本信息!B16)</f>
        <v/>
      </c>
      <c r="B16" s="60" t="str">
        <f>IF($A16="","",基本信息!A16)</f>
        <v/>
      </c>
      <c r="C16" s="60" t="str">
        <f>IF($A16="","",基本信息!J16)</f>
        <v/>
      </c>
      <c r="D16" s="40" t="str">
        <f>IF($A16="","",基本信息!C16)</f>
        <v/>
      </c>
      <c r="E16" s="60" t="str">
        <f>IF($A16="","",基本信息!BM16)</f>
        <v/>
      </c>
      <c r="F16" s="40" t="str">
        <f>IF($A16="","",基本信息!BN16)</f>
        <v/>
      </c>
      <c r="G16" s="125">
        <f>ROUND(MAX(计算结果!AJ16,计算结果!BC16),2)</f>
        <v>0</v>
      </c>
      <c r="H16" s="125"/>
      <c r="I16" s="125" t="str">
        <f>IF($A16="","",计算结果!Z16+基本信息!DU16)</f>
        <v/>
      </c>
      <c r="J16" s="125" t="str">
        <f>IF($A16="","",计算结果!AA16+基本信息!DV16)</f>
        <v/>
      </c>
      <c r="K16" s="125" t="str">
        <f>IF($A16="","",计算结果!AB16+基本信息!DW16)</f>
        <v/>
      </c>
      <c r="L16" s="125" t="str">
        <f>IF($A16="","",计算结果!AC16+计算结果!AD16+计算结果!AF16)</f>
        <v/>
      </c>
      <c r="M16" s="125" t="str">
        <f>IF($A16="","",计算结果!AO16)</f>
        <v/>
      </c>
      <c r="N16" s="125" t="str">
        <f>IF($A16="","",计算结果!AP16)</f>
        <v/>
      </c>
      <c r="O16" s="125" t="str">
        <f>IF($A16="","",计算结果!AQ16)</f>
        <v/>
      </c>
      <c r="P16" s="125" t="str">
        <f>IF($A16="","",计算结果!AR16)</f>
        <v/>
      </c>
      <c r="Q16" s="125" t="str">
        <f>IF($A16="","",计算结果!AS16)</f>
        <v/>
      </c>
      <c r="R16" s="125" t="str">
        <f>IF($A16="","",计算结果!CE16)</f>
        <v/>
      </c>
      <c r="S16" s="125" t="str">
        <f>IF($A16="","",基本信息!BF16)</f>
        <v/>
      </c>
      <c r="T16" s="125"/>
      <c r="U16" s="125" t="str">
        <f>IF($A16="","",基本信息!CU16)</f>
        <v/>
      </c>
      <c r="V16" s="125"/>
      <c r="W16" s="126" t="str">
        <f>IF($A16="","",基本信息!CV16)</f>
        <v/>
      </c>
      <c r="Z16" s="125" t="str">
        <f>IF($A16="","",计算结果!BD16)</f>
        <v/>
      </c>
      <c r="AA16" s="125" t="str">
        <f>(IF($A16="","",计算结果!BE16+计算结果!AX16))</f>
        <v/>
      </c>
      <c r="AB16" s="50" t="str">
        <f>IF($A16="","",计算结果!BN16)</f>
        <v/>
      </c>
      <c r="AC16" s="113" t="e">
        <f>VLOOKUP($A$2:$A$29,基本信息!$B$2:$CN$1048576,91,0)</f>
        <v>#N/A</v>
      </c>
    </row>
    <row r="17" spans="1:29" ht="12.95">
      <c r="A17" s="60" t="str">
        <f>IF(基本信息!B17="","",基本信息!B17)</f>
        <v/>
      </c>
      <c r="B17" s="60" t="str">
        <f>IF($A17="","",基本信息!A17)</f>
        <v/>
      </c>
      <c r="C17" s="60" t="str">
        <f>IF($A17="","",基本信息!J17)</f>
        <v/>
      </c>
      <c r="D17" s="40" t="str">
        <f>IF($A17="","",基本信息!C17)</f>
        <v/>
      </c>
      <c r="E17" s="60" t="str">
        <f>IF($A17="","",基本信息!BM17)</f>
        <v/>
      </c>
      <c r="F17" s="40" t="str">
        <f>IF($A17="","",基本信息!BN17)</f>
        <v/>
      </c>
      <c r="G17" s="125">
        <f>ROUND(MAX(计算结果!AJ17,计算结果!BC17),2)</f>
        <v>0</v>
      </c>
      <c r="H17" s="125"/>
      <c r="I17" s="125" t="str">
        <f>IF($A17="","",计算结果!Z17+基本信息!DU17)</f>
        <v/>
      </c>
      <c r="J17" s="125" t="str">
        <f>IF($A17="","",计算结果!AA17+基本信息!DV17)</f>
        <v/>
      </c>
      <c r="K17" s="125" t="str">
        <f>IF($A17="","",计算结果!AB17+基本信息!DW17)</f>
        <v/>
      </c>
      <c r="L17" s="125" t="str">
        <f>IF($A17="","",计算结果!AC17+计算结果!AD17+计算结果!AF17)</f>
        <v/>
      </c>
      <c r="M17" s="125" t="str">
        <f>IF($A17="","",计算结果!AO17)</f>
        <v/>
      </c>
      <c r="N17" s="125" t="str">
        <f>IF($A17="","",计算结果!AP17)</f>
        <v/>
      </c>
      <c r="O17" s="125" t="str">
        <f>IF($A17="","",计算结果!AQ17)</f>
        <v/>
      </c>
      <c r="P17" s="125" t="str">
        <f>IF($A17="","",计算结果!AR17)</f>
        <v/>
      </c>
      <c r="Q17" s="125" t="str">
        <f>IF($A17="","",计算结果!AS17)</f>
        <v/>
      </c>
      <c r="R17" s="125" t="str">
        <f>IF($A17="","",计算结果!CE17)</f>
        <v/>
      </c>
      <c r="S17" s="125" t="str">
        <f>IF($A17="","",基本信息!BF17)</f>
        <v/>
      </c>
      <c r="T17" s="125"/>
      <c r="U17" s="125" t="str">
        <f>IF($A17="","",基本信息!CU17)</f>
        <v/>
      </c>
      <c r="V17" s="125"/>
      <c r="W17" s="126" t="str">
        <f>IF($A17="","",基本信息!CV17)</f>
        <v/>
      </c>
      <c r="Z17" s="125" t="str">
        <f>IF($A17="","",计算结果!BD17)</f>
        <v/>
      </c>
      <c r="AA17" s="125" t="str">
        <f>(IF($A17="","",计算结果!BE17+计算结果!AX17))</f>
        <v/>
      </c>
      <c r="AB17" s="50" t="str">
        <f>IF($A17="","",计算结果!BN17)</f>
        <v/>
      </c>
      <c r="AC17" s="113" t="e">
        <f>VLOOKUP($A$2:$A$29,基本信息!$B$2:$CN$1048576,91,0)</f>
        <v>#N/A</v>
      </c>
    </row>
    <row r="18" spans="1:29" ht="12.95">
      <c r="A18" s="60" t="str">
        <f>IF(基本信息!B18="","",基本信息!B18)</f>
        <v/>
      </c>
      <c r="B18" s="60" t="str">
        <f>IF($A18="","",基本信息!A18)</f>
        <v/>
      </c>
      <c r="C18" s="60" t="str">
        <f>IF($A18="","",基本信息!J18)</f>
        <v/>
      </c>
      <c r="D18" s="40" t="str">
        <f>IF($A18="","",基本信息!C18)</f>
        <v/>
      </c>
      <c r="E18" s="60" t="str">
        <f>IF($A18="","",基本信息!BM18)</f>
        <v/>
      </c>
      <c r="F18" s="40" t="str">
        <f>IF($A18="","",基本信息!BN18)</f>
        <v/>
      </c>
      <c r="G18" s="125">
        <f>ROUND(MAX(计算结果!AJ18,计算结果!BC18),2)</f>
        <v>0</v>
      </c>
      <c r="H18" s="125"/>
      <c r="I18" s="125" t="str">
        <f>IF($A18="","",计算结果!Z18+基本信息!DU18)</f>
        <v/>
      </c>
      <c r="J18" s="125" t="str">
        <f>IF($A18="","",计算结果!AA18+基本信息!DV18)</f>
        <v/>
      </c>
      <c r="K18" s="125" t="str">
        <f>IF($A18="","",计算结果!AB18+基本信息!DW18)</f>
        <v/>
      </c>
      <c r="L18" s="125" t="str">
        <f>IF($A18="","",计算结果!AC18+计算结果!AD18+计算结果!AF18)</f>
        <v/>
      </c>
      <c r="M18" s="125" t="str">
        <f>IF($A18="","",计算结果!AO18)</f>
        <v/>
      </c>
      <c r="N18" s="125" t="str">
        <f>IF($A18="","",计算结果!AP18)</f>
        <v/>
      </c>
      <c r="O18" s="125" t="str">
        <f>IF($A18="","",计算结果!AQ18)</f>
        <v/>
      </c>
      <c r="P18" s="125" t="str">
        <f>IF($A18="","",计算结果!AR18)</f>
        <v/>
      </c>
      <c r="Q18" s="125" t="str">
        <f>IF($A18="","",计算结果!AS18)</f>
        <v/>
      </c>
      <c r="R18" s="125" t="str">
        <f>IF($A18="","",计算结果!CE18)</f>
        <v/>
      </c>
      <c r="S18" s="125" t="str">
        <f>IF($A18="","",基本信息!BF18)</f>
        <v/>
      </c>
      <c r="T18" s="125"/>
      <c r="U18" s="125" t="str">
        <f>IF($A18="","",基本信息!CU18)</f>
        <v/>
      </c>
      <c r="V18" s="125"/>
      <c r="W18" s="126" t="str">
        <f>IF($A18="","",基本信息!CV18)</f>
        <v/>
      </c>
      <c r="Z18" s="125" t="str">
        <f>IF($A18="","",计算结果!BD18)</f>
        <v/>
      </c>
      <c r="AA18" s="125" t="str">
        <f>(IF($A18="","",计算结果!BE18+计算结果!AX18))</f>
        <v/>
      </c>
      <c r="AB18" s="50" t="str">
        <f>IF($A18="","",计算结果!BN18)</f>
        <v/>
      </c>
      <c r="AC18" s="113" t="e">
        <f>VLOOKUP($A$2:$A$29,基本信息!$B$2:$CN$1048576,91,0)</f>
        <v>#N/A</v>
      </c>
    </row>
    <row r="19" spans="1:29" ht="12.95">
      <c r="A19" s="60" t="str">
        <f>IF(基本信息!B19="","",基本信息!B19)</f>
        <v/>
      </c>
      <c r="B19" s="60" t="str">
        <f>IF($A19="","",基本信息!A19)</f>
        <v/>
      </c>
      <c r="C19" s="60" t="str">
        <f>IF($A19="","",基本信息!J19)</f>
        <v/>
      </c>
      <c r="D19" s="40" t="str">
        <f>IF($A19="","",基本信息!C19)</f>
        <v/>
      </c>
      <c r="E19" s="60" t="str">
        <f>IF($A19="","",基本信息!BM19)</f>
        <v/>
      </c>
      <c r="F19" s="40" t="str">
        <f>IF($A19="","",基本信息!BN19)</f>
        <v/>
      </c>
      <c r="G19" s="125">
        <f>ROUND(MAX(计算结果!AJ19,计算结果!BC19),2)</f>
        <v>0</v>
      </c>
      <c r="H19" s="125"/>
      <c r="I19" s="125" t="str">
        <f>IF($A19="","",计算结果!Z19+基本信息!DU19)</f>
        <v/>
      </c>
      <c r="J19" s="125" t="str">
        <f>IF($A19="","",计算结果!AA19+基本信息!DV19)</f>
        <v/>
      </c>
      <c r="K19" s="125" t="str">
        <f>IF($A19="","",计算结果!AB19+基本信息!DW19)</f>
        <v/>
      </c>
      <c r="L19" s="125" t="str">
        <f>IF($A19="","",计算结果!AC19+计算结果!AD19+计算结果!AF19)</f>
        <v/>
      </c>
      <c r="M19" s="125" t="str">
        <f>IF($A19="","",计算结果!AO19)</f>
        <v/>
      </c>
      <c r="N19" s="125" t="str">
        <f>IF($A19="","",计算结果!AP19)</f>
        <v/>
      </c>
      <c r="O19" s="125" t="str">
        <f>IF($A19="","",计算结果!AQ19)</f>
        <v/>
      </c>
      <c r="P19" s="125" t="str">
        <f>IF($A19="","",计算结果!AR19)</f>
        <v/>
      </c>
      <c r="Q19" s="125" t="str">
        <f>IF($A19="","",计算结果!AS19)</f>
        <v/>
      </c>
      <c r="R19" s="125" t="str">
        <f>IF($A19="","",计算结果!CE19)</f>
        <v/>
      </c>
      <c r="S19" s="125" t="str">
        <f>IF($A19="","",基本信息!BF19)</f>
        <v/>
      </c>
      <c r="T19" s="125"/>
      <c r="U19" s="125" t="str">
        <f>IF($A19="","",基本信息!CU19)</f>
        <v/>
      </c>
      <c r="V19" s="125"/>
      <c r="W19" s="126" t="str">
        <f>IF($A19="","",基本信息!CV19)</f>
        <v/>
      </c>
      <c r="Z19" s="125" t="str">
        <f>IF($A19="","",计算结果!BD19)</f>
        <v/>
      </c>
      <c r="AA19" s="125" t="str">
        <f>(IF($A19="","",计算结果!BE19+计算结果!AX19))</f>
        <v/>
      </c>
      <c r="AB19" s="50" t="str">
        <f>IF($A19="","",计算结果!BN19)</f>
        <v/>
      </c>
      <c r="AC19" s="113" t="e">
        <f>VLOOKUP($A$2:$A$29,基本信息!$B$2:$CN$1048576,91,0)</f>
        <v>#N/A</v>
      </c>
    </row>
    <row r="20" spans="1:29" ht="12.95">
      <c r="A20" s="60" t="str">
        <f>IF(基本信息!B20="","",基本信息!B20)</f>
        <v/>
      </c>
      <c r="B20" s="60" t="str">
        <f>IF($A20="","",基本信息!A20)</f>
        <v/>
      </c>
      <c r="C20" s="60" t="str">
        <f>IF($A20="","",基本信息!J20)</f>
        <v/>
      </c>
      <c r="D20" s="40" t="str">
        <f>IF($A20="","",基本信息!C20)</f>
        <v/>
      </c>
      <c r="E20" s="60" t="str">
        <f>IF($A20="","",基本信息!BM20)</f>
        <v/>
      </c>
      <c r="F20" s="40" t="str">
        <f>IF($A20="","",基本信息!BN20)</f>
        <v/>
      </c>
      <c r="G20" s="125">
        <f>ROUND(MAX(计算结果!AJ20,计算结果!BC20),2)</f>
        <v>0</v>
      </c>
      <c r="H20" s="125"/>
      <c r="I20" s="125" t="str">
        <f>IF($A20="","",计算结果!Z20+基本信息!DU20)</f>
        <v/>
      </c>
      <c r="J20" s="125" t="str">
        <f>IF($A20="","",计算结果!AA20+基本信息!DV20)</f>
        <v/>
      </c>
      <c r="K20" s="125" t="str">
        <f>IF($A20="","",计算结果!AB20+基本信息!DW20)</f>
        <v/>
      </c>
      <c r="L20" s="125" t="str">
        <f>IF($A20="","",计算结果!AC20+计算结果!AD20+计算结果!AF20)</f>
        <v/>
      </c>
      <c r="M20" s="125" t="str">
        <f>IF($A20="","",计算结果!AO20)</f>
        <v/>
      </c>
      <c r="N20" s="125" t="str">
        <f>IF($A20="","",计算结果!AP20)</f>
        <v/>
      </c>
      <c r="O20" s="125" t="str">
        <f>IF($A20="","",计算结果!AQ20)</f>
        <v/>
      </c>
      <c r="P20" s="125" t="str">
        <f>IF($A20="","",计算结果!AR20)</f>
        <v/>
      </c>
      <c r="Q20" s="125" t="str">
        <f>IF($A20="","",计算结果!AS20)</f>
        <v/>
      </c>
      <c r="R20" s="125" t="str">
        <f>IF($A20="","",计算结果!CE20)</f>
        <v/>
      </c>
      <c r="S20" s="125" t="str">
        <f>IF($A20="","",基本信息!BF20)</f>
        <v/>
      </c>
      <c r="T20" s="125"/>
      <c r="U20" s="125" t="str">
        <f>IF($A20="","",基本信息!CU20)</f>
        <v/>
      </c>
      <c r="V20" s="125"/>
      <c r="W20" s="126" t="str">
        <f>IF($A20="","",基本信息!CV20)</f>
        <v/>
      </c>
      <c r="Z20" s="125" t="str">
        <f>IF($A20="","",计算结果!BD20)</f>
        <v/>
      </c>
      <c r="AA20" s="125" t="str">
        <f>(IF($A20="","",计算结果!BE20+计算结果!AX20))</f>
        <v/>
      </c>
      <c r="AB20" s="50" t="str">
        <f>IF($A20="","",计算结果!BN20)</f>
        <v/>
      </c>
      <c r="AC20" s="113" t="e">
        <f>VLOOKUP($A$2:$A$29,基本信息!$B$2:$CN$1048576,91,0)</f>
        <v>#N/A</v>
      </c>
    </row>
    <row r="21" spans="1:29" ht="12.95">
      <c r="A21" s="60" t="str">
        <f>IF(基本信息!B21="","",基本信息!B21)</f>
        <v/>
      </c>
      <c r="B21" s="60" t="str">
        <f>IF($A21="","",基本信息!A21)</f>
        <v/>
      </c>
      <c r="C21" s="60" t="str">
        <f>IF($A21="","",基本信息!J21)</f>
        <v/>
      </c>
      <c r="D21" s="40" t="str">
        <f>IF($A21="","",基本信息!C21)</f>
        <v/>
      </c>
      <c r="E21" s="60" t="str">
        <f>IF($A21="","",基本信息!BM21)</f>
        <v/>
      </c>
      <c r="F21" s="40" t="str">
        <f>IF($A21="","",基本信息!BN21)</f>
        <v/>
      </c>
      <c r="G21" s="125">
        <f>ROUND(MAX(计算结果!AJ21,计算结果!BC21),2)</f>
        <v>0</v>
      </c>
      <c r="H21" s="125"/>
      <c r="I21" s="125" t="str">
        <f>IF($A21="","",计算结果!Z21+基本信息!DU21)</f>
        <v/>
      </c>
      <c r="J21" s="125" t="str">
        <f>IF($A21="","",计算结果!AA21+基本信息!DV21)</f>
        <v/>
      </c>
      <c r="K21" s="125" t="str">
        <f>IF($A21="","",计算结果!AB21+基本信息!DW21)</f>
        <v/>
      </c>
      <c r="L21" s="125" t="str">
        <f>IF($A21="","",计算结果!AC21+计算结果!AD21+计算结果!AF21)</f>
        <v/>
      </c>
      <c r="M21" s="125" t="str">
        <f>IF($A21="","",计算结果!AO21)</f>
        <v/>
      </c>
      <c r="N21" s="125" t="str">
        <f>IF($A21="","",计算结果!AP21)</f>
        <v/>
      </c>
      <c r="O21" s="125" t="str">
        <f>IF($A21="","",计算结果!AQ21)</f>
        <v/>
      </c>
      <c r="P21" s="125" t="str">
        <f>IF($A21="","",计算结果!AR21)</f>
        <v/>
      </c>
      <c r="Q21" s="125" t="str">
        <f>IF($A21="","",计算结果!AS21)</f>
        <v/>
      </c>
      <c r="R21" s="125" t="str">
        <f>IF($A21="","",计算结果!CE21)</f>
        <v/>
      </c>
      <c r="S21" s="125" t="str">
        <f>IF($A21="","",基本信息!BF21)</f>
        <v/>
      </c>
      <c r="T21" s="125"/>
      <c r="U21" s="125" t="str">
        <f>IF($A21="","",基本信息!CU21)</f>
        <v/>
      </c>
      <c r="V21" s="125"/>
      <c r="W21" s="126" t="str">
        <f>IF($A21="","",基本信息!CV21)</f>
        <v/>
      </c>
      <c r="Z21" s="125" t="str">
        <f>IF($A21="","",计算结果!BD21)</f>
        <v/>
      </c>
      <c r="AA21" s="125" t="str">
        <f>(IF($A21="","",计算结果!BE21+计算结果!AX21))</f>
        <v/>
      </c>
      <c r="AB21" s="50" t="str">
        <f>IF($A21="","",计算结果!BN21)</f>
        <v/>
      </c>
      <c r="AC21" s="113" t="e">
        <f>VLOOKUP($A$2:$A$29,基本信息!$B$2:$CN$1048576,91,0)</f>
        <v>#N/A</v>
      </c>
    </row>
    <row r="22" spans="1:29" ht="12.95">
      <c r="A22" s="60" t="str">
        <f>IF(基本信息!B22="","",基本信息!B22)</f>
        <v/>
      </c>
      <c r="B22" s="60" t="str">
        <f>IF($A22="","",基本信息!A22)</f>
        <v/>
      </c>
      <c r="C22" s="60" t="str">
        <f>IF($A22="","",基本信息!J22)</f>
        <v/>
      </c>
      <c r="D22" s="40" t="str">
        <f>IF($A22="","",基本信息!C22)</f>
        <v/>
      </c>
      <c r="E22" s="60" t="str">
        <f>IF($A22="","",基本信息!BM22)</f>
        <v/>
      </c>
      <c r="F22" s="40" t="str">
        <f>IF($A22="","",基本信息!BN22)</f>
        <v/>
      </c>
      <c r="G22" s="125">
        <f>ROUND(MAX(计算结果!AJ22,计算结果!BC22),2)</f>
        <v>0</v>
      </c>
      <c r="H22" s="125"/>
      <c r="I22" s="125" t="str">
        <f>IF($A22="","",计算结果!Z22+基本信息!DU22)</f>
        <v/>
      </c>
      <c r="J22" s="125" t="str">
        <f>IF($A22="","",计算结果!AA22+基本信息!DV22)</f>
        <v/>
      </c>
      <c r="K22" s="125" t="str">
        <f>IF($A22="","",计算结果!AB22+基本信息!DW22)</f>
        <v/>
      </c>
      <c r="L22" s="125" t="str">
        <f>IF($A22="","",计算结果!AC22+计算结果!AD22+计算结果!AF22)</f>
        <v/>
      </c>
      <c r="M22" s="125" t="str">
        <f>IF($A22="","",计算结果!AO22)</f>
        <v/>
      </c>
      <c r="N22" s="125" t="str">
        <f>IF($A22="","",计算结果!AP22)</f>
        <v/>
      </c>
      <c r="O22" s="125" t="str">
        <f>IF($A22="","",计算结果!AQ22)</f>
        <v/>
      </c>
      <c r="P22" s="125" t="str">
        <f>IF($A22="","",计算结果!AR22)</f>
        <v/>
      </c>
      <c r="Q22" s="125" t="str">
        <f>IF($A22="","",计算结果!AS22)</f>
        <v/>
      </c>
      <c r="R22" s="125" t="str">
        <f>IF($A22="","",计算结果!CE22)</f>
        <v/>
      </c>
      <c r="S22" s="125" t="str">
        <f>IF($A22="","",基本信息!BF22)</f>
        <v/>
      </c>
      <c r="T22" s="125"/>
      <c r="U22" s="125" t="str">
        <f>IF($A22="","",基本信息!CU22)</f>
        <v/>
      </c>
      <c r="V22" s="125"/>
      <c r="W22" s="126" t="str">
        <f>IF($A22="","",基本信息!CV22)</f>
        <v/>
      </c>
      <c r="Z22" s="125" t="str">
        <f>IF($A22="","",计算结果!BD22)</f>
        <v/>
      </c>
      <c r="AA22" s="125" t="str">
        <f>(IF($A22="","",计算结果!BE22+计算结果!AX22))</f>
        <v/>
      </c>
      <c r="AB22" s="50" t="str">
        <f>IF($A22="","",计算结果!BN22)</f>
        <v/>
      </c>
      <c r="AC22" s="113" t="e">
        <f>VLOOKUP($A$2:$A$29,基本信息!$B$2:$CN$1048576,91,0)</f>
        <v>#N/A</v>
      </c>
    </row>
    <row r="23" spans="1:29" ht="12.95">
      <c r="A23" s="60" t="str">
        <f>IF(基本信息!B23="","",基本信息!B23)</f>
        <v/>
      </c>
      <c r="B23" s="60" t="str">
        <f>IF($A23="","",基本信息!A23)</f>
        <v/>
      </c>
      <c r="C23" s="60" t="str">
        <f>IF($A23="","",基本信息!J23)</f>
        <v/>
      </c>
      <c r="D23" s="40" t="str">
        <f>IF($A23="","",基本信息!C23)</f>
        <v/>
      </c>
      <c r="E23" s="60" t="str">
        <f>IF($A23="","",基本信息!BM23)</f>
        <v/>
      </c>
      <c r="F23" s="40" t="str">
        <f>IF($A23="","",基本信息!BN23)</f>
        <v/>
      </c>
      <c r="G23" s="125">
        <f>ROUND(MAX(计算结果!AJ23,计算结果!BC23),2)</f>
        <v>0</v>
      </c>
      <c r="H23" s="125"/>
      <c r="I23" s="125" t="str">
        <f>IF($A23="","",计算结果!Z23+基本信息!DU23)</f>
        <v/>
      </c>
      <c r="J23" s="125" t="str">
        <f>IF($A23="","",计算结果!AA23+基本信息!DV23)</f>
        <v/>
      </c>
      <c r="K23" s="125" t="str">
        <f>IF($A23="","",计算结果!AB23+基本信息!DW23)</f>
        <v/>
      </c>
      <c r="L23" s="125" t="str">
        <f>IF($A23="","",计算结果!AC23+计算结果!AD23+计算结果!AF23)</f>
        <v/>
      </c>
      <c r="M23" s="125" t="str">
        <f>IF($A23="","",计算结果!AO23)</f>
        <v/>
      </c>
      <c r="N23" s="125" t="str">
        <f>IF($A23="","",计算结果!AP23)</f>
        <v/>
      </c>
      <c r="O23" s="125" t="str">
        <f>IF($A23="","",计算结果!AQ23)</f>
        <v/>
      </c>
      <c r="P23" s="125" t="str">
        <f>IF($A23="","",计算结果!AR23)</f>
        <v/>
      </c>
      <c r="Q23" s="125" t="str">
        <f>IF($A23="","",计算结果!AS23)</f>
        <v/>
      </c>
      <c r="R23" s="125" t="str">
        <f>IF($A23="","",计算结果!CE23)</f>
        <v/>
      </c>
      <c r="S23" s="125" t="str">
        <f>IF($A23="","",基本信息!BF23)</f>
        <v/>
      </c>
      <c r="T23" s="125"/>
      <c r="U23" s="125" t="str">
        <f>IF($A23="","",基本信息!CU23)</f>
        <v/>
      </c>
      <c r="V23" s="125"/>
      <c r="W23" s="126" t="str">
        <f>IF($A23="","",基本信息!CV23)</f>
        <v/>
      </c>
      <c r="Z23" s="125" t="str">
        <f>IF($A23="","",计算结果!BD23)</f>
        <v/>
      </c>
      <c r="AA23" s="125" t="str">
        <f>(IF($A23="","",计算结果!BE23+计算结果!AX23))</f>
        <v/>
      </c>
      <c r="AB23" s="50" t="str">
        <f>IF($A23="","",计算结果!BN23)</f>
        <v/>
      </c>
      <c r="AC23" s="113" t="e">
        <f>VLOOKUP($A$2:$A$29,基本信息!$B$2:$CN$1048576,91,0)</f>
        <v>#N/A</v>
      </c>
    </row>
    <row r="24" spans="1:29" ht="12.95">
      <c r="A24" s="60" t="str">
        <f>IF(基本信息!B24="","",基本信息!B24)</f>
        <v/>
      </c>
      <c r="B24" s="60" t="str">
        <f>IF($A24="","",基本信息!A24)</f>
        <v/>
      </c>
      <c r="C24" s="60" t="str">
        <f>IF($A24="","",基本信息!J24)</f>
        <v/>
      </c>
      <c r="D24" s="40" t="str">
        <f>IF($A24="","",基本信息!C24)</f>
        <v/>
      </c>
      <c r="E24" s="60" t="str">
        <f>IF($A24="","",基本信息!BM24)</f>
        <v/>
      </c>
      <c r="F24" s="40" t="str">
        <f>IF($A24="","",基本信息!BN24)</f>
        <v/>
      </c>
      <c r="G24" s="125">
        <f>ROUND(MAX(计算结果!AJ24,计算结果!BC24),2)</f>
        <v>0</v>
      </c>
      <c r="H24" s="125"/>
      <c r="I24" s="125" t="str">
        <f>IF($A24="","",计算结果!Z24+基本信息!DU24)</f>
        <v/>
      </c>
      <c r="J24" s="125" t="str">
        <f>IF($A24="","",计算结果!AA24+基本信息!DV24)</f>
        <v/>
      </c>
      <c r="K24" s="125" t="str">
        <f>IF($A24="","",计算结果!AB24+基本信息!DW24)</f>
        <v/>
      </c>
      <c r="L24" s="125" t="str">
        <f>IF($A24="","",计算结果!AC24+计算结果!AD24+计算结果!AF24)</f>
        <v/>
      </c>
      <c r="M24" s="125" t="str">
        <f>IF($A24="","",计算结果!AO24)</f>
        <v/>
      </c>
      <c r="N24" s="125" t="str">
        <f>IF($A24="","",计算结果!AP24)</f>
        <v/>
      </c>
      <c r="O24" s="125" t="str">
        <f>IF($A24="","",计算结果!AQ24)</f>
        <v/>
      </c>
      <c r="P24" s="125" t="str">
        <f>IF($A24="","",计算结果!AR24)</f>
        <v/>
      </c>
      <c r="Q24" s="125" t="str">
        <f>IF($A24="","",计算结果!AS24)</f>
        <v/>
      </c>
      <c r="R24" s="125" t="str">
        <f>IF($A24="","",计算结果!CE24)</f>
        <v/>
      </c>
      <c r="S24" s="125" t="str">
        <f>IF($A24="","",基本信息!BF24)</f>
        <v/>
      </c>
      <c r="T24" s="125"/>
      <c r="U24" s="125" t="str">
        <f>IF($A24="","",基本信息!CU24)</f>
        <v/>
      </c>
      <c r="V24" s="125"/>
      <c r="W24" s="126" t="str">
        <f>IF($A24="","",基本信息!CV24)</f>
        <v/>
      </c>
      <c r="Z24" s="125" t="str">
        <f>IF($A24="","",计算结果!BD24)</f>
        <v/>
      </c>
      <c r="AA24" s="125" t="str">
        <f>(IF($A24="","",计算结果!BE24+计算结果!AX24))</f>
        <v/>
      </c>
      <c r="AB24" s="50" t="str">
        <f>IF($A24="","",计算结果!BN24)</f>
        <v/>
      </c>
      <c r="AC24" s="113" t="e">
        <f>VLOOKUP($A$2:$A$29,基本信息!$B$2:$CN$1048576,91,0)</f>
        <v>#N/A</v>
      </c>
    </row>
    <row r="25" spans="1:29" ht="12.95">
      <c r="A25" s="60" t="str">
        <f>IF(基本信息!B25="","",基本信息!B25)</f>
        <v/>
      </c>
      <c r="B25" s="60" t="str">
        <f>IF($A25="","",基本信息!A25)</f>
        <v/>
      </c>
      <c r="C25" s="60" t="str">
        <f>IF($A25="","",基本信息!J25)</f>
        <v/>
      </c>
      <c r="D25" s="40" t="str">
        <f>IF($A25="","",基本信息!C25)</f>
        <v/>
      </c>
      <c r="E25" s="60" t="str">
        <f>IF($A25="","",基本信息!BM25)</f>
        <v/>
      </c>
      <c r="F25" s="40" t="str">
        <f>IF($A25="","",基本信息!BN25)</f>
        <v/>
      </c>
      <c r="G25" s="125">
        <f>ROUND(MAX(计算结果!AJ25,计算结果!BC25),2)</f>
        <v>0</v>
      </c>
      <c r="H25" s="125"/>
      <c r="I25" s="125" t="str">
        <f>IF($A25="","",计算结果!Z25+基本信息!DU25)</f>
        <v/>
      </c>
      <c r="J25" s="125" t="str">
        <f>IF($A25="","",计算结果!AA25+基本信息!DV25)</f>
        <v/>
      </c>
      <c r="K25" s="125" t="str">
        <f>IF($A25="","",计算结果!AB25+基本信息!DW25)</f>
        <v/>
      </c>
      <c r="L25" s="125" t="str">
        <f>IF($A25="","",计算结果!AC25+计算结果!AD25+计算结果!AF25)</f>
        <v/>
      </c>
      <c r="M25" s="125" t="str">
        <f>IF($A25="","",计算结果!AO25)</f>
        <v/>
      </c>
      <c r="N25" s="125" t="str">
        <f>IF($A25="","",计算结果!AP25)</f>
        <v/>
      </c>
      <c r="O25" s="125" t="str">
        <f>IF($A25="","",计算结果!AQ25)</f>
        <v/>
      </c>
      <c r="P25" s="125" t="str">
        <f>IF($A25="","",计算结果!AR25)</f>
        <v/>
      </c>
      <c r="Q25" s="125" t="str">
        <f>IF($A25="","",计算结果!AS25)</f>
        <v/>
      </c>
      <c r="R25" s="125" t="str">
        <f>IF($A25="","",计算结果!CE25)</f>
        <v/>
      </c>
      <c r="S25" s="125" t="str">
        <f>IF($A25="","",基本信息!BF25)</f>
        <v/>
      </c>
      <c r="T25" s="125"/>
      <c r="U25" s="125" t="str">
        <f>IF($A25="","",基本信息!CU25)</f>
        <v/>
      </c>
      <c r="V25" s="125"/>
      <c r="W25" s="126" t="str">
        <f>IF($A25="","",基本信息!CV25)</f>
        <v/>
      </c>
      <c r="Z25" s="125" t="str">
        <f>IF($A25="","",计算结果!BD25)</f>
        <v/>
      </c>
      <c r="AA25" s="125" t="str">
        <f>(IF($A25="","",计算结果!BE25+计算结果!AX25))</f>
        <v/>
      </c>
      <c r="AB25" s="50" t="str">
        <f>IF($A25="","",计算结果!BN25)</f>
        <v/>
      </c>
      <c r="AC25" s="113" t="e">
        <f>VLOOKUP($A$2:$A$29,基本信息!$B$2:$CN$1048576,91,0)</f>
        <v>#N/A</v>
      </c>
    </row>
    <row r="26" spans="1:29" ht="12.95">
      <c r="A26" s="60" t="str">
        <f>IF(基本信息!B26="","",基本信息!B26)</f>
        <v/>
      </c>
      <c r="B26" s="60" t="str">
        <f>IF($A26="","",基本信息!A26)</f>
        <v/>
      </c>
      <c r="C26" s="60" t="str">
        <f>IF($A26="","",基本信息!J26)</f>
        <v/>
      </c>
      <c r="D26" s="40" t="str">
        <f>IF($A26="","",基本信息!C26)</f>
        <v/>
      </c>
      <c r="E26" s="60" t="str">
        <f>IF($A26="","",基本信息!BM26)</f>
        <v/>
      </c>
      <c r="F26" s="40" t="str">
        <f>IF($A26="","",基本信息!BN26)</f>
        <v/>
      </c>
      <c r="G26" s="125">
        <f>ROUND(MAX(计算结果!AJ26,计算结果!BC26),2)</f>
        <v>0</v>
      </c>
      <c r="H26" s="125"/>
      <c r="I26" s="125" t="str">
        <f>IF($A26="","",计算结果!Z26+基本信息!DU26)</f>
        <v/>
      </c>
      <c r="J26" s="125" t="str">
        <f>IF($A26="","",计算结果!AA26+基本信息!DV26)</f>
        <v/>
      </c>
      <c r="K26" s="125" t="str">
        <f>IF($A26="","",计算结果!AB26+基本信息!DW26)</f>
        <v/>
      </c>
      <c r="L26" s="125" t="str">
        <f>IF($A26="","",计算结果!AC26+计算结果!AD26+计算结果!AF26)</f>
        <v/>
      </c>
      <c r="M26" s="125" t="str">
        <f>IF($A26="","",计算结果!AO26)</f>
        <v/>
      </c>
      <c r="N26" s="125" t="str">
        <f>IF($A26="","",计算结果!AP26)</f>
        <v/>
      </c>
      <c r="O26" s="125" t="str">
        <f>IF($A26="","",计算结果!AQ26)</f>
        <v/>
      </c>
      <c r="P26" s="125" t="str">
        <f>IF($A26="","",计算结果!AR26)</f>
        <v/>
      </c>
      <c r="Q26" s="125" t="str">
        <f>IF($A26="","",计算结果!AS26)</f>
        <v/>
      </c>
      <c r="R26" s="125" t="str">
        <f>IF($A26="","",计算结果!CE26)</f>
        <v/>
      </c>
      <c r="S26" s="125" t="str">
        <f>IF($A26="","",基本信息!BF26)</f>
        <v/>
      </c>
      <c r="T26" s="125"/>
      <c r="U26" s="125" t="str">
        <f>IF($A26="","",基本信息!CU26)</f>
        <v/>
      </c>
      <c r="V26" s="125"/>
      <c r="W26" s="126" t="str">
        <f>IF($A26="","",基本信息!CV26)</f>
        <v/>
      </c>
      <c r="Z26" s="125" t="str">
        <f>IF($A26="","",计算结果!BD26)</f>
        <v/>
      </c>
      <c r="AA26" s="125" t="str">
        <f>(IF($A26="","",计算结果!BE26+计算结果!AX26))</f>
        <v/>
      </c>
      <c r="AB26" s="50" t="str">
        <f>IF($A26="","",计算结果!BN26)</f>
        <v/>
      </c>
      <c r="AC26" s="113" t="e">
        <f>VLOOKUP($A$2:$A$29,基本信息!$B$2:$CN$1048576,91,0)</f>
        <v>#N/A</v>
      </c>
    </row>
    <row r="27" spans="1:29" ht="12.95">
      <c r="A27" s="60" t="str">
        <f>IF(基本信息!B27="","",基本信息!B27)</f>
        <v/>
      </c>
      <c r="B27" s="60" t="str">
        <f>IF($A27="","",基本信息!A27)</f>
        <v/>
      </c>
      <c r="C27" s="60" t="str">
        <f>IF($A27="","",基本信息!J27)</f>
        <v/>
      </c>
      <c r="D27" s="40" t="str">
        <f>IF($A27="","",基本信息!C27)</f>
        <v/>
      </c>
      <c r="E27" s="60" t="str">
        <f>IF($A27="","",基本信息!BM27)</f>
        <v/>
      </c>
      <c r="F27" s="40" t="str">
        <f>IF($A27="","",基本信息!BN27)</f>
        <v/>
      </c>
      <c r="G27" s="125">
        <f>ROUND(MAX(计算结果!AJ27,计算结果!BC27),2)</f>
        <v>0</v>
      </c>
      <c r="H27" s="125"/>
      <c r="I27" s="125" t="str">
        <f>IF($A27="","",计算结果!Z27+基本信息!DU27)</f>
        <v/>
      </c>
      <c r="J27" s="125" t="str">
        <f>IF($A27="","",计算结果!AA27+基本信息!DV27)</f>
        <v/>
      </c>
      <c r="K27" s="125" t="str">
        <f>IF($A27="","",计算结果!AB27+基本信息!DW27)</f>
        <v/>
      </c>
      <c r="L27" s="125" t="str">
        <f>IF($A27="","",计算结果!AC27+计算结果!AD27+计算结果!AF27)</f>
        <v/>
      </c>
      <c r="M27" s="125" t="str">
        <f>IF($A27="","",计算结果!AO27)</f>
        <v/>
      </c>
      <c r="N27" s="125" t="str">
        <f>IF($A27="","",计算结果!AP27)</f>
        <v/>
      </c>
      <c r="O27" s="125" t="str">
        <f>IF($A27="","",计算结果!AQ27)</f>
        <v/>
      </c>
      <c r="P27" s="125" t="str">
        <f>IF($A27="","",计算结果!AR27)</f>
        <v/>
      </c>
      <c r="Q27" s="125" t="str">
        <f>IF($A27="","",计算结果!AS27)</f>
        <v/>
      </c>
      <c r="R27" s="125" t="str">
        <f>IF($A27="","",计算结果!CE27)</f>
        <v/>
      </c>
      <c r="S27" s="125" t="str">
        <f>IF($A27="","",基本信息!BF27)</f>
        <v/>
      </c>
      <c r="T27" s="125"/>
      <c r="U27" s="125" t="str">
        <f>IF($A27="","",基本信息!CU27)</f>
        <v/>
      </c>
      <c r="V27" s="125"/>
      <c r="W27" s="126" t="str">
        <f>IF($A27="","",基本信息!CV27)</f>
        <v/>
      </c>
      <c r="Z27" s="125" t="str">
        <f>IF($A27="","",计算结果!BD27)</f>
        <v/>
      </c>
      <c r="AA27" s="125" t="str">
        <f>(IF($A27="","",计算结果!BE27+计算结果!AX27))</f>
        <v/>
      </c>
      <c r="AB27" s="50" t="str">
        <f>IF($A27="","",计算结果!BN27)</f>
        <v/>
      </c>
      <c r="AC27" s="113" t="e">
        <f>VLOOKUP($A$2:$A$29,基本信息!$B$2:$CN$1048576,91,0)</f>
        <v>#N/A</v>
      </c>
    </row>
    <row r="28" spans="1:29" ht="12.95">
      <c r="A28" s="60" t="str">
        <f>IF(基本信息!B28="","",基本信息!B28)</f>
        <v/>
      </c>
      <c r="B28" s="60" t="str">
        <f>IF($A28="","",基本信息!A28)</f>
        <v/>
      </c>
      <c r="C28" s="60" t="str">
        <f>IF($A28="","",基本信息!J28)</f>
        <v/>
      </c>
      <c r="D28" s="40" t="str">
        <f>IF($A28="","",基本信息!C28)</f>
        <v/>
      </c>
      <c r="E28" s="60" t="str">
        <f>IF($A28="","",基本信息!BM28)</f>
        <v/>
      </c>
      <c r="F28" s="40" t="str">
        <f>IF($A28="","",基本信息!BN28)</f>
        <v/>
      </c>
      <c r="G28" s="125">
        <f>ROUND(MAX(计算结果!AJ28,计算结果!BC28),2)</f>
        <v>0</v>
      </c>
      <c r="H28" s="125"/>
      <c r="I28" s="125" t="str">
        <f>IF($A28="","",计算结果!Z28+基本信息!DU28)</f>
        <v/>
      </c>
      <c r="J28" s="125" t="str">
        <f>IF($A28="","",计算结果!AA28+基本信息!DV28)</f>
        <v/>
      </c>
      <c r="K28" s="125" t="str">
        <f>IF($A28="","",计算结果!AB28+基本信息!DW28)</f>
        <v/>
      </c>
      <c r="L28" s="125" t="str">
        <f>IF($A28="","",计算结果!AC28+计算结果!AD28+计算结果!AF28)</f>
        <v/>
      </c>
      <c r="M28" s="125" t="str">
        <f>IF($A28="","",计算结果!AO28)</f>
        <v/>
      </c>
      <c r="N28" s="125" t="str">
        <f>IF($A28="","",计算结果!AP28)</f>
        <v/>
      </c>
      <c r="O28" s="125" t="str">
        <f>IF($A28="","",计算结果!AQ28)</f>
        <v/>
      </c>
      <c r="P28" s="125" t="str">
        <f>IF($A28="","",计算结果!AR28)</f>
        <v/>
      </c>
      <c r="Q28" s="125" t="str">
        <f>IF($A28="","",计算结果!AS28)</f>
        <v/>
      </c>
      <c r="R28" s="125" t="str">
        <f>IF($A28="","",计算结果!CE28)</f>
        <v/>
      </c>
      <c r="S28" s="125" t="str">
        <f>IF($A28="","",基本信息!BF28)</f>
        <v/>
      </c>
      <c r="T28" s="125"/>
      <c r="U28" s="125" t="str">
        <f>IF($A28="","",基本信息!CU28)</f>
        <v/>
      </c>
      <c r="V28" s="125"/>
      <c r="W28" s="126" t="str">
        <f>IF($A28="","",基本信息!CV28)</f>
        <v/>
      </c>
      <c r="Z28" s="125" t="str">
        <f>IF($A28="","",计算结果!BD28)</f>
        <v/>
      </c>
      <c r="AA28" s="125" t="str">
        <f>(IF($A28="","",计算结果!BE28+计算结果!AX28))</f>
        <v/>
      </c>
      <c r="AB28" s="50" t="str">
        <f>IF($A28="","",计算结果!BN28)</f>
        <v/>
      </c>
      <c r="AC28" s="113" t="e">
        <f>VLOOKUP($A$2:$A$29,基本信息!$B$2:$CN$1048576,91,0)</f>
        <v>#N/A</v>
      </c>
    </row>
    <row r="29" spans="1:29" ht="12.95">
      <c r="A29" s="60" t="str">
        <f>IF(基本信息!B29="","",基本信息!B29)</f>
        <v/>
      </c>
      <c r="B29" s="60" t="str">
        <f>IF($A29="","",基本信息!A29)</f>
        <v/>
      </c>
      <c r="C29" s="60" t="str">
        <f>IF($A29="","",基本信息!J29)</f>
        <v/>
      </c>
      <c r="D29" s="40" t="str">
        <f>IF($A29="","",基本信息!C29)</f>
        <v/>
      </c>
      <c r="E29" s="60" t="str">
        <f>IF($A29="","",基本信息!BM29)</f>
        <v/>
      </c>
      <c r="F29" s="40" t="str">
        <f>IF($A29="","",基本信息!BN29)</f>
        <v/>
      </c>
      <c r="G29" s="125">
        <f>ROUND(MAX(计算结果!AJ29,计算结果!BC29),2)</f>
        <v>0</v>
      </c>
      <c r="H29" s="125"/>
      <c r="I29" s="125" t="str">
        <f>IF($A29="","",计算结果!Z29+基本信息!DU29)</f>
        <v/>
      </c>
      <c r="J29" s="125" t="str">
        <f>IF($A29="","",计算结果!AA29+基本信息!DV29)</f>
        <v/>
      </c>
      <c r="K29" s="125" t="str">
        <f>IF($A29="","",计算结果!AB29+基本信息!DW29)</f>
        <v/>
      </c>
      <c r="L29" s="125" t="str">
        <f>IF($A29="","",计算结果!AC29+计算结果!AD29+计算结果!AF29)</f>
        <v/>
      </c>
      <c r="M29" s="125" t="str">
        <f>IF($A29="","",计算结果!AO29)</f>
        <v/>
      </c>
      <c r="N29" s="125" t="str">
        <f>IF($A29="","",计算结果!AP29)</f>
        <v/>
      </c>
      <c r="O29" s="125" t="str">
        <f>IF($A29="","",计算结果!AQ29)</f>
        <v/>
      </c>
      <c r="P29" s="125" t="str">
        <f>IF($A29="","",计算结果!AR29)</f>
        <v/>
      </c>
      <c r="Q29" s="125" t="str">
        <f>IF($A29="","",计算结果!AS29)</f>
        <v/>
      </c>
      <c r="R29" s="125" t="str">
        <f>IF($A29="","",计算结果!CE29)</f>
        <v/>
      </c>
      <c r="S29" s="125" t="str">
        <f>IF($A29="","",基本信息!BF29)</f>
        <v/>
      </c>
      <c r="T29" s="125"/>
      <c r="U29" s="125" t="str">
        <f>IF($A29="","",基本信息!CU29)</f>
        <v/>
      </c>
      <c r="V29" s="125"/>
      <c r="W29" s="126" t="str">
        <f>IF($A29="","",基本信息!CV29)</f>
        <v/>
      </c>
      <c r="Z29" s="125" t="str">
        <f>IF($A29="","",计算结果!BD29)</f>
        <v/>
      </c>
      <c r="AA29" s="125" t="str">
        <f>(IF($A29="","",计算结果!BE29+计算结果!AX29))</f>
        <v/>
      </c>
      <c r="AB29" s="50" t="str">
        <f>IF($A29="","",计算结果!BN29)</f>
        <v/>
      </c>
      <c r="AC29" s="113" t="e">
        <f>VLOOKUP($A$2:$A$29,基本信息!$B$2:$CN$1048576,91,0)</f>
        <v>#N/A</v>
      </c>
    </row>
  </sheetData>
  <phoneticPr fontId="2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5CC2-317C-40E1-94DF-1DFD5464464F}">
  <dimension ref="A1:R2"/>
  <sheetViews>
    <sheetView workbookViewId="0">
      <selection sqref="A1:XFD2"/>
    </sheetView>
  </sheetViews>
  <sheetFormatPr defaultRowHeight="12.6"/>
  <sheetData>
    <row r="1" spans="1:18" ht="40.5" customHeight="1">
      <c r="A1" s="148" t="s">
        <v>368</v>
      </c>
      <c r="B1" s="148" t="s">
        <v>535</v>
      </c>
      <c r="C1" s="148" t="s">
        <v>204</v>
      </c>
      <c r="D1" s="148" t="s">
        <v>369</v>
      </c>
      <c r="E1" s="167" t="s">
        <v>536</v>
      </c>
      <c r="F1" s="167" t="s">
        <v>537</v>
      </c>
      <c r="G1" s="167" t="s">
        <v>538</v>
      </c>
      <c r="H1" s="166" t="s">
        <v>539</v>
      </c>
      <c r="I1" s="166" t="s">
        <v>379</v>
      </c>
      <c r="J1" s="166" t="s">
        <v>380</v>
      </c>
      <c r="K1" s="166" t="s">
        <v>293</v>
      </c>
      <c r="L1" s="166" t="s">
        <v>66</v>
      </c>
      <c r="M1" s="166" t="s">
        <v>381</v>
      </c>
      <c r="N1" s="166" t="s">
        <v>383</v>
      </c>
      <c r="O1" s="166" t="s">
        <v>540</v>
      </c>
      <c r="P1" s="166" t="s">
        <v>386</v>
      </c>
      <c r="Q1" s="168" t="s">
        <v>541</v>
      </c>
      <c r="R1" s="113" t="s">
        <v>542</v>
      </c>
    </row>
    <row r="2" spans="1:18" ht="12.95">
      <c r="A2" s="60" t="str">
        <f>IF(基本信息!B2="","",基本信息!B2)</f>
        <v>CUS1525-0002</v>
      </c>
      <c r="B2" s="60" t="str">
        <f>IF($A2="","",基本信息!A2)</f>
        <v>NNRoad-Hermetic Solutions</v>
      </c>
      <c r="C2" s="60">
        <f>IF($A2="","",基本信息!J2)</f>
        <v>1</v>
      </c>
      <c r="D2" s="40" t="str">
        <f>IF($A2="","",基本信息!C2)</f>
        <v>杨明华</v>
      </c>
      <c r="E2" s="202" t="str">
        <f>IF($A2="","",基本信息!BM2)</f>
        <v>1</v>
      </c>
      <c r="F2" s="192" t="str">
        <f>IF($A2="","",基本信息!BN2)</f>
        <v>340403197908151230</v>
      </c>
      <c r="G2" s="50">
        <f>ROUND(计算结果!BM2,2)</f>
        <v>0</v>
      </c>
      <c r="H2" s="50"/>
      <c r="I2" s="50"/>
      <c r="J2" s="50"/>
      <c r="K2" s="50"/>
      <c r="L2" s="50"/>
      <c r="M2" s="50"/>
      <c r="Q2" s="50">
        <f>ROUND(IF($A2="","",计算结果!BN2),2)</f>
        <v>0</v>
      </c>
      <c r="R2" s="113" t="str">
        <f>VLOOKUP($A$2:$A$14,基本信息!$B$2:$CO$1048576,91,0)</f>
        <v>深圳人服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9"/>
  <sheetViews>
    <sheetView workbookViewId="0">
      <selection activeCell="O19" sqref="O19"/>
    </sheetView>
  </sheetViews>
  <sheetFormatPr defaultRowHeight="12.6"/>
  <cols>
    <col min="1" max="1" width="5.42578125" style="136" bestFit="1" customWidth="1"/>
    <col min="2" max="3" width="9.28515625" style="136"/>
    <col min="4" max="4" width="5.5703125" style="136" bestFit="1" customWidth="1"/>
    <col min="5" max="6" width="9.28515625" style="136"/>
    <col min="7" max="7" width="8.7109375" bestFit="1" customWidth="1"/>
    <col min="8" max="11" width="8.7109375" customWidth="1"/>
    <col min="12" max="12" width="5.28515625" bestFit="1" customWidth="1"/>
    <col min="13" max="13" width="8.7109375" customWidth="1"/>
    <col min="14" max="14" width="9.28515625" bestFit="1" customWidth="1"/>
    <col min="15" max="15" width="11.28515625" bestFit="1" customWidth="1"/>
    <col min="16" max="16" width="5.28515625" bestFit="1" customWidth="1"/>
    <col min="17" max="18" width="11.28515625" bestFit="1" customWidth="1"/>
  </cols>
  <sheetData>
    <row r="1" spans="1:18" ht="40.15" customHeight="1">
      <c r="A1" s="148" t="s">
        <v>514</v>
      </c>
      <c r="B1" s="148" t="s">
        <v>515</v>
      </c>
      <c r="C1" s="148" t="s">
        <v>204</v>
      </c>
      <c r="D1" s="148" t="s">
        <v>516</v>
      </c>
      <c r="E1" s="167" t="s">
        <v>536</v>
      </c>
      <c r="F1" s="167" t="s">
        <v>537</v>
      </c>
      <c r="G1" s="167" t="s">
        <v>543</v>
      </c>
      <c r="H1" s="166" t="s">
        <v>539</v>
      </c>
      <c r="I1" s="166" t="s">
        <v>379</v>
      </c>
      <c r="J1" s="166" t="s">
        <v>380</v>
      </c>
      <c r="K1" s="166" t="s">
        <v>293</v>
      </c>
      <c r="L1" s="166" t="s">
        <v>66</v>
      </c>
      <c r="M1" s="166" t="s">
        <v>381</v>
      </c>
      <c r="N1" s="166" t="s">
        <v>383</v>
      </c>
      <c r="O1" s="166" t="s">
        <v>540</v>
      </c>
      <c r="P1" s="166" t="s">
        <v>386</v>
      </c>
      <c r="Q1" s="168" t="s">
        <v>544</v>
      </c>
      <c r="R1" s="113" t="s">
        <v>286</v>
      </c>
    </row>
    <row r="2" spans="1:18" ht="12.95">
      <c r="A2" s="60" t="str">
        <f>IF(基本信息!B2="","",基本信息!B2)</f>
        <v>CUS1525-0002</v>
      </c>
      <c r="B2" s="60" t="str">
        <f>IF($A2="","",基本信息!A2)</f>
        <v>NNRoad-Hermetic Solutions</v>
      </c>
      <c r="C2" s="60">
        <f>IF($A2="","",基本信息!J2)</f>
        <v>1</v>
      </c>
      <c r="D2" s="40" t="str">
        <f>IF($A2="","",基本信息!C2)</f>
        <v>杨明华</v>
      </c>
      <c r="E2" s="60" t="str">
        <f>IF($A2="","",基本信息!BM2)</f>
        <v>1</v>
      </c>
      <c r="F2" s="40" t="str">
        <f>IF($A2="","",基本信息!BN2)</f>
        <v>340403197908151230</v>
      </c>
      <c r="G2" s="50">
        <f>ROUND(计算结果!BO2,2)</f>
        <v>0</v>
      </c>
      <c r="H2" s="50"/>
      <c r="I2" s="50"/>
      <c r="J2" s="50"/>
      <c r="K2" s="50"/>
      <c r="L2" s="50"/>
      <c r="M2" s="50"/>
      <c r="Q2" s="50">
        <f>ROUND(IF($A2="","",计算结果!BP2),2)</f>
        <v>0</v>
      </c>
      <c r="R2" s="113" t="str">
        <f>VLOOKUP($A$2:$A$29,基本信息!$B$2:$CN$1048576,91,0)</f>
        <v>深圳人服</v>
      </c>
    </row>
    <row r="3" spans="1:18" ht="12.95">
      <c r="A3" s="60" t="str">
        <f>IF(基本信息!B3="","",基本信息!B3)</f>
        <v/>
      </c>
      <c r="B3" s="60" t="str">
        <f>IF($A3="","",基本信息!A3)</f>
        <v/>
      </c>
      <c r="C3" s="60" t="str">
        <f>IF($A3="","",基本信息!J3)</f>
        <v/>
      </c>
      <c r="D3" s="40" t="str">
        <f>IF($A3="","",基本信息!C3)</f>
        <v/>
      </c>
      <c r="E3" s="60" t="str">
        <f>IF($A3="","",基本信息!BM3)</f>
        <v/>
      </c>
      <c r="F3" s="40" t="str">
        <f>IF($A3="","",基本信息!BN3)</f>
        <v/>
      </c>
      <c r="G3" s="50">
        <f>ROUND(计算结果!BO3,2)</f>
        <v>0</v>
      </c>
      <c r="H3" s="50"/>
      <c r="I3" s="50"/>
      <c r="J3" s="50"/>
      <c r="K3" s="50"/>
      <c r="L3" s="50"/>
      <c r="M3" s="50"/>
      <c r="Q3" s="50" t="e">
        <f>ROUND(IF($A3="","",计算结果!BP3),2)</f>
        <v>#VALUE!</v>
      </c>
      <c r="R3" s="113" t="e">
        <f>VLOOKUP($A$2:$A$29,基本信息!$B$2:$CN$1048576,91,0)</f>
        <v>#N/A</v>
      </c>
    </row>
    <row r="4" spans="1:18" ht="12.95">
      <c r="A4" s="60" t="str">
        <f>IF(基本信息!B4="","",基本信息!B4)</f>
        <v/>
      </c>
      <c r="B4" s="60" t="str">
        <f>IF($A4="","",基本信息!A4)</f>
        <v/>
      </c>
      <c r="C4" s="60" t="str">
        <f>IF($A4="","",基本信息!J4)</f>
        <v/>
      </c>
      <c r="D4" s="40" t="str">
        <f>IF($A4="","",基本信息!C4)</f>
        <v/>
      </c>
      <c r="E4" s="60" t="str">
        <f>IF($A4="","",基本信息!BM4)</f>
        <v/>
      </c>
      <c r="F4" s="40" t="str">
        <f>IF($A4="","",基本信息!BN4)</f>
        <v/>
      </c>
      <c r="G4" s="50">
        <f>ROUND(计算结果!BO4,2)</f>
        <v>0</v>
      </c>
      <c r="H4" s="50"/>
      <c r="I4" s="50"/>
      <c r="J4" s="50"/>
      <c r="K4" s="50"/>
      <c r="L4" s="50"/>
      <c r="M4" s="50"/>
      <c r="Q4" s="50" t="e">
        <f>ROUND(IF($A4="","",计算结果!BP4),2)</f>
        <v>#VALUE!</v>
      </c>
      <c r="R4" s="113" t="e">
        <f>VLOOKUP($A$2:$A$29,基本信息!$B$2:$CN$1048576,91,0)</f>
        <v>#N/A</v>
      </c>
    </row>
    <row r="5" spans="1:18" ht="12.95">
      <c r="A5" s="60" t="str">
        <f>IF(基本信息!B5="","",基本信息!B5)</f>
        <v/>
      </c>
      <c r="B5" s="60" t="str">
        <f>IF($A5="","",基本信息!A5)</f>
        <v/>
      </c>
      <c r="C5" s="60" t="str">
        <f>IF($A5="","",基本信息!J5)</f>
        <v/>
      </c>
      <c r="D5" s="40" t="str">
        <f>IF($A5="","",基本信息!C5)</f>
        <v/>
      </c>
      <c r="E5" s="60" t="str">
        <f>IF($A5="","",基本信息!BM5)</f>
        <v/>
      </c>
      <c r="F5" s="40" t="str">
        <f>IF($A5="","",基本信息!BN5)</f>
        <v/>
      </c>
      <c r="G5" s="50">
        <f>ROUND(计算结果!BO5,2)</f>
        <v>0</v>
      </c>
      <c r="H5" s="50"/>
      <c r="I5" s="50"/>
      <c r="J5" s="50"/>
      <c r="K5" s="50"/>
      <c r="L5" s="50"/>
      <c r="M5" s="50"/>
      <c r="Q5" s="50" t="e">
        <f>ROUND(IF($A5="","",计算结果!BP5),2)</f>
        <v>#VALUE!</v>
      </c>
      <c r="R5" s="113" t="e">
        <f>VLOOKUP($A$2:$A$29,基本信息!$B$2:$CN$1048576,91,0)</f>
        <v>#N/A</v>
      </c>
    </row>
    <row r="6" spans="1:18" ht="12.95">
      <c r="A6" s="60" t="str">
        <f>IF(基本信息!B6="","",基本信息!B6)</f>
        <v/>
      </c>
      <c r="B6" s="60" t="str">
        <f>IF($A6="","",基本信息!A6)</f>
        <v/>
      </c>
      <c r="C6" s="60" t="str">
        <f>IF($A6="","",基本信息!J6)</f>
        <v/>
      </c>
      <c r="D6" s="40" t="str">
        <f>IF($A6="","",基本信息!C6)</f>
        <v/>
      </c>
      <c r="E6" s="60" t="str">
        <f>IF($A6="","",基本信息!BM6)</f>
        <v/>
      </c>
      <c r="F6" s="40" t="str">
        <f>IF($A6="","",基本信息!BN6)</f>
        <v/>
      </c>
      <c r="G6" s="50">
        <f>ROUND(计算结果!BO6,2)</f>
        <v>0</v>
      </c>
      <c r="H6" s="50"/>
      <c r="I6" s="50"/>
      <c r="J6" s="50"/>
      <c r="K6" s="50"/>
      <c r="L6" s="50"/>
      <c r="M6" s="50"/>
      <c r="Q6" s="50" t="e">
        <f>ROUND(IF($A6="","",计算结果!BP6),2)</f>
        <v>#VALUE!</v>
      </c>
      <c r="R6" s="113" t="e">
        <f>VLOOKUP($A$2:$A$29,基本信息!$B$2:$CN$1048576,91,0)</f>
        <v>#N/A</v>
      </c>
    </row>
    <row r="7" spans="1:18" ht="12.95">
      <c r="A7" s="60" t="str">
        <f>IF(基本信息!B7="","",基本信息!B7)</f>
        <v/>
      </c>
      <c r="B7" s="60" t="str">
        <f>IF($A7="","",基本信息!A7)</f>
        <v/>
      </c>
      <c r="C7" s="60" t="str">
        <f>IF($A7="","",基本信息!J7)</f>
        <v/>
      </c>
      <c r="D7" s="40" t="str">
        <f>IF($A7="","",基本信息!C7)</f>
        <v/>
      </c>
      <c r="E7" s="60" t="str">
        <f>IF($A7="","",基本信息!BM7)</f>
        <v/>
      </c>
      <c r="F7" s="40" t="str">
        <f>IF($A7="","",基本信息!BN7)</f>
        <v/>
      </c>
      <c r="G7" s="50">
        <f>ROUND(计算结果!BO7,2)</f>
        <v>0</v>
      </c>
      <c r="H7" s="50"/>
      <c r="I7" s="50"/>
      <c r="J7" s="50"/>
      <c r="K7" s="50"/>
      <c r="L7" s="50"/>
      <c r="M7" s="50"/>
      <c r="Q7" s="50" t="e">
        <f>ROUND(IF($A7="","",计算结果!BP7),2)</f>
        <v>#VALUE!</v>
      </c>
      <c r="R7" s="113" t="e">
        <f>VLOOKUP($A$2:$A$29,基本信息!$B$2:$CN$1048576,91,0)</f>
        <v>#N/A</v>
      </c>
    </row>
    <row r="8" spans="1:18" ht="12.95">
      <c r="A8" s="60" t="str">
        <f>IF(基本信息!B8="","",基本信息!B8)</f>
        <v/>
      </c>
      <c r="B8" s="60" t="str">
        <f>IF($A8="","",基本信息!A8)</f>
        <v/>
      </c>
      <c r="C8" s="60" t="str">
        <f>IF($A8="","",基本信息!J8)</f>
        <v/>
      </c>
      <c r="D8" s="40" t="str">
        <f>IF($A8="","",基本信息!C8)</f>
        <v/>
      </c>
      <c r="E8" s="60" t="str">
        <f>IF($A8="","",基本信息!BM8)</f>
        <v/>
      </c>
      <c r="F8" s="40" t="str">
        <f>IF($A8="","",基本信息!BN8)</f>
        <v/>
      </c>
      <c r="G8" s="50">
        <f>ROUND(计算结果!BO8,2)</f>
        <v>0</v>
      </c>
      <c r="H8" s="50"/>
      <c r="I8" s="50"/>
      <c r="J8" s="50"/>
      <c r="K8" s="50"/>
      <c r="L8" s="50"/>
      <c r="M8" s="50"/>
      <c r="Q8" s="50" t="e">
        <f>ROUND(IF($A8="","",计算结果!BP8),2)</f>
        <v>#VALUE!</v>
      </c>
      <c r="R8" s="113" t="e">
        <f>VLOOKUP($A$2:$A$29,基本信息!$B$2:$CN$1048576,91,0)</f>
        <v>#N/A</v>
      </c>
    </row>
    <row r="9" spans="1:18" ht="12.95">
      <c r="A9" s="60" t="str">
        <f>IF(基本信息!B9="","",基本信息!B9)</f>
        <v/>
      </c>
      <c r="B9" s="60" t="str">
        <f>IF($A9="","",基本信息!A9)</f>
        <v/>
      </c>
      <c r="C9" s="60" t="str">
        <f>IF($A9="","",基本信息!J9)</f>
        <v/>
      </c>
      <c r="D9" s="40" t="str">
        <f>IF($A9="","",基本信息!C9)</f>
        <v/>
      </c>
      <c r="E9" s="60" t="str">
        <f>IF($A9="","",基本信息!BM9)</f>
        <v/>
      </c>
      <c r="F9" s="40" t="str">
        <f>IF($A9="","",基本信息!BN9)</f>
        <v/>
      </c>
      <c r="G9" s="50">
        <f>ROUND(计算结果!BO9,2)</f>
        <v>0</v>
      </c>
      <c r="H9" s="50"/>
      <c r="I9" s="50"/>
      <c r="J9" s="50"/>
      <c r="K9" s="50"/>
      <c r="L9" s="50"/>
      <c r="M9" s="50"/>
      <c r="Q9" s="50" t="e">
        <f>ROUND(IF($A9="","",计算结果!BP9),2)</f>
        <v>#VALUE!</v>
      </c>
      <c r="R9" s="113" t="e">
        <f>VLOOKUP($A$2:$A$29,基本信息!$B$2:$CN$1048576,91,0)</f>
        <v>#N/A</v>
      </c>
    </row>
    <row r="10" spans="1:18" ht="12.95">
      <c r="A10" s="60" t="str">
        <f>IF(基本信息!B10="","",基本信息!B10)</f>
        <v/>
      </c>
      <c r="B10" s="60" t="str">
        <f>IF($A10="","",基本信息!A10)</f>
        <v/>
      </c>
      <c r="C10" s="60" t="str">
        <f>IF($A10="","",基本信息!J10)</f>
        <v/>
      </c>
      <c r="D10" s="40" t="str">
        <f>IF($A10="","",基本信息!C10)</f>
        <v/>
      </c>
      <c r="E10" s="60" t="str">
        <f>IF($A10="","",基本信息!BM10)</f>
        <v/>
      </c>
      <c r="F10" s="40" t="str">
        <f>IF($A10="","",基本信息!BN10)</f>
        <v/>
      </c>
      <c r="G10" s="50">
        <f>ROUND(计算结果!BO10,2)</f>
        <v>0</v>
      </c>
      <c r="H10" s="50"/>
      <c r="I10" s="50"/>
      <c r="J10" s="50"/>
      <c r="K10" s="50"/>
      <c r="L10" s="50"/>
      <c r="M10" s="50"/>
      <c r="Q10" s="50" t="e">
        <f>ROUND(IF($A10="","",计算结果!BP10),2)</f>
        <v>#VALUE!</v>
      </c>
      <c r="R10" s="113" t="e">
        <f>VLOOKUP($A$2:$A$29,基本信息!$B$2:$CN$1048576,91,0)</f>
        <v>#N/A</v>
      </c>
    </row>
    <row r="11" spans="1:18" ht="12.95">
      <c r="A11" s="60" t="str">
        <f>IF(基本信息!B11="","",基本信息!B11)</f>
        <v/>
      </c>
      <c r="B11" s="60" t="str">
        <f>IF($A11="","",基本信息!A11)</f>
        <v/>
      </c>
      <c r="C11" s="60" t="str">
        <f>IF($A11="","",基本信息!J11)</f>
        <v/>
      </c>
      <c r="D11" s="40" t="str">
        <f>IF($A11="","",基本信息!C11)</f>
        <v/>
      </c>
      <c r="E11" s="60" t="str">
        <f>IF($A11="","",基本信息!BM11)</f>
        <v/>
      </c>
      <c r="F11" s="40" t="str">
        <f>IF($A11="","",基本信息!BN11)</f>
        <v/>
      </c>
      <c r="G11" s="50">
        <f>ROUND(计算结果!BO11,2)</f>
        <v>0</v>
      </c>
      <c r="H11" s="50"/>
      <c r="I11" s="50"/>
      <c r="J11" s="50"/>
      <c r="K11" s="50"/>
      <c r="L11" s="50"/>
      <c r="M11" s="50"/>
      <c r="Q11" s="50" t="e">
        <f>ROUND(IF($A11="","",计算结果!BP11),2)</f>
        <v>#VALUE!</v>
      </c>
      <c r="R11" s="113" t="e">
        <f>VLOOKUP($A$2:$A$29,基本信息!$B$2:$CN$1048576,91,0)</f>
        <v>#N/A</v>
      </c>
    </row>
    <row r="12" spans="1:18" ht="12.95">
      <c r="A12" s="60" t="str">
        <f>IF(基本信息!B12="","",基本信息!B12)</f>
        <v/>
      </c>
      <c r="B12" s="60" t="str">
        <f>IF($A12="","",基本信息!A12)</f>
        <v/>
      </c>
      <c r="C12" s="60" t="str">
        <f>IF($A12="","",基本信息!J12)</f>
        <v/>
      </c>
      <c r="D12" s="40" t="str">
        <f>IF($A12="","",基本信息!C12)</f>
        <v/>
      </c>
      <c r="E12" s="60" t="str">
        <f>IF($A12="","",基本信息!BM12)</f>
        <v/>
      </c>
      <c r="F12" s="40" t="str">
        <f>IF($A12="","",基本信息!BN12)</f>
        <v/>
      </c>
      <c r="G12" s="50">
        <f>ROUND(计算结果!BO12,2)</f>
        <v>0</v>
      </c>
      <c r="H12" s="50"/>
      <c r="I12" s="50"/>
      <c r="J12" s="50"/>
      <c r="K12" s="50"/>
      <c r="L12" s="50"/>
      <c r="M12" s="50"/>
      <c r="Q12" s="50" t="e">
        <f>ROUND(IF($A12="","",计算结果!BP12),2)</f>
        <v>#VALUE!</v>
      </c>
      <c r="R12" s="113" t="e">
        <f>VLOOKUP($A$2:$A$29,基本信息!$B$2:$CN$1048576,91,0)</f>
        <v>#N/A</v>
      </c>
    </row>
    <row r="13" spans="1:18" ht="12.95">
      <c r="A13" s="60" t="str">
        <f>IF(基本信息!B13="","",基本信息!B13)</f>
        <v/>
      </c>
      <c r="B13" s="60" t="str">
        <f>IF($A13="","",基本信息!A13)</f>
        <v/>
      </c>
      <c r="C13" s="60" t="str">
        <f>IF($A13="","",基本信息!J13)</f>
        <v/>
      </c>
      <c r="D13" s="40" t="str">
        <f>IF($A13="","",基本信息!C13)</f>
        <v/>
      </c>
      <c r="E13" s="60" t="str">
        <f>IF($A13="","",基本信息!BM13)</f>
        <v/>
      </c>
      <c r="F13" s="40" t="str">
        <f>IF($A13="","",基本信息!BN13)</f>
        <v/>
      </c>
      <c r="G13" s="50">
        <f>ROUND(计算结果!BO13,2)</f>
        <v>0</v>
      </c>
      <c r="H13" s="50"/>
      <c r="I13" s="50"/>
      <c r="J13" s="50"/>
      <c r="K13" s="50"/>
      <c r="L13" s="50"/>
      <c r="M13" s="50"/>
      <c r="Q13" s="50" t="e">
        <f>ROUND(IF($A13="","",计算结果!BP13),2)</f>
        <v>#VALUE!</v>
      </c>
      <c r="R13" s="113" t="e">
        <f>VLOOKUP($A$2:$A$29,基本信息!$B$2:$CN$1048576,91,0)</f>
        <v>#N/A</v>
      </c>
    </row>
    <row r="14" spans="1:18" ht="12.95">
      <c r="A14" s="60" t="str">
        <f>IF(基本信息!B14="","",基本信息!B14)</f>
        <v/>
      </c>
      <c r="B14" s="60" t="str">
        <f>IF($A14="","",基本信息!A14)</f>
        <v/>
      </c>
      <c r="C14" s="60" t="str">
        <f>IF($A14="","",基本信息!J14)</f>
        <v/>
      </c>
      <c r="D14" s="40" t="str">
        <f>IF($A14="","",基本信息!C14)</f>
        <v/>
      </c>
      <c r="E14" s="60" t="str">
        <f>IF($A14="","",基本信息!BM14)</f>
        <v/>
      </c>
      <c r="F14" s="40" t="str">
        <f>IF($A14="","",基本信息!BN14)</f>
        <v/>
      </c>
      <c r="G14" s="50">
        <f>ROUND(计算结果!BO14,2)</f>
        <v>0</v>
      </c>
      <c r="H14" s="50"/>
      <c r="I14" s="50"/>
      <c r="J14" s="50"/>
      <c r="K14" s="50"/>
      <c r="L14" s="50"/>
      <c r="M14" s="50"/>
      <c r="Q14" s="50" t="e">
        <f>ROUND(IF($A14="","",计算结果!BP14),2)</f>
        <v>#VALUE!</v>
      </c>
      <c r="R14" s="113" t="e">
        <f>VLOOKUP($A$2:$A$29,基本信息!$B$2:$CN$1048576,91,0)</f>
        <v>#N/A</v>
      </c>
    </row>
    <row r="15" spans="1:18" ht="12.95">
      <c r="A15" s="60" t="str">
        <f>IF(基本信息!B15="","",基本信息!B15)</f>
        <v/>
      </c>
      <c r="B15" s="60" t="str">
        <f>IF($A15="","",基本信息!A15)</f>
        <v/>
      </c>
      <c r="C15" s="60" t="str">
        <f>IF($A15="","",基本信息!J15)</f>
        <v/>
      </c>
      <c r="D15" s="40" t="str">
        <f>IF($A15="","",基本信息!C15)</f>
        <v/>
      </c>
      <c r="E15" s="60" t="str">
        <f>IF($A15="","",基本信息!BM15)</f>
        <v/>
      </c>
      <c r="F15" s="40" t="str">
        <f>IF($A15="","",基本信息!BN15)</f>
        <v/>
      </c>
      <c r="G15" s="50">
        <f>ROUND(计算结果!BO15,2)</f>
        <v>0</v>
      </c>
      <c r="H15" s="50"/>
      <c r="I15" s="50"/>
      <c r="J15" s="50"/>
      <c r="K15" s="50"/>
      <c r="L15" s="50"/>
      <c r="M15" s="50"/>
      <c r="Q15" s="50" t="e">
        <f>ROUND(IF($A15="","",计算结果!BP15),2)</f>
        <v>#VALUE!</v>
      </c>
      <c r="R15" s="113" t="e">
        <f>VLOOKUP($A$2:$A$29,基本信息!$B$2:$CN$1048576,91,0)</f>
        <v>#N/A</v>
      </c>
    </row>
    <row r="16" spans="1:18" ht="12.95">
      <c r="A16" s="60" t="str">
        <f>IF(基本信息!B16="","",基本信息!B16)</f>
        <v/>
      </c>
      <c r="B16" s="60" t="str">
        <f>IF($A16="","",基本信息!A16)</f>
        <v/>
      </c>
      <c r="C16" s="60" t="str">
        <f>IF($A16="","",基本信息!J16)</f>
        <v/>
      </c>
      <c r="D16" s="40" t="str">
        <f>IF($A16="","",基本信息!C16)</f>
        <v/>
      </c>
      <c r="E16" s="60" t="str">
        <f>IF($A16="","",基本信息!BM16)</f>
        <v/>
      </c>
      <c r="F16" s="40" t="str">
        <f>IF($A16="","",基本信息!BN16)</f>
        <v/>
      </c>
      <c r="G16" s="50">
        <f>ROUND(计算结果!BO16,2)</f>
        <v>0</v>
      </c>
      <c r="H16" s="50"/>
      <c r="I16" s="50"/>
      <c r="J16" s="50"/>
      <c r="K16" s="50"/>
      <c r="L16" s="50"/>
      <c r="M16" s="50"/>
      <c r="Q16" s="50" t="e">
        <f>ROUND(IF($A16="","",计算结果!BP16),2)</f>
        <v>#VALUE!</v>
      </c>
      <c r="R16" s="113" t="e">
        <f>VLOOKUP($A$2:$A$29,基本信息!$B$2:$CN$1048576,91,0)</f>
        <v>#N/A</v>
      </c>
    </row>
    <row r="17" spans="1:18" ht="12.95">
      <c r="A17" s="60" t="str">
        <f>IF(基本信息!B17="","",基本信息!B17)</f>
        <v/>
      </c>
      <c r="B17" s="60" t="str">
        <f>IF($A17="","",基本信息!A17)</f>
        <v/>
      </c>
      <c r="C17" s="60" t="str">
        <f>IF($A17="","",基本信息!J17)</f>
        <v/>
      </c>
      <c r="D17" s="40" t="str">
        <f>IF($A17="","",基本信息!C17)</f>
        <v/>
      </c>
      <c r="E17" s="60" t="str">
        <f>IF($A17="","",基本信息!BM17)</f>
        <v/>
      </c>
      <c r="F17" s="40" t="str">
        <f>IF($A17="","",基本信息!BN17)</f>
        <v/>
      </c>
      <c r="G17" s="50">
        <f>ROUND(计算结果!BO17,2)</f>
        <v>0</v>
      </c>
      <c r="H17" s="50"/>
      <c r="I17" s="50"/>
      <c r="J17" s="50"/>
      <c r="K17" s="50"/>
      <c r="L17" s="50"/>
      <c r="M17" s="50"/>
      <c r="Q17" s="50" t="e">
        <f>ROUND(IF($A17="","",计算结果!BP17),2)</f>
        <v>#VALUE!</v>
      </c>
      <c r="R17" s="113" t="e">
        <f>VLOOKUP($A$2:$A$29,基本信息!$B$2:$CN$1048576,91,0)</f>
        <v>#N/A</v>
      </c>
    </row>
    <row r="18" spans="1:18" ht="12.95">
      <c r="A18" s="60" t="str">
        <f>IF(基本信息!B18="","",基本信息!B18)</f>
        <v/>
      </c>
      <c r="B18" s="60" t="str">
        <f>IF($A18="","",基本信息!A18)</f>
        <v/>
      </c>
      <c r="C18" s="60" t="str">
        <f>IF($A18="","",基本信息!J18)</f>
        <v/>
      </c>
      <c r="D18" s="40" t="str">
        <f>IF($A18="","",基本信息!C18)</f>
        <v/>
      </c>
      <c r="E18" s="60" t="str">
        <f>IF($A18="","",基本信息!BM18)</f>
        <v/>
      </c>
      <c r="F18" s="40" t="str">
        <f>IF($A18="","",基本信息!BN18)</f>
        <v/>
      </c>
      <c r="G18" s="50">
        <f>ROUND(计算结果!BO18,2)</f>
        <v>0</v>
      </c>
      <c r="H18" s="50"/>
      <c r="I18" s="50"/>
      <c r="J18" s="50"/>
      <c r="K18" s="50"/>
      <c r="L18" s="50"/>
      <c r="M18" s="50"/>
      <c r="Q18" s="50" t="e">
        <f>ROUND(IF($A18="","",计算结果!BP18),2)</f>
        <v>#VALUE!</v>
      </c>
      <c r="R18" s="113" t="e">
        <f>VLOOKUP($A$2:$A$29,基本信息!$B$2:$CN$1048576,91,0)</f>
        <v>#N/A</v>
      </c>
    </row>
    <row r="19" spans="1:18" ht="12.95">
      <c r="A19" s="60" t="str">
        <f>IF(基本信息!B19="","",基本信息!B19)</f>
        <v/>
      </c>
      <c r="B19" s="60" t="str">
        <f>IF($A19="","",基本信息!A19)</f>
        <v/>
      </c>
      <c r="C19" s="60" t="str">
        <f>IF($A19="","",基本信息!J19)</f>
        <v/>
      </c>
      <c r="D19" s="40" t="str">
        <f>IF($A19="","",基本信息!C19)</f>
        <v/>
      </c>
      <c r="E19" s="60" t="str">
        <f>IF($A19="","",基本信息!BM19)</f>
        <v/>
      </c>
      <c r="F19" s="40" t="str">
        <f>IF($A19="","",基本信息!BN19)</f>
        <v/>
      </c>
      <c r="G19" s="50">
        <f>ROUND(计算结果!BO19,2)</f>
        <v>0</v>
      </c>
      <c r="H19" s="50"/>
      <c r="I19" s="50"/>
      <c r="J19" s="50"/>
      <c r="K19" s="50"/>
      <c r="L19" s="50"/>
      <c r="M19" s="50"/>
      <c r="Q19" s="50" t="e">
        <f>ROUND(IF($A19="","",计算结果!BP19),2)</f>
        <v>#VALUE!</v>
      </c>
      <c r="R19" s="113" t="e">
        <f>VLOOKUP($A$2:$A$29,基本信息!$B$2:$CN$1048576,91,0)</f>
        <v>#N/A</v>
      </c>
    </row>
    <row r="20" spans="1:18" ht="12.95">
      <c r="A20" s="60" t="str">
        <f>IF(基本信息!B20="","",基本信息!B20)</f>
        <v/>
      </c>
      <c r="B20" s="60" t="str">
        <f>IF($A20="","",基本信息!A20)</f>
        <v/>
      </c>
      <c r="C20" s="60" t="str">
        <f>IF($A20="","",基本信息!J20)</f>
        <v/>
      </c>
      <c r="D20" s="40" t="str">
        <f>IF($A20="","",基本信息!C20)</f>
        <v/>
      </c>
      <c r="E20" s="60" t="str">
        <f>IF($A20="","",基本信息!BM20)</f>
        <v/>
      </c>
      <c r="F20" s="40" t="str">
        <f>IF($A20="","",基本信息!BN20)</f>
        <v/>
      </c>
      <c r="G20" s="50">
        <f>ROUND(计算结果!BO20,2)</f>
        <v>0</v>
      </c>
      <c r="H20" s="50"/>
      <c r="I20" s="50"/>
      <c r="J20" s="50"/>
      <c r="K20" s="50"/>
      <c r="L20" s="50"/>
      <c r="M20" s="50"/>
      <c r="Q20" s="50" t="e">
        <f>ROUND(IF($A20="","",计算结果!BP20),2)</f>
        <v>#VALUE!</v>
      </c>
      <c r="R20" s="113" t="e">
        <f>VLOOKUP($A$2:$A$29,基本信息!$B$2:$CN$1048576,91,0)</f>
        <v>#N/A</v>
      </c>
    </row>
    <row r="21" spans="1:18" ht="12.95">
      <c r="A21" s="60" t="str">
        <f>IF(基本信息!B21="","",基本信息!B21)</f>
        <v/>
      </c>
      <c r="B21" s="60" t="str">
        <f>IF($A21="","",基本信息!A21)</f>
        <v/>
      </c>
      <c r="C21" s="60" t="str">
        <f>IF($A21="","",基本信息!J21)</f>
        <v/>
      </c>
      <c r="D21" s="40" t="str">
        <f>IF($A21="","",基本信息!C21)</f>
        <v/>
      </c>
      <c r="E21" s="60" t="str">
        <f>IF($A21="","",基本信息!BM21)</f>
        <v/>
      </c>
      <c r="F21" s="40" t="str">
        <f>IF($A21="","",基本信息!BN21)</f>
        <v/>
      </c>
      <c r="G21" s="50">
        <f>ROUND(计算结果!BO21,2)</f>
        <v>0</v>
      </c>
      <c r="H21" s="50"/>
      <c r="I21" s="50"/>
      <c r="J21" s="50"/>
      <c r="K21" s="50"/>
      <c r="L21" s="50"/>
      <c r="M21" s="50"/>
      <c r="Q21" s="50" t="e">
        <f>ROUND(IF($A21="","",计算结果!BP21),2)</f>
        <v>#VALUE!</v>
      </c>
      <c r="R21" s="113" t="e">
        <f>VLOOKUP($A$2:$A$29,基本信息!$B$2:$CN$1048576,91,0)</f>
        <v>#N/A</v>
      </c>
    </row>
    <row r="22" spans="1:18" ht="12.95">
      <c r="A22" s="60" t="str">
        <f>IF(基本信息!B22="","",基本信息!B22)</f>
        <v/>
      </c>
      <c r="B22" s="60" t="str">
        <f>IF($A22="","",基本信息!A22)</f>
        <v/>
      </c>
      <c r="C22" s="60" t="str">
        <f>IF($A22="","",基本信息!J22)</f>
        <v/>
      </c>
      <c r="D22" s="40" t="str">
        <f>IF($A22="","",基本信息!C22)</f>
        <v/>
      </c>
      <c r="E22" s="60" t="str">
        <f>IF($A22="","",基本信息!BM22)</f>
        <v/>
      </c>
      <c r="F22" s="40" t="str">
        <f>IF($A22="","",基本信息!BN22)</f>
        <v/>
      </c>
      <c r="G22" s="50">
        <f>ROUND(计算结果!BO22,2)</f>
        <v>0</v>
      </c>
      <c r="H22" s="50"/>
      <c r="I22" s="50"/>
      <c r="J22" s="50"/>
      <c r="K22" s="50"/>
      <c r="L22" s="50"/>
      <c r="M22" s="50"/>
      <c r="Q22" s="50" t="e">
        <f>ROUND(IF($A22="","",计算结果!BP22),2)</f>
        <v>#VALUE!</v>
      </c>
      <c r="R22" s="113" t="e">
        <f>VLOOKUP($A$2:$A$29,基本信息!$B$2:$CN$1048576,91,0)</f>
        <v>#N/A</v>
      </c>
    </row>
    <row r="23" spans="1:18" ht="12.95">
      <c r="A23" s="60" t="str">
        <f>IF(基本信息!B23="","",基本信息!B23)</f>
        <v/>
      </c>
      <c r="B23" s="60" t="str">
        <f>IF($A23="","",基本信息!A23)</f>
        <v/>
      </c>
      <c r="C23" s="60" t="str">
        <f>IF($A23="","",基本信息!J23)</f>
        <v/>
      </c>
      <c r="D23" s="40" t="str">
        <f>IF($A23="","",基本信息!C23)</f>
        <v/>
      </c>
      <c r="E23" s="60" t="str">
        <f>IF($A23="","",基本信息!BM23)</f>
        <v/>
      </c>
      <c r="F23" s="40" t="str">
        <f>IF($A23="","",基本信息!BN23)</f>
        <v/>
      </c>
      <c r="G23" s="50">
        <f>ROUND(计算结果!BO23,2)</f>
        <v>0</v>
      </c>
      <c r="H23" s="50"/>
      <c r="I23" s="50"/>
      <c r="J23" s="50"/>
      <c r="K23" s="50"/>
      <c r="L23" s="50"/>
      <c r="M23" s="50"/>
      <c r="Q23" s="50" t="e">
        <f>ROUND(IF($A23="","",计算结果!BP23),2)</f>
        <v>#VALUE!</v>
      </c>
      <c r="R23" s="113" t="e">
        <f>VLOOKUP($A$2:$A$29,基本信息!$B$2:$CN$1048576,91,0)</f>
        <v>#N/A</v>
      </c>
    </row>
    <row r="24" spans="1:18" ht="12.95">
      <c r="A24" s="60" t="str">
        <f>IF(基本信息!B24="","",基本信息!B24)</f>
        <v/>
      </c>
      <c r="B24" s="60" t="str">
        <f>IF($A24="","",基本信息!A24)</f>
        <v/>
      </c>
      <c r="C24" s="60" t="str">
        <f>IF($A24="","",基本信息!J24)</f>
        <v/>
      </c>
      <c r="D24" s="40" t="str">
        <f>IF($A24="","",基本信息!C24)</f>
        <v/>
      </c>
      <c r="E24" s="60" t="str">
        <f>IF($A24="","",基本信息!BM24)</f>
        <v/>
      </c>
      <c r="F24" s="40" t="str">
        <f>IF($A24="","",基本信息!BN24)</f>
        <v/>
      </c>
      <c r="G24" s="50">
        <f>ROUND(计算结果!BO24,2)</f>
        <v>0</v>
      </c>
      <c r="H24" s="50"/>
      <c r="I24" s="50"/>
      <c r="J24" s="50"/>
      <c r="K24" s="50"/>
      <c r="L24" s="50"/>
      <c r="M24" s="50"/>
      <c r="Q24" s="50" t="e">
        <f>ROUND(IF($A24="","",计算结果!BP24),2)</f>
        <v>#VALUE!</v>
      </c>
      <c r="R24" s="113" t="e">
        <f>VLOOKUP($A$2:$A$29,基本信息!$B$2:$CN$1048576,91,0)</f>
        <v>#N/A</v>
      </c>
    </row>
    <row r="25" spans="1:18" ht="12.95">
      <c r="A25" s="60" t="str">
        <f>IF(基本信息!B25="","",基本信息!B25)</f>
        <v/>
      </c>
      <c r="B25" s="60" t="str">
        <f>IF($A25="","",基本信息!A25)</f>
        <v/>
      </c>
      <c r="C25" s="60" t="str">
        <f>IF($A25="","",基本信息!J25)</f>
        <v/>
      </c>
      <c r="D25" s="40" t="str">
        <f>IF($A25="","",基本信息!C25)</f>
        <v/>
      </c>
      <c r="E25" s="60" t="str">
        <f>IF($A25="","",基本信息!BM25)</f>
        <v/>
      </c>
      <c r="F25" s="40" t="str">
        <f>IF($A25="","",基本信息!BN25)</f>
        <v/>
      </c>
      <c r="G25" s="50">
        <f>ROUND(计算结果!BO25,2)</f>
        <v>0</v>
      </c>
      <c r="H25" s="50"/>
      <c r="I25" s="50"/>
      <c r="J25" s="50"/>
      <c r="K25" s="50"/>
      <c r="L25" s="50"/>
      <c r="M25" s="50"/>
      <c r="Q25" s="50" t="e">
        <f>ROUND(IF($A25="","",计算结果!BP25),2)</f>
        <v>#VALUE!</v>
      </c>
      <c r="R25" s="113" t="e">
        <f>VLOOKUP($A$2:$A$29,基本信息!$B$2:$CN$1048576,91,0)</f>
        <v>#N/A</v>
      </c>
    </row>
    <row r="26" spans="1:18" ht="12.95">
      <c r="A26" s="60" t="str">
        <f>IF(基本信息!B26="","",基本信息!B26)</f>
        <v/>
      </c>
      <c r="B26" s="60" t="str">
        <f>IF($A26="","",基本信息!A26)</f>
        <v/>
      </c>
      <c r="C26" s="60" t="str">
        <f>IF($A26="","",基本信息!J26)</f>
        <v/>
      </c>
      <c r="D26" s="40" t="str">
        <f>IF($A26="","",基本信息!C26)</f>
        <v/>
      </c>
      <c r="E26" s="60" t="str">
        <f>IF($A26="","",基本信息!BM26)</f>
        <v/>
      </c>
      <c r="F26" s="40" t="str">
        <f>IF($A26="","",基本信息!BN26)</f>
        <v/>
      </c>
      <c r="G26" s="50">
        <f>ROUND(计算结果!BO26,2)</f>
        <v>0</v>
      </c>
      <c r="H26" s="50"/>
      <c r="I26" s="50"/>
      <c r="J26" s="50"/>
      <c r="K26" s="50"/>
      <c r="L26" s="50"/>
      <c r="M26" s="50"/>
      <c r="Q26" s="50" t="e">
        <f>ROUND(IF($A26="","",计算结果!BP26),2)</f>
        <v>#VALUE!</v>
      </c>
      <c r="R26" s="113" t="e">
        <f>VLOOKUP($A$2:$A$29,基本信息!$B$2:$CN$1048576,91,0)</f>
        <v>#N/A</v>
      </c>
    </row>
    <row r="27" spans="1:18" ht="12.95">
      <c r="A27" s="60" t="str">
        <f>IF(基本信息!B27="","",基本信息!B27)</f>
        <v/>
      </c>
      <c r="B27" s="60" t="str">
        <f>IF($A27="","",基本信息!A27)</f>
        <v/>
      </c>
      <c r="C27" s="60" t="str">
        <f>IF($A27="","",基本信息!J27)</f>
        <v/>
      </c>
      <c r="D27" s="40" t="str">
        <f>IF($A27="","",基本信息!C27)</f>
        <v/>
      </c>
      <c r="E27" s="60" t="str">
        <f>IF($A27="","",基本信息!BM27)</f>
        <v/>
      </c>
      <c r="F27" s="40" t="str">
        <f>IF($A27="","",基本信息!BN27)</f>
        <v/>
      </c>
      <c r="G27" s="50">
        <f>ROUND(计算结果!BO27,2)</f>
        <v>0</v>
      </c>
      <c r="H27" s="50"/>
      <c r="I27" s="50"/>
      <c r="J27" s="50"/>
      <c r="K27" s="50"/>
      <c r="L27" s="50"/>
      <c r="M27" s="50"/>
      <c r="Q27" s="50" t="e">
        <f>ROUND(IF($A27="","",计算结果!BP27),2)</f>
        <v>#VALUE!</v>
      </c>
      <c r="R27" s="113" t="e">
        <f>VLOOKUP($A$2:$A$29,基本信息!$B$2:$CN$1048576,91,0)</f>
        <v>#N/A</v>
      </c>
    </row>
    <row r="28" spans="1:18" ht="12.95">
      <c r="A28" s="60" t="str">
        <f>IF(基本信息!B28="","",基本信息!B28)</f>
        <v/>
      </c>
      <c r="B28" s="60" t="str">
        <f>IF($A28="","",基本信息!A28)</f>
        <v/>
      </c>
      <c r="C28" s="60" t="str">
        <f>IF($A28="","",基本信息!J28)</f>
        <v/>
      </c>
      <c r="D28" s="40" t="str">
        <f>IF($A28="","",基本信息!C28)</f>
        <v/>
      </c>
      <c r="E28" s="60" t="str">
        <f>IF($A28="","",基本信息!BM28)</f>
        <v/>
      </c>
      <c r="F28" s="40" t="str">
        <f>IF($A28="","",基本信息!BN28)</f>
        <v/>
      </c>
      <c r="G28" s="50">
        <f>ROUND(计算结果!BO28,2)</f>
        <v>0</v>
      </c>
      <c r="H28" s="50"/>
      <c r="I28" s="50"/>
      <c r="J28" s="50"/>
      <c r="K28" s="50"/>
      <c r="L28" s="50"/>
      <c r="M28" s="50"/>
      <c r="Q28" s="50" t="e">
        <f>ROUND(IF($A28="","",计算结果!BP28),2)</f>
        <v>#VALUE!</v>
      </c>
      <c r="R28" s="113" t="e">
        <f>VLOOKUP($A$2:$A$29,基本信息!$B$2:$CN$1048576,91,0)</f>
        <v>#N/A</v>
      </c>
    </row>
    <row r="29" spans="1:18" ht="12.95">
      <c r="A29" s="60" t="str">
        <f>IF(基本信息!B29="","",基本信息!B29)</f>
        <v/>
      </c>
      <c r="B29" s="60" t="str">
        <f>IF($A29="","",基本信息!A29)</f>
        <v/>
      </c>
      <c r="C29" s="60" t="str">
        <f>IF($A29="","",基本信息!J29)</f>
        <v/>
      </c>
      <c r="D29" s="40" t="str">
        <f>IF($A29="","",基本信息!C29)</f>
        <v/>
      </c>
      <c r="E29" s="60" t="str">
        <f>IF($A29="","",基本信息!BM29)</f>
        <v/>
      </c>
      <c r="F29" s="40" t="str">
        <f>IF($A29="","",基本信息!BN29)</f>
        <v/>
      </c>
      <c r="G29" s="50">
        <f>ROUND(计算结果!BO29,2)</f>
        <v>0</v>
      </c>
      <c r="H29" s="50"/>
      <c r="I29" s="50"/>
      <c r="J29" s="50"/>
      <c r="K29" s="50"/>
      <c r="L29" s="50"/>
      <c r="M29" s="50"/>
      <c r="Q29" s="50" t="e">
        <f>ROUND(IF($A29="","",计算结果!BP29),2)</f>
        <v>#VALUE!</v>
      </c>
      <c r="R29" s="113" t="e">
        <f>VLOOKUP($A$2:$A$29,基本信息!$B$2:$CN$1048576,91,0)</f>
        <v>#N/A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FB5E-60FE-4666-B6B0-70F2F6637B3C}">
  <dimension ref="A1:R29"/>
  <sheetViews>
    <sheetView workbookViewId="0">
      <selection activeCell="R2" sqref="A2:R29"/>
    </sheetView>
  </sheetViews>
  <sheetFormatPr defaultRowHeight="12.6"/>
  <cols>
    <col min="1" max="1" width="5.42578125" style="136" bestFit="1" customWidth="1"/>
    <col min="2" max="3" width="9.28515625" style="136"/>
    <col min="4" max="4" width="5.5703125" style="136" bestFit="1" customWidth="1"/>
    <col min="5" max="6" width="9.28515625" style="136"/>
    <col min="7" max="7" width="8.7109375" bestFit="1" customWidth="1"/>
    <col min="8" max="11" width="8.7109375" customWidth="1"/>
    <col min="12" max="12" width="5.28515625" bestFit="1" customWidth="1"/>
    <col min="13" max="13" width="8.7109375" customWidth="1"/>
    <col min="14" max="14" width="9.28515625" bestFit="1" customWidth="1"/>
    <col min="15" max="15" width="11.28515625" bestFit="1" customWidth="1"/>
    <col min="16" max="16" width="5.28515625" bestFit="1" customWidth="1"/>
    <col min="17" max="18" width="11.28515625" bestFit="1" customWidth="1"/>
  </cols>
  <sheetData>
    <row r="1" spans="1:18" ht="40.15" customHeight="1">
      <c r="A1" s="148" t="s">
        <v>514</v>
      </c>
      <c r="B1" s="148" t="s">
        <v>515</v>
      </c>
      <c r="C1" s="148" t="s">
        <v>204</v>
      </c>
      <c r="D1" s="148" t="s">
        <v>516</v>
      </c>
      <c r="E1" s="167" t="s">
        <v>536</v>
      </c>
      <c r="F1" s="167" t="s">
        <v>537</v>
      </c>
      <c r="G1" s="167" t="s">
        <v>545</v>
      </c>
      <c r="H1" s="166" t="s">
        <v>539</v>
      </c>
      <c r="I1" s="166" t="s">
        <v>379</v>
      </c>
      <c r="J1" s="166" t="s">
        <v>380</v>
      </c>
      <c r="K1" s="166" t="s">
        <v>293</v>
      </c>
      <c r="L1" s="166" t="s">
        <v>66</v>
      </c>
      <c r="M1" s="166" t="s">
        <v>381</v>
      </c>
      <c r="N1" s="166" t="s">
        <v>383</v>
      </c>
      <c r="O1" s="166" t="s">
        <v>540</v>
      </c>
      <c r="P1" s="166" t="s">
        <v>386</v>
      </c>
      <c r="Q1" s="168" t="s">
        <v>546</v>
      </c>
      <c r="R1" s="113" t="s">
        <v>286</v>
      </c>
    </row>
    <row r="2" spans="1:18" ht="12.95">
      <c r="A2" s="60" t="str">
        <f>IF(基本信息!B2="","",基本信息!B2)</f>
        <v>CUS1525-0002</v>
      </c>
      <c r="B2" s="60" t="str">
        <f>IF($A2="","",基本信息!A2)</f>
        <v>NNRoad-Hermetic Solutions</v>
      </c>
      <c r="C2" s="60">
        <f>IF($A2="","",基本信息!J2)</f>
        <v>1</v>
      </c>
      <c r="D2" s="40" t="str">
        <f>IF($A2="","",基本信息!C2)</f>
        <v>杨明华</v>
      </c>
      <c r="E2" s="60" t="str">
        <f>IF($A2="","",基本信息!BM2)</f>
        <v>1</v>
      </c>
      <c r="F2" s="40" t="str">
        <f>IF($A2="","",基本信息!BN2)</f>
        <v>340403197908151230</v>
      </c>
      <c r="G2" s="50">
        <f>ROUND(计算结果!BQ2,2)</f>
        <v>0</v>
      </c>
      <c r="H2" s="50"/>
      <c r="I2" s="50"/>
      <c r="J2" s="50"/>
      <c r="K2" s="50"/>
      <c r="L2" s="50"/>
      <c r="M2" s="50"/>
      <c r="Q2" s="50">
        <f>ROUND(IF($A2="","",计算结果!BR2),2)</f>
        <v>0</v>
      </c>
      <c r="R2" s="113" t="str">
        <f>VLOOKUP($A$2:$A$29,基本信息!$B$2:$CN$1048576,91,0)</f>
        <v>深圳人服</v>
      </c>
    </row>
    <row r="3" spans="1:18" ht="12.95">
      <c r="A3" s="60" t="str">
        <f>IF(基本信息!B3="","",基本信息!B3)</f>
        <v/>
      </c>
      <c r="B3" s="60" t="str">
        <f>IF($A3="","",基本信息!A3)</f>
        <v/>
      </c>
      <c r="C3" s="60" t="str">
        <f>IF($A3="","",基本信息!J3)</f>
        <v/>
      </c>
      <c r="D3" s="40" t="str">
        <f>IF($A3="","",基本信息!C3)</f>
        <v/>
      </c>
      <c r="E3" s="60" t="str">
        <f>IF($A3="","",基本信息!BM3)</f>
        <v/>
      </c>
      <c r="F3" s="40" t="str">
        <f>IF($A3="","",基本信息!BN3)</f>
        <v/>
      </c>
      <c r="G3" s="50">
        <f>ROUND(计算结果!BQ3,2)</f>
        <v>0</v>
      </c>
      <c r="H3" s="50"/>
      <c r="I3" s="50"/>
      <c r="J3" s="50"/>
      <c r="K3" s="50"/>
      <c r="L3" s="50"/>
      <c r="M3" s="50"/>
      <c r="Q3" s="50" t="e">
        <f>ROUND(IF($A3="","",计算结果!BR3),2)</f>
        <v>#VALUE!</v>
      </c>
      <c r="R3" s="113" t="e">
        <f>VLOOKUP($A$2:$A$29,基本信息!$B$2:$CN$1048576,91,0)</f>
        <v>#N/A</v>
      </c>
    </row>
    <row r="4" spans="1:18" ht="12.95">
      <c r="A4" s="60" t="str">
        <f>IF(基本信息!B4="","",基本信息!B4)</f>
        <v/>
      </c>
      <c r="B4" s="60" t="str">
        <f>IF($A4="","",基本信息!A4)</f>
        <v/>
      </c>
      <c r="C4" s="60" t="str">
        <f>IF($A4="","",基本信息!J4)</f>
        <v/>
      </c>
      <c r="D4" s="40" t="str">
        <f>IF($A4="","",基本信息!C4)</f>
        <v/>
      </c>
      <c r="E4" s="60" t="str">
        <f>IF($A4="","",基本信息!BM4)</f>
        <v/>
      </c>
      <c r="F4" s="40" t="str">
        <f>IF($A4="","",基本信息!BN4)</f>
        <v/>
      </c>
      <c r="G4" s="50">
        <f>ROUND(计算结果!BQ4,2)</f>
        <v>0</v>
      </c>
      <c r="H4" s="50"/>
      <c r="I4" s="50"/>
      <c r="J4" s="50"/>
      <c r="K4" s="50"/>
      <c r="L4" s="50"/>
      <c r="M4" s="50"/>
      <c r="Q4" s="50" t="e">
        <f>ROUND(IF($A4="","",计算结果!BR4),2)</f>
        <v>#VALUE!</v>
      </c>
      <c r="R4" s="113" t="e">
        <f>VLOOKUP($A$2:$A$29,基本信息!$B$2:$CN$1048576,91,0)</f>
        <v>#N/A</v>
      </c>
    </row>
    <row r="5" spans="1:18" ht="12.95">
      <c r="A5" s="60" t="str">
        <f>IF(基本信息!B5="","",基本信息!B5)</f>
        <v/>
      </c>
      <c r="B5" s="60" t="str">
        <f>IF($A5="","",基本信息!A5)</f>
        <v/>
      </c>
      <c r="C5" s="60" t="str">
        <f>IF($A5="","",基本信息!J5)</f>
        <v/>
      </c>
      <c r="D5" s="40" t="str">
        <f>IF($A5="","",基本信息!C5)</f>
        <v/>
      </c>
      <c r="E5" s="60" t="str">
        <f>IF($A5="","",基本信息!BM5)</f>
        <v/>
      </c>
      <c r="F5" s="40" t="str">
        <f>IF($A5="","",基本信息!BN5)</f>
        <v/>
      </c>
      <c r="G5" s="50">
        <f>ROUND(计算结果!BQ5,2)</f>
        <v>0</v>
      </c>
      <c r="H5" s="50"/>
      <c r="I5" s="50"/>
      <c r="J5" s="50"/>
      <c r="K5" s="50"/>
      <c r="L5" s="50"/>
      <c r="M5" s="50"/>
      <c r="Q5" s="50" t="e">
        <f>ROUND(IF($A5="","",计算结果!BR5),2)</f>
        <v>#VALUE!</v>
      </c>
      <c r="R5" s="113" t="e">
        <f>VLOOKUP($A$2:$A$29,基本信息!$B$2:$CN$1048576,91,0)</f>
        <v>#N/A</v>
      </c>
    </row>
    <row r="6" spans="1:18" ht="12.95">
      <c r="A6" s="60" t="str">
        <f>IF(基本信息!B6="","",基本信息!B6)</f>
        <v/>
      </c>
      <c r="B6" s="60" t="str">
        <f>IF($A6="","",基本信息!A6)</f>
        <v/>
      </c>
      <c r="C6" s="60" t="str">
        <f>IF($A6="","",基本信息!J6)</f>
        <v/>
      </c>
      <c r="D6" s="40" t="str">
        <f>IF($A6="","",基本信息!C6)</f>
        <v/>
      </c>
      <c r="E6" s="60" t="str">
        <f>IF($A6="","",基本信息!BM6)</f>
        <v/>
      </c>
      <c r="F6" s="40" t="str">
        <f>IF($A6="","",基本信息!BN6)</f>
        <v/>
      </c>
      <c r="G6" s="50">
        <f>ROUND(计算结果!BQ6,2)</f>
        <v>0</v>
      </c>
      <c r="H6" s="50"/>
      <c r="I6" s="50"/>
      <c r="J6" s="50"/>
      <c r="K6" s="50"/>
      <c r="L6" s="50"/>
      <c r="M6" s="50"/>
      <c r="Q6" s="50" t="e">
        <f>ROUND(IF($A6="","",计算结果!BR6),2)</f>
        <v>#VALUE!</v>
      </c>
      <c r="R6" s="113" t="e">
        <f>VLOOKUP($A$2:$A$29,基本信息!$B$2:$CN$1048576,91,0)</f>
        <v>#N/A</v>
      </c>
    </row>
    <row r="7" spans="1:18" ht="12.95">
      <c r="A7" s="60" t="str">
        <f>IF(基本信息!B7="","",基本信息!B7)</f>
        <v/>
      </c>
      <c r="B7" s="60" t="str">
        <f>IF($A7="","",基本信息!A7)</f>
        <v/>
      </c>
      <c r="C7" s="60" t="str">
        <f>IF($A7="","",基本信息!J7)</f>
        <v/>
      </c>
      <c r="D7" s="40" t="str">
        <f>IF($A7="","",基本信息!C7)</f>
        <v/>
      </c>
      <c r="E7" s="60" t="str">
        <f>IF($A7="","",基本信息!BM7)</f>
        <v/>
      </c>
      <c r="F7" s="40" t="str">
        <f>IF($A7="","",基本信息!BN7)</f>
        <v/>
      </c>
      <c r="G7" s="50">
        <f>ROUND(计算结果!BQ7,2)</f>
        <v>0</v>
      </c>
      <c r="H7" s="50"/>
      <c r="I7" s="50"/>
      <c r="J7" s="50"/>
      <c r="K7" s="50"/>
      <c r="L7" s="50"/>
      <c r="M7" s="50"/>
      <c r="Q7" s="50" t="e">
        <f>ROUND(IF($A7="","",计算结果!BR7),2)</f>
        <v>#VALUE!</v>
      </c>
      <c r="R7" s="113" t="e">
        <f>VLOOKUP($A$2:$A$29,基本信息!$B$2:$CN$1048576,91,0)</f>
        <v>#N/A</v>
      </c>
    </row>
    <row r="8" spans="1:18" ht="12.95">
      <c r="A8" s="60" t="str">
        <f>IF(基本信息!B8="","",基本信息!B8)</f>
        <v/>
      </c>
      <c r="B8" s="60" t="str">
        <f>IF($A8="","",基本信息!A8)</f>
        <v/>
      </c>
      <c r="C8" s="60" t="str">
        <f>IF($A8="","",基本信息!J8)</f>
        <v/>
      </c>
      <c r="D8" s="40" t="str">
        <f>IF($A8="","",基本信息!C8)</f>
        <v/>
      </c>
      <c r="E8" s="60" t="str">
        <f>IF($A8="","",基本信息!BM8)</f>
        <v/>
      </c>
      <c r="F8" s="40" t="str">
        <f>IF($A8="","",基本信息!BN8)</f>
        <v/>
      </c>
      <c r="G8" s="50">
        <f>ROUND(计算结果!BQ8,2)</f>
        <v>0</v>
      </c>
      <c r="H8" s="50"/>
      <c r="I8" s="50"/>
      <c r="J8" s="50"/>
      <c r="K8" s="50"/>
      <c r="L8" s="50"/>
      <c r="M8" s="50"/>
      <c r="Q8" s="50" t="e">
        <f>ROUND(IF($A8="","",计算结果!BR8),2)</f>
        <v>#VALUE!</v>
      </c>
      <c r="R8" s="113" t="e">
        <f>VLOOKUP($A$2:$A$29,基本信息!$B$2:$CN$1048576,91,0)</f>
        <v>#N/A</v>
      </c>
    </row>
    <row r="9" spans="1:18" ht="12.95">
      <c r="A9" s="60" t="str">
        <f>IF(基本信息!B9="","",基本信息!B9)</f>
        <v/>
      </c>
      <c r="B9" s="60" t="str">
        <f>IF($A9="","",基本信息!A9)</f>
        <v/>
      </c>
      <c r="C9" s="60" t="str">
        <f>IF($A9="","",基本信息!J9)</f>
        <v/>
      </c>
      <c r="D9" s="40" t="str">
        <f>IF($A9="","",基本信息!C9)</f>
        <v/>
      </c>
      <c r="E9" s="60" t="str">
        <f>IF($A9="","",基本信息!BM9)</f>
        <v/>
      </c>
      <c r="F9" s="40" t="str">
        <f>IF($A9="","",基本信息!BN9)</f>
        <v/>
      </c>
      <c r="G9" s="50">
        <f>ROUND(计算结果!BQ9,2)</f>
        <v>0</v>
      </c>
      <c r="H9" s="50"/>
      <c r="I9" s="50"/>
      <c r="J9" s="50"/>
      <c r="K9" s="50"/>
      <c r="L9" s="50"/>
      <c r="M9" s="50"/>
      <c r="Q9" s="50" t="e">
        <f>ROUND(IF($A9="","",计算结果!BR9),2)</f>
        <v>#VALUE!</v>
      </c>
      <c r="R9" s="113" t="e">
        <f>VLOOKUP($A$2:$A$29,基本信息!$B$2:$CN$1048576,91,0)</f>
        <v>#N/A</v>
      </c>
    </row>
    <row r="10" spans="1:18" ht="12.95">
      <c r="A10" s="60" t="str">
        <f>IF(基本信息!B10="","",基本信息!B10)</f>
        <v/>
      </c>
      <c r="B10" s="60" t="str">
        <f>IF($A10="","",基本信息!A10)</f>
        <v/>
      </c>
      <c r="C10" s="60" t="str">
        <f>IF($A10="","",基本信息!J10)</f>
        <v/>
      </c>
      <c r="D10" s="40" t="str">
        <f>IF($A10="","",基本信息!C10)</f>
        <v/>
      </c>
      <c r="E10" s="60" t="str">
        <f>IF($A10="","",基本信息!BM10)</f>
        <v/>
      </c>
      <c r="F10" s="40" t="str">
        <f>IF($A10="","",基本信息!BN10)</f>
        <v/>
      </c>
      <c r="G10" s="50">
        <f>ROUND(计算结果!BQ10,2)</f>
        <v>0</v>
      </c>
      <c r="H10" s="50"/>
      <c r="I10" s="50"/>
      <c r="J10" s="50"/>
      <c r="K10" s="50"/>
      <c r="L10" s="50"/>
      <c r="M10" s="50"/>
      <c r="Q10" s="50" t="e">
        <f>ROUND(IF($A10="","",计算结果!BR10),2)</f>
        <v>#VALUE!</v>
      </c>
      <c r="R10" s="113" t="e">
        <f>VLOOKUP($A$2:$A$29,基本信息!$B$2:$CN$1048576,91,0)</f>
        <v>#N/A</v>
      </c>
    </row>
    <row r="11" spans="1:18" ht="12.95">
      <c r="A11" s="60" t="str">
        <f>IF(基本信息!B11="","",基本信息!B11)</f>
        <v/>
      </c>
      <c r="B11" s="60" t="str">
        <f>IF($A11="","",基本信息!A11)</f>
        <v/>
      </c>
      <c r="C11" s="60" t="str">
        <f>IF($A11="","",基本信息!J11)</f>
        <v/>
      </c>
      <c r="D11" s="40" t="str">
        <f>IF($A11="","",基本信息!C11)</f>
        <v/>
      </c>
      <c r="E11" s="60" t="str">
        <f>IF($A11="","",基本信息!BM11)</f>
        <v/>
      </c>
      <c r="F11" s="40" t="str">
        <f>IF($A11="","",基本信息!BN11)</f>
        <v/>
      </c>
      <c r="G11" s="50">
        <f>ROUND(计算结果!BQ11,2)</f>
        <v>0</v>
      </c>
      <c r="H11" s="50"/>
      <c r="I11" s="50"/>
      <c r="J11" s="50"/>
      <c r="K11" s="50"/>
      <c r="L11" s="50"/>
      <c r="M11" s="50"/>
      <c r="Q11" s="50" t="e">
        <f>ROUND(IF($A11="","",计算结果!BR11),2)</f>
        <v>#VALUE!</v>
      </c>
      <c r="R11" s="113" t="e">
        <f>VLOOKUP($A$2:$A$29,基本信息!$B$2:$CN$1048576,91,0)</f>
        <v>#N/A</v>
      </c>
    </row>
    <row r="12" spans="1:18" ht="12.95">
      <c r="A12" s="60" t="str">
        <f>IF(基本信息!B12="","",基本信息!B12)</f>
        <v/>
      </c>
      <c r="B12" s="60" t="str">
        <f>IF($A12="","",基本信息!A12)</f>
        <v/>
      </c>
      <c r="C12" s="60" t="str">
        <f>IF($A12="","",基本信息!J12)</f>
        <v/>
      </c>
      <c r="D12" s="40" t="str">
        <f>IF($A12="","",基本信息!C12)</f>
        <v/>
      </c>
      <c r="E12" s="60" t="str">
        <f>IF($A12="","",基本信息!BM12)</f>
        <v/>
      </c>
      <c r="F12" s="40" t="str">
        <f>IF($A12="","",基本信息!BN12)</f>
        <v/>
      </c>
      <c r="G12" s="50">
        <f>ROUND(计算结果!BQ12,2)</f>
        <v>0</v>
      </c>
      <c r="H12" s="50"/>
      <c r="I12" s="50"/>
      <c r="J12" s="50"/>
      <c r="K12" s="50"/>
      <c r="L12" s="50"/>
      <c r="M12" s="50"/>
      <c r="Q12" s="50" t="e">
        <f>ROUND(IF($A12="","",计算结果!BR12),2)</f>
        <v>#VALUE!</v>
      </c>
      <c r="R12" s="113" t="e">
        <f>VLOOKUP($A$2:$A$29,基本信息!$B$2:$CN$1048576,91,0)</f>
        <v>#N/A</v>
      </c>
    </row>
    <row r="13" spans="1:18" ht="12.95">
      <c r="A13" s="60" t="str">
        <f>IF(基本信息!B13="","",基本信息!B13)</f>
        <v/>
      </c>
      <c r="B13" s="60" t="str">
        <f>IF($A13="","",基本信息!A13)</f>
        <v/>
      </c>
      <c r="C13" s="60" t="str">
        <f>IF($A13="","",基本信息!J13)</f>
        <v/>
      </c>
      <c r="D13" s="40" t="str">
        <f>IF($A13="","",基本信息!C13)</f>
        <v/>
      </c>
      <c r="E13" s="60" t="str">
        <f>IF($A13="","",基本信息!BM13)</f>
        <v/>
      </c>
      <c r="F13" s="40" t="str">
        <f>IF($A13="","",基本信息!BN13)</f>
        <v/>
      </c>
      <c r="G13" s="50">
        <f>ROUND(计算结果!BQ13,2)</f>
        <v>0</v>
      </c>
      <c r="H13" s="50"/>
      <c r="I13" s="50"/>
      <c r="J13" s="50"/>
      <c r="K13" s="50"/>
      <c r="L13" s="50"/>
      <c r="M13" s="50"/>
      <c r="Q13" s="50" t="e">
        <f>ROUND(IF($A13="","",计算结果!BR13),2)</f>
        <v>#VALUE!</v>
      </c>
      <c r="R13" s="113" t="e">
        <f>VLOOKUP($A$2:$A$29,基本信息!$B$2:$CN$1048576,91,0)</f>
        <v>#N/A</v>
      </c>
    </row>
    <row r="14" spans="1:18" ht="12.95">
      <c r="A14" s="60" t="str">
        <f>IF(基本信息!B14="","",基本信息!B14)</f>
        <v/>
      </c>
      <c r="B14" s="60" t="str">
        <f>IF($A14="","",基本信息!A14)</f>
        <v/>
      </c>
      <c r="C14" s="60" t="str">
        <f>IF($A14="","",基本信息!J14)</f>
        <v/>
      </c>
      <c r="D14" s="40" t="str">
        <f>IF($A14="","",基本信息!C14)</f>
        <v/>
      </c>
      <c r="E14" s="60" t="str">
        <f>IF($A14="","",基本信息!BM14)</f>
        <v/>
      </c>
      <c r="F14" s="40" t="str">
        <f>IF($A14="","",基本信息!BN14)</f>
        <v/>
      </c>
      <c r="G14" s="50">
        <f>ROUND(计算结果!BQ14,2)</f>
        <v>0</v>
      </c>
      <c r="H14" s="50"/>
      <c r="I14" s="50"/>
      <c r="J14" s="50"/>
      <c r="K14" s="50"/>
      <c r="L14" s="50"/>
      <c r="M14" s="50"/>
      <c r="Q14" s="50" t="e">
        <f>ROUND(IF($A14="","",计算结果!BR14),2)</f>
        <v>#VALUE!</v>
      </c>
      <c r="R14" s="113" t="e">
        <f>VLOOKUP($A$2:$A$29,基本信息!$B$2:$CN$1048576,91,0)</f>
        <v>#N/A</v>
      </c>
    </row>
    <row r="15" spans="1:18" ht="12.95">
      <c r="A15" s="60" t="str">
        <f>IF(基本信息!B15="","",基本信息!B15)</f>
        <v/>
      </c>
      <c r="B15" s="60" t="str">
        <f>IF($A15="","",基本信息!A15)</f>
        <v/>
      </c>
      <c r="C15" s="60" t="str">
        <f>IF($A15="","",基本信息!J15)</f>
        <v/>
      </c>
      <c r="D15" s="40" t="str">
        <f>IF($A15="","",基本信息!C15)</f>
        <v/>
      </c>
      <c r="E15" s="60" t="str">
        <f>IF($A15="","",基本信息!BM15)</f>
        <v/>
      </c>
      <c r="F15" s="40" t="str">
        <f>IF($A15="","",基本信息!BN15)</f>
        <v/>
      </c>
      <c r="G15" s="50">
        <f>ROUND(计算结果!BQ15,2)</f>
        <v>0</v>
      </c>
      <c r="H15" s="50"/>
      <c r="I15" s="50"/>
      <c r="J15" s="50"/>
      <c r="K15" s="50"/>
      <c r="L15" s="50"/>
      <c r="M15" s="50"/>
      <c r="Q15" s="50" t="e">
        <f>ROUND(IF($A15="","",计算结果!BR15),2)</f>
        <v>#VALUE!</v>
      </c>
      <c r="R15" s="113" t="e">
        <f>VLOOKUP($A$2:$A$29,基本信息!$B$2:$CN$1048576,91,0)</f>
        <v>#N/A</v>
      </c>
    </row>
    <row r="16" spans="1:18" ht="12.95">
      <c r="A16" s="60" t="str">
        <f>IF(基本信息!B16="","",基本信息!B16)</f>
        <v/>
      </c>
      <c r="B16" s="60" t="str">
        <f>IF($A16="","",基本信息!A16)</f>
        <v/>
      </c>
      <c r="C16" s="60" t="str">
        <f>IF($A16="","",基本信息!J16)</f>
        <v/>
      </c>
      <c r="D16" s="40" t="str">
        <f>IF($A16="","",基本信息!C16)</f>
        <v/>
      </c>
      <c r="E16" s="60" t="str">
        <f>IF($A16="","",基本信息!BM16)</f>
        <v/>
      </c>
      <c r="F16" s="40" t="str">
        <f>IF($A16="","",基本信息!BN16)</f>
        <v/>
      </c>
      <c r="G16" s="50">
        <f>ROUND(计算结果!BQ16,2)</f>
        <v>0</v>
      </c>
      <c r="H16" s="50"/>
      <c r="I16" s="50"/>
      <c r="J16" s="50"/>
      <c r="K16" s="50"/>
      <c r="L16" s="50"/>
      <c r="M16" s="50"/>
      <c r="Q16" s="50" t="e">
        <f>ROUND(IF($A16="","",计算结果!BR16),2)</f>
        <v>#VALUE!</v>
      </c>
      <c r="R16" s="113" t="e">
        <f>VLOOKUP($A$2:$A$29,基本信息!$B$2:$CN$1048576,91,0)</f>
        <v>#N/A</v>
      </c>
    </row>
    <row r="17" spans="1:18" ht="12.95">
      <c r="A17" s="60" t="str">
        <f>IF(基本信息!B17="","",基本信息!B17)</f>
        <v/>
      </c>
      <c r="B17" s="60" t="str">
        <f>IF($A17="","",基本信息!A17)</f>
        <v/>
      </c>
      <c r="C17" s="60" t="str">
        <f>IF($A17="","",基本信息!J17)</f>
        <v/>
      </c>
      <c r="D17" s="40" t="str">
        <f>IF($A17="","",基本信息!C17)</f>
        <v/>
      </c>
      <c r="E17" s="60" t="str">
        <f>IF($A17="","",基本信息!BM17)</f>
        <v/>
      </c>
      <c r="F17" s="40" t="str">
        <f>IF($A17="","",基本信息!BN17)</f>
        <v/>
      </c>
      <c r="G17" s="50">
        <f>ROUND(计算结果!BQ17,2)</f>
        <v>0</v>
      </c>
      <c r="H17" s="50"/>
      <c r="I17" s="50"/>
      <c r="J17" s="50"/>
      <c r="K17" s="50"/>
      <c r="L17" s="50"/>
      <c r="M17" s="50"/>
      <c r="Q17" s="50" t="e">
        <f>ROUND(IF($A17="","",计算结果!BR17),2)</f>
        <v>#VALUE!</v>
      </c>
      <c r="R17" s="113" t="e">
        <f>VLOOKUP($A$2:$A$29,基本信息!$B$2:$CN$1048576,91,0)</f>
        <v>#N/A</v>
      </c>
    </row>
    <row r="18" spans="1:18" ht="12.95">
      <c r="A18" s="60" t="str">
        <f>IF(基本信息!B18="","",基本信息!B18)</f>
        <v/>
      </c>
      <c r="B18" s="60" t="str">
        <f>IF($A18="","",基本信息!A18)</f>
        <v/>
      </c>
      <c r="C18" s="60" t="str">
        <f>IF($A18="","",基本信息!J18)</f>
        <v/>
      </c>
      <c r="D18" s="40" t="str">
        <f>IF($A18="","",基本信息!C18)</f>
        <v/>
      </c>
      <c r="E18" s="60" t="str">
        <f>IF($A18="","",基本信息!BM18)</f>
        <v/>
      </c>
      <c r="F18" s="40" t="str">
        <f>IF($A18="","",基本信息!BN18)</f>
        <v/>
      </c>
      <c r="G18" s="50">
        <f>ROUND(计算结果!BQ18,2)</f>
        <v>0</v>
      </c>
      <c r="H18" s="50"/>
      <c r="I18" s="50"/>
      <c r="J18" s="50"/>
      <c r="K18" s="50"/>
      <c r="L18" s="50"/>
      <c r="M18" s="50"/>
      <c r="Q18" s="50" t="e">
        <f>ROUND(IF($A18="","",计算结果!BR18),2)</f>
        <v>#VALUE!</v>
      </c>
      <c r="R18" s="113" t="e">
        <f>VLOOKUP($A$2:$A$29,基本信息!$B$2:$CN$1048576,91,0)</f>
        <v>#N/A</v>
      </c>
    </row>
    <row r="19" spans="1:18" ht="12.95">
      <c r="A19" s="60" t="str">
        <f>IF(基本信息!B19="","",基本信息!B19)</f>
        <v/>
      </c>
      <c r="B19" s="60" t="str">
        <f>IF($A19="","",基本信息!A19)</f>
        <v/>
      </c>
      <c r="C19" s="60" t="str">
        <f>IF($A19="","",基本信息!J19)</f>
        <v/>
      </c>
      <c r="D19" s="40" t="str">
        <f>IF($A19="","",基本信息!C19)</f>
        <v/>
      </c>
      <c r="E19" s="60" t="str">
        <f>IF($A19="","",基本信息!BM19)</f>
        <v/>
      </c>
      <c r="F19" s="40" t="str">
        <f>IF($A19="","",基本信息!BN19)</f>
        <v/>
      </c>
      <c r="G19" s="50">
        <f>ROUND(计算结果!BQ19,2)</f>
        <v>0</v>
      </c>
      <c r="H19" s="50"/>
      <c r="I19" s="50"/>
      <c r="J19" s="50"/>
      <c r="K19" s="50"/>
      <c r="L19" s="50"/>
      <c r="M19" s="50"/>
      <c r="Q19" s="50" t="e">
        <f>ROUND(IF($A19="","",计算结果!BR19),2)</f>
        <v>#VALUE!</v>
      </c>
      <c r="R19" s="113" t="e">
        <f>VLOOKUP($A$2:$A$29,基本信息!$B$2:$CN$1048576,91,0)</f>
        <v>#N/A</v>
      </c>
    </row>
    <row r="20" spans="1:18" ht="12.95">
      <c r="A20" s="60" t="str">
        <f>IF(基本信息!B20="","",基本信息!B20)</f>
        <v/>
      </c>
      <c r="B20" s="60" t="str">
        <f>IF($A20="","",基本信息!A20)</f>
        <v/>
      </c>
      <c r="C20" s="60" t="str">
        <f>IF($A20="","",基本信息!J20)</f>
        <v/>
      </c>
      <c r="D20" s="40" t="str">
        <f>IF($A20="","",基本信息!C20)</f>
        <v/>
      </c>
      <c r="E20" s="60" t="str">
        <f>IF($A20="","",基本信息!BM20)</f>
        <v/>
      </c>
      <c r="F20" s="40" t="str">
        <f>IF($A20="","",基本信息!BN20)</f>
        <v/>
      </c>
      <c r="G20" s="50">
        <f>ROUND(计算结果!BQ20,2)</f>
        <v>0</v>
      </c>
      <c r="H20" s="50"/>
      <c r="I20" s="50"/>
      <c r="J20" s="50"/>
      <c r="K20" s="50"/>
      <c r="L20" s="50"/>
      <c r="M20" s="50"/>
      <c r="Q20" s="50" t="e">
        <f>ROUND(IF($A20="","",计算结果!BR20),2)</f>
        <v>#VALUE!</v>
      </c>
      <c r="R20" s="113" t="e">
        <f>VLOOKUP($A$2:$A$29,基本信息!$B$2:$CN$1048576,91,0)</f>
        <v>#N/A</v>
      </c>
    </row>
    <row r="21" spans="1:18" ht="12.95">
      <c r="A21" s="60" t="str">
        <f>IF(基本信息!B21="","",基本信息!B21)</f>
        <v/>
      </c>
      <c r="B21" s="60" t="str">
        <f>IF($A21="","",基本信息!A21)</f>
        <v/>
      </c>
      <c r="C21" s="60" t="str">
        <f>IF($A21="","",基本信息!J21)</f>
        <v/>
      </c>
      <c r="D21" s="40" t="str">
        <f>IF($A21="","",基本信息!C21)</f>
        <v/>
      </c>
      <c r="E21" s="60" t="str">
        <f>IF($A21="","",基本信息!BM21)</f>
        <v/>
      </c>
      <c r="F21" s="40" t="str">
        <f>IF($A21="","",基本信息!BN21)</f>
        <v/>
      </c>
      <c r="G21" s="50">
        <f>ROUND(计算结果!BQ21,2)</f>
        <v>0</v>
      </c>
      <c r="H21" s="50"/>
      <c r="I21" s="50"/>
      <c r="J21" s="50"/>
      <c r="K21" s="50"/>
      <c r="L21" s="50"/>
      <c r="M21" s="50"/>
      <c r="Q21" s="50" t="e">
        <f>ROUND(IF($A21="","",计算结果!BR21),2)</f>
        <v>#VALUE!</v>
      </c>
      <c r="R21" s="113" t="e">
        <f>VLOOKUP($A$2:$A$29,基本信息!$B$2:$CN$1048576,91,0)</f>
        <v>#N/A</v>
      </c>
    </row>
    <row r="22" spans="1:18" ht="12.95">
      <c r="A22" s="60" t="str">
        <f>IF(基本信息!B22="","",基本信息!B22)</f>
        <v/>
      </c>
      <c r="B22" s="60" t="str">
        <f>IF($A22="","",基本信息!A22)</f>
        <v/>
      </c>
      <c r="C22" s="60" t="str">
        <f>IF($A22="","",基本信息!J22)</f>
        <v/>
      </c>
      <c r="D22" s="40" t="str">
        <f>IF($A22="","",基本信息!C22)</f>
        <v/>
      </c>
      <c r="E22" s="60" t="str">
        <f>IF($A22="","",基本信息!BM22)</f>
        <v/>
      </c>
      <c r="F22" s="40" t="str">
        <f>IF($A22="","",基本信息!BN22)</f>
        <v/>
      </c>
      <c r="G22" s="50">
        <f>ROUND(计算结果!BQ22,2)</f>
        <v>0</v>
      </c>
      <c r="H22" s="50"/>
      <c r="I22" s="50"/>
      <c r="J22" s="50"/>
      <c r="K22" s="50"/>
      <c r="L22" s="50"/>
      <c r="M22" s="50"/>
      <c r="Q22" s="50" t="e">
        <f>ROUND(IF($A22="","",计算结果!BR22),2)</f>
        <v>#VALUE!</v>
      </c>
      <c r="R22" s="113" t="e">
        <f>VLOOKUP($A$2:$A$29,基本信息!$B$2:$CN$1048576,91,0)</f>
        <v>#N/A</v>
      </c>
    </row>
    <row r="23" spans="1:18" ht="12.95">
      <c r="A23" s="60" t="str">
        <f>IF(基本信息!B23="","",基本信息!B23)</f>
        <v/>
      </c>
      <c r="B23" s="60" t="str">
        <f>IF($A23="","",基本信息!A23)</f>
        <v/>
      </c>
      <c r="C23" s="60" t="str">
        <f>IF($A23="","",基本信息!J23)</f>
        <v/>
      </c>
      <c r="D23" s="40" t="str">
        <f>IF($A23="","",基本信息!C23)</f>
        <v/>
      </c>
      <c r="E23" s="60" t="str">
        <f>IF($A23="","",基本信息!BM23)</f>
        <v/>
      </c>
      <c r="F23" s="40" t="str">
        <f>IF($A23="","",基本信息!BN23)</f>
        <v/>
      </c>
      <c r="G23" s="50">
        <f>ROUND(计算结果!BQ23,2)</f>
        <v>0</v>
      </c>
      <c r="H23" s="50"/>
      <c r="I23" s="50"/>
      <c r="J23" s="50"/>
      <c r="K23" s="50"/>
      <c r="L23" s="50"/>
      <c r="M23" s="50"/>
      <c r="Q23" s="50" t="e">
        <f>ROUND(IF($A23="","",计算结果!BR23),2)</f>
        <v>#VALUE!</v>
      </c>
      <c r="R23" s="113" t="e">
        <f>VLOOKUP($A$2:$A$29,基本信息!$B$2:$CN$1048576,91,0)</f>
        <v>#N/A</v>
      </c>
    </row>
    <row r="24" spans="1:18" ht="12.95">
      <c r="A24" s="60" t="str">
        <f>IF(基本信息!B24="","",基本信息!B24)</f>
        <v/>
      </c>
      <c r="B24" s="60" t="str">
        <f>IF($A24="","",基本信息!A24)</f>
        <v/>
      </c>
      <c r="C24" s="60" t="str">
        <f>IF($A24="","",基本信息!J24)</f>
        <v/>
      </c>
      <c r="D24" s="40" t="str">
        <f>IF($A24="","",基本信息!C24)</f>
        <v/>
      </c>
      <c r="E24" s="60" t="str">
        <f>IF($A24="","",基本信息!BM24)</f>
        <v/>
      </c>
      <c r="F24" s="40" t="str">
        <f>IF($A24="","",基本信息!BN24)</f>
        <v/>
      </c>
      <c r="G24" s="50">
        <f>ROUND(计算结果!BQ24,2)</f>
        <v>0</v>
      </c>
      <c r="H24" s="50"/>
      <c r="I24" s="50"/>
      <c r="J24" s="50"/>
      <c r="K24" s="50"/>
      <c r="L24" s="50"/>
      <c r="M24" s="50"/>
      <c r="Q24" s="50" t="e">
        <f>ROUND(IF($A24="","",计算结果!BR24),2)</f>
        <v>#VALUE!</v>
      </c>
      <c r="R24" s="113" t="e">
        <f>VLOOKUP($A$2:$A$29,基本信息!$B$2:$CN$1048576,91,0)</f>
        <v>#N/A</v>
      </c>
    </row>
    <row r="25" spans="1:18" ht="12.95">
      <c r="A25" s="60" t="str">
        <f>IF(基本信息!B25="","",基本信息!B25)</f>
        <v/>
      </c>
      <c r="B25" s="60" t="str">
        <f>IF($A25="","",基本信息!A25)</f>
        <v/>
      </c>
      <c r="C25" s="60" t="str">
        <f>IF($A25="","",基本信息!J25)</f>
        <v/>
      </c>
      <c r="D25" s="40" t="str">
        <f>IF($A25="","",基本信息!C25)</f>
        <v/>
      </c>
      <c r="E25" s="60" t="str">
        <f>IF($A25="","",基本信息!BM25)</f>
        <v/>
      </c>
      <c r="F25" s="40" t="str">
        <f>IF($A25="","",基本信息!BN25)</f>
        <v/>
      </c>
      <c r="G25" s="50">
        <f>ROUND(计算结果!BQ25,2)</f>
        <v>0</v>
      </c>
      <c r="H25" s="50"/>
      <c r="I25" s="50"/>
      <c r="J25" s="50"/>
      <c r="K25" s="50"/>
      <c r="L25" s="50"/>
      <c r="M25" s="50"/>
      <c r="Q25" s="50" t="e">
        <f>ROUND(IF($A25="","",计算结果!BR25),2)</f>
        <v>#VALUE!</v>
      </c>
      <c r="R25" s="113" t="e">
        <f>VLOOKUP($A$2:$A$29,基本信息!$B$2:$CN$1048576,91,0)</f>
        <v>#N/A</v>
      </c>
    </row>
    <row r="26" spans="1:18" ht="12.95">
      <c r="A26" s="60" t="str">
        <f>IF(基本信息!B26="","",基本信息!B26)</f>
        <v/>
      </c>
      <c r="B26" s="60" t="str">
        <f>IF($A26="","",基本信息!A26)</f>
        <v/>
      </c>
      <c r="C26" s="60" t="str">
        <f>IF($A26="","",基本信息!J26)</f>
        <v/>
      </c>
      <c r="D26" s="40" t="str">
        <f>IF($A26="","",基本信息!C26)</f>
        <v/>
      </c>
      <c r="E26" s="60" t="str">
        <f>IF($A26="","",基本信息!BM26)</f>
        <v/>
      </c>
      <c r="F26" s="40" t="str">
        <f>IF($A26="","",基本信息!BN26)</f>
        <v/>
      </c>
      <c r="G26" s="50">
        <f>ROUND(计算结果!BQ26,2)</f>
        <v>0</v>
      </c>
      <c r="H26" s="50"/>
      <c r="I26" s="50"/>
      <c r="J26" s="50"/>
      <c r="K26" s="50"/>
      <c r="L26" s="50"/>
      <c r="M26" s="50"/>
      <c r="Q26" s="50" t="e">
        <f>ROUND(IF($A26="","",计算结果!BR26),2)</f>
        <v>#VALUE!</v>
      </c>
      <c r="R26" s="113" t="e">
        <f>VLOOKUP($A$2:$A$29,基本信息!$B$2:$CN$1048576,91,0)</f>
        <v>#N/A</v>
      </c>
    </row>
    <row r="27" spans="1:18" ht="12.95">
      <c r="A27" s="60" t="str">
        <f>IF(基本信息!B27="","",基本信息!B27)</f>
        <v/>
      </c>
      <c r="B27" s="60" t="str">
        <f>IF($A27="","",基本信息!A27)</f>
        <v/>
      </c>
      <c r="C27" s="60" t="str">
        <f>IF($A27="","",基本信息!J27)</f>
        <v/>
      </c>
      <c r="D27" s="40" t="str">
        <f>IF($A27="","",基本信息!C27)</f>
        <v/>
      </c>
      <c r="E27" s="60" t="str">
        <f>IF($A27="","",基本信息!BM27)</f>
        <v/>
      </c>
      <c r="F27" s="40" t="str">
        <f>IF($A27="","",基本信息!BN27)</f>
        <v/>
      </c>
      <c r="G27" s="50">
        <f>ROUND(计算结果!BQ27,2)</f>
        <v>0</v>
      </c>
      <c r="H27" s="50"/>
      <c r="I27" s="50"/>
      <c r="J27" s="50"/>
      <c r="K27" s="50"/>
      <c r="L27" s="50"/>
      <c r="M27" s="50"/>
      <c r="Q27" s="50" t="e">
        <f>ROUND(IF($A27="","",计算结果!BR27),2)</f>
        <v>#VALUE!</v>
      </c>
      <c r="R27" s="113" t="e">
        <f>VLOOKUP($A$2:$A$29,基本信息!$B$2:$CN$1048576,91,0)</f>
        <v>#N/A</v>
      </c>
    </row>
    <row r="28" spans="1:18" ht="12.95">
      <c r="A28" s="60" t="str">
        <f>IF(基本信息!B28="","",基本信息!B28)</f>
        <v/>
      </c>
      <c r="B28" s="60" t="str">
        <f>IF($A28="","",基本信息!A28)</f>
        <v/>
      </c>
      <c r="C28" s="60" t="str">
        <f>IF($A28="","",基本信息!J28)</f>
        <v/>
      </c>
      <c r="D28" s="40" t="str">
        <f>IF($A28="","",基本信息!C28)</f>
        <v/>
      </c>
      <c r="E28" s="60" t="str">
        <f>IF($A28="","",基本信息!BM28)</f>
        <v/>
      </c>
      <c r="F28" s="40" t="str">
        <f>IF($A28="","",基本信息!BN28)</f>
        <v/>
      </c>
      <c r="G28" s="50">
        <f>ROUND(计算结果!BQ28,2)</f>
        <v>0</v>
      </c>
      <c r="H28" s="50"/>
      <c r="I28" s="50"/>
      <c r="J28" s="50"/>
      <c r="K28" s="50"/>
      <c r="L28" s="50"/>
      <c r="M28" s="50"/>
      <c r="Q28" s="50" t="e">
        <f>ROUND(IF($A28="","",计算结果!BR28),2)</f>
        <v>#VALUE!</v>
      </c>
      <c r="R28" s="113" t="e">
        <f>VLOOKUP($A$2:$A$29,基本信息!$B$2:$CN$1048576,91,0)</f>
        <v>#N/A</v>
      </c>
    </row>
    <row r="29" spans="1:18" ht="12.95">
      <c r="A29" s="60" t="str">
        <f>IF(基本信息!B29="","",基本信息!B29)</f>
        <v/>
      </c>
      <c r="B29" s="60" t="str">
        <f>IF($A29="","",基本信息!A29)</f>
        <v/>
      </c>
      <c r="C29" s="60" t="str">
        <f>IF($A29="","",基本信息!J29)</f>
        <v/>
      </c>
      <c r="D29" s="40" t="str">
        <f>IF($A29="","",基本信息!C29)</f>
        <v/>
      </c>
      <c r="E29" s="60" t="str">
        <f>IF($A29="","",基本信息!BM29)</f>
        <v/>
      </c>
      <c r="F29" s="40" t="str">
        <f>IF($A29="","",基本信息!BN29)</f>
        <v/>
      </c>
      <c r="G29" s="50">
        <f>ROUND(计算结果!BQ29,2)</f>
        <v>0</v>
      </c>
      <c r="H29" s="50"/>
      <c r="I29" s="50"/>
      <c r="J29" s="50"/>
      <c r="K29" s="50"/>
      <c r="L29" s="50"/>
      <c r="M29" s="50"/>
      <c r="Q29" s="50" t="e">
        <f>ROUND(IF($A29="","",计算结果!BR29),2)</f>
        <v>#VALUE!</v>
      </c>
      <c r="R29" s="113" t="e">
        <f>VLOOKUP($A$2:$A$29,基本信息!$B$2:$CN$1048576,91,0)</f>
        <v>#N/A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H594"/>
  <sheetViews>
    <sheetView workbookViewId="0">
      <selection activeCell="F22" sqref="F22"/>
    </sheetView>
  </sheetViews>
  <sheetFormatPr defaultColWidth="9.28515625" defaultRowHeight="12.95"/>
  <cols>
    <col min="1" max="1" width="20.7109375" style="40" bestFit="1" customWidth="1"/>
    <col min="2" max="2" width="18.42578125" style="40" customWidth="1"/>
    <col min="3" max="3" width="10.42578125" style="50" bestFit="1" customWidth="1"/>
    <col min="4" max="4" width="21.28515625" style="40" customWidth="1"/>
    <col min="5" max="5" width="7.28515625" style="40" bestFit="1" customWidth="1"/>
    <col min="6" max="6" width="15.42578125" style="40" bestFit="1" customWidth="1"/>
    <col min="7" max="7" width="16" style="41" customWidth="1"/>
    <col min="8" max="8" width="13.28515625" style="41" bestFit="1" customWidth="1"/>
    <col min="9" max="9" width="9.28515625" style="41"/>
    <col min="10" max="10" width="9.42578125" style="41" bestFit="1" customWidth="1"/>
    <col min="11" max="16384" width="9.28515625" style="41"/>
  </cols>
  <sheetData>
    <row r="1" spans="1:8">
      <c r="A1" s="40" t="str">
        <f>基本信息!BR1</f>
        <v>银行账号</v>
      </c>
      <c r="B1" s="40" t="str">
        <f>基本信息!BQ1</f>
        <v>银行户名</v>
      </c>
      <c r="C1" s="58" t="str">
        <f>计算结果!BT1</f>
        <v>应扣</v>
      </c>
      <c r="D1" s="40" t="str">
        <f>基本信息!BS1</f>
        <v>银行</v>
      </c>
      <c r="E1" s="40" t="s">
        <v>547</v>
      </c>
      <c r="F1" s="40" t="str">
        <f>基本信息!A1</f>
        <v>客户简称</v>
      </c>
      <c r="G1" s="57" t="s">
        <v>548</v>
      </c>
      <c r="H1" s="41" t="s">
        <v>428</v>
      </c>
    </row>
    <row r="2" spans="1:8" s="192" customFormat="1">
      <c r="A2" s="192" t="str">
        <f>IF(AND(OR(IFERROR(FIND("交行",基本信息!BS2),0)&gt;0,IFERROR(FIND("交通银行",基本信息!BS2),0)&gt;0),计算结果!BT2=0&gt;0),基本信息!BR2,"")</f>
        <v/>
      </c>
      <c r="B2" s="192" t="str">
        <f>IF($A2="","",基本信息!BQ2)</f>
        <v/>
      </c>
      <c r="C2" s="192" t="str">
        <f>IF($A2="","",计算结果!BT2-G2-H2)</f>
        <v/>
      </c>
      <c r="D2" s="192" t="str">
        <f>IF($A2="","",基本信息!BS2)</f>
        <v/>
      </c>
      <c r="F2" s="192" t="str">
        <f>IF($A2="","",基本信息!A2)</f>
        <v/>
      </c>
      <c r="G2" s="192" t="str">
        <f>IF($A2="","",计算结果!BI2+计算结果!BJ2)</f>
        <v/>
      </c>
      <c r="H2" s="192" t="str">
        <f>IF($A2="","",计算结果!BK2)</f>
        <v/>
      </c>
    </row>
    <row r="3" spans="1:8" s="192" customFormat="1">
      <c r="A3" s="192" t="str">
        <f>IF(AND(OR(IFERROR(FIND("交行",基本信息!BS3),0)&gt;0,IFERROR(FIND("交通银行",基本信息!BS3),0)&gt;0),计算结果!BT3=0&gt;0),基本信息!BR3,"")</f>
        <v/>
      </c>
      <c r="B3" s="192" t="str">
        <f>IF($A3="","",基本信息!BQ3)</f>
        <v/>
      </c>
      <c r="C3" s="192" t="str">
        <f>IF($A3="","",计算结果!BT3-G3-H3)</f>
        <v/>
      </c>
      <c r="D3" s="192" t="str">
        <f>IF($A3="","",基本信息!BS3)</f>
        <v/>
      </c>
      <c r="F3" s="192" t="str">
        <f>IF($A3="","",基本信息!A3)</f>
        <v/>
      </c>
      <c r="G3" s="192" t="str">
        <f>IF($A3="","",计算结果!BI3+计算结果!BJ3)</f>
        <v/>
      </c>
      <c r="H3" s="192" t="str">
        <f>IF($A3="","",计算结果!BK3)</f>
        <v/>
      </c>
    </row>
    <row r="4" spans="1:8" s="192" customFormat="1">
      <c r="A4" s="192" t="str">
        <f>IF(AND(OR(IFERROR(FIND("交行",基本信息!BS4),0)&gt;0,IFERROR(FIND("交通银行",基本信息!BS4),0)&gt;0),计算结果!BT4=0&gt;0),基本信息!BR4,"")</f>
        <v/>
      </c>
      <c r="B4" s="192" t="str">
        <f>IF($A4="","",基本信息!BQ4)</f>
        <v/>
      </c>
      <c r="C4" s="192" t="str">
        <f>IF($A4="","",计算结果!BT4-G4-H4)</f>
        <v/>
      </c>
      <c r="D4" s="192" t="str">
        <f>IF($A4="","",基本信息!BS4)</f>
        <v/>
      </c>
      <c r="F4" s="192" t="str">
        <f>IF($A4="","",基本信息!A4)</f>
        <v/>
      </c>
      <c r="G4" s="192" t="str">
        <f>IF($A4="","",计算结果!BI4+计算结果!BJ4)</f>
        <v/>
      </c>
      <c r="H4" s="192" t="str">
        <f>IF($A4="","",计算结果!BK4)</f>
        <v/>
      </c>
    </row>
    <row r="5" spans="1:8" s="192" customFormat="1">
      <c r="A5" s="192" t="str">
        <f>IF(AND(OR(IFERROR(FIND("交行",基本信息!BS5),0)&gt;0,IFERROR(FIND("交通银行",基本信息!BS5),0)&gt;0),计算结果!BT5=0&gt;0),基本信息!BR5,"")</f>
        <v/>
      </c>
      <c r="B5" s="192" t="str">
        <f>IF($A5="","",基本信息!BQ5)</f>
        <v/>
      </c>
      <c r="C5" s="192" t="str">
        <f>IF($A5="","",计算结果!BT5-G5-H5)</f>
        <v/>
      </c>
      <c r="D5" s="192" t="str">
        <f>IF($A5="","",基本信息!BS5)</f>
        <v/>
      </c>
      <c r="F5" s="192" t="str">
        <f>IF($A5="","",基本信息!A5)</f>
        <v/>
      </c>
      <c r="G5" s="192" t="str">
        <f>IF($A5="","",计算结果!BI5+计算结果!BJ5)</f>
        <v/>
      </c>
      <c r="H5" s="192" t="str">
        <f>IF($A5="","",计算结果!BK5)</f>
        <v/>
      </c>
    </row>
    <row r="6" spans="1:8" s="192" customFormat="1">
      <c r="A6" s="192" t="str">
        <f>IF(AND(OR(IFERROR(FIND("交行",基本信息!BS6),0)&gt;0,IFERROR(FIND("交通银行",基本信息!BS6),0)&gt;0),计算结果!BT6=0&gt;0),基本信息!BR6,"")</f>
        <v/>
      </c>
      <c r="B6" s="192" t="str">
        <f>IF($A6="","",基本信息!BQ6)</f>
        <v/>
      </c>
      <c r="C6" s="192" t="str">
        <f>IF($A6="","",计算结果!BT6-G6-H6)</f>
        <v/>
      </c>
      <c r="D6" s="192" t="str">
        <f>IF($A6="","",基本信息!BS6)</f>
        <v/>
      </c>
      <c r="F6" s="192" t="str">
        <f>IF($A6="","",基本信息!A6)</f>
        <v/>
      </c>
      <c r="G6" s="192" t="str">
        <f>IF($A6="","",计算结果!BI6+计算结果!BJ6)</f>
        <v/>
      </c>
      <c r="H6" s="192" t="str">
        <f>IF($A6="","",计算结果!BK6)</f>
        <v/>
      </c>
    </row>
    <row r="7" spans="1:8" s="192" customFormat="1">
      <c r="A7" s="192" t="str">
        <f>IF(AND(OR(IFERROR(FIND("交行",基本信息!BS7),0)&gt;0,IFERROR(FIND("交通银行",基本信息!BS7),0)&gt;0),计算结果!BT7=0&gt;0),基本信息!BR7,"")</f>
        <v/>
      </c>
      <c r="B7" s="192" t="str">
        <f>IF($A7="","",基本信息!BQ7)</f>
        <v/>
      </c>
      <c r="C7" s="192" t="str">
        <f>IF($A7="","",计算结果!BT7-G7-H7)</f>
        <v/>
      </c>
      <c r="D7" s="192" t="str">
        <f>IF($A7="","",基本信息!BS7)</f>
        <v/>
      </c>
      <c r="F7" s="192" t="str">
        <f>IF($A7="","",基本信息!A7)</f>
        <v/>
      </c>
      <c r="G7" s="192" t="str">
        <f>IF($A7="","",计算结果!BI7+计算结果!BJ7)</f>
        <v/>
      </c>
      <c r="H7" s="192" t="str">
        <f>IF($A7="","",计算结果!BK7)</f>
        <v/>
      </c>
    </row>
    <row r="8" spans="1:8" s="192" customFormat="1">
      <c r="A8" s="192" t="str">
        <f>IF(AND(OR(IFERROR(FIND("交行",基本信息!BS8),0)&gt;0,IFERROR(FIND("交通银行",基本信息!BS8),0)&gt;0),计算结果!BT8=0&gt;0),基本信息!BR8,"")</f>
        <v/>
      </c>
      <c r="B8" s="192" t="str">
        <f>IF($A8="","",基本信息!BQ8)</f>
        <v/>
      </c>
      <c r="C8" s="192" t="str">
        <f>IF($A8="","",计算结果!BT8-G8-H8)</f>
        <v/>
      </c>
      <c r="D8" s="192" t="str">
        <f>IF($A8="","",基本信息!BS8)</f>
        <v/>
      </c>
      <c r="F8" s="192" t="str">
        <f>IF($A8="","",基本信息!A8)</f>
        <v/>
      </c>
      <c r="G8" s="192" t="str">
        <f>IF($A8="","",计算结果!BI8+计算结果!BJ8)</f>
        <v/>
      </c>
      <c r="H8" s="192" t="str">
        <f>IF($A8="","",计算结果!BK8)</f>
        <v/>
      </c>
    </row>
    <row r="9" spans="1:8" s="192" customFormat="1">
      <c r="A9" s="192" t="str">
        <f>IF(AND(OR(IFERROR(FIND("交行",基本信息!BS9),0)&gt;0,IFERROR(FIND("交通银行",基本信息!BS9),0)&gt;0),计算结果!BT9=0&gt;0),基本信息!BR9,"")</f>
        <v/>
      </c>
      <c r="B9" s="192" t="str">
        <f>IF($A9="","",基本信息!BQ9)</f>
        <v/>
      </c>
      <c r="C9" s="192" t="str">
        <f>IF($A9="","",计算结果!BT9-G9-H9)</f>
        <v/>
      </c>
      <c r="D9" s="192" t="str">
        <f>IF($A9="","",基本信息!BS9)</f>
        <v/>
      </c>
      <c r="F9" s="192" t="str">
        <f>IF($A9="","",基本信息!A9)</f>
        <v/>
      </c>
      <c r="G9" s="192" t="str">
        <f>IF($A9="","",计算结果!BI9+计算结果!BJ9)</f>
        <v/>
      </c>
      <c r="H9" s="192" t="str">
        <f>IF($A9="","",计算结果!BK9)</f>
        <v/>
      </c>
    </row>
    <row r="10" spans="1:8" s="192" customFormat="1">
      <c r="A10" s="192" t="str">
        <f>IF(AND(OR(IFERROR(FIND("交行",基本信息!BS10),0)&gt;0,IFERROR(FIND("交通银行",基本信息!BS10),0)&gt;0),计算结果!BT10=0&gt;0),基本信息!BR10,"")</f>
        <v/>
      </c>
      <c r="B10" s="192" t="str">
        <f>IF($A10="","",基本信息!BQ10)</f>
        <v/>
      </c>
      <c r="C10" s="192" t="str">
        <f>IF($A10="","",计算结果!BT10-G10-H10)</f>
        <v/>
      </c>
      <c r="D10" s="192" t="str">
        <f>IF($A10="","",基本信息!BS10)</f>
        <v/>
      </c>
      <c r="F10" s="192" t="str">
        <f>IF($A10="","",基本信息!A10)</f>
        <v/>
      </c>
      <c r="G10" s="192" t="str">
        <f>IF($A10="","",计算结果!BI10+计算结果!BJ10)</f>
        <v/>
      </c>
      <c r="H10" s="192" t="str">
        <f>IF($A10="","",计算结果!BK10)</f>
        <v/>
      </c>
    </row>
    <row r="11" spans="1:8" s="192" customFormat="1">
      <c r="A11" s="192" t="str">
        <f>IF(AND(OR(IFERROR(FIND("交行",基本信息!BS11),0)&gt;0,IFERROR(FIND("交通银行",基本信息!BS11),0)&gt;0),计算结果!BT11=0&gt;0),基本信息!BR11,"")</f>
        <v/>
      </c>
      <c r="B11" s="192" t="str">
        <f>IF($A11="","",基本信息!BQ11)</f>
        <v/>
      </c>
      <c r="C11" s="192" t="str">
        <f>IF($A11="","",计算结果!BT11-G11-H11)</f>
        <v/>
      </c>
      <c r="D11" s="192" t="str">
        <f>IF($A11="","",基本信息!BS11)</f>
        <v/>
      </c>
      <c r="F11" s="192" t="str">
        <f>IF($A11="","",基本信息!A11)</f>
        <v/>
      </c>
      <c r="G11" s="192" t="str">
        <f>IF($A11="","",计算结果!BI11+计算结果!BJ11)</f>
        <v/>
      </c>
      <c r="H11" s="192" t="str">
        <f>IF($A11="","",计算结果!BK11)</f>
        <v/>
      </c>
    </row>
    <row r="12" spans="1:8" s="192" customFormat="1">
      <c r="A12" s="192" t="str">
        <f>IF(AND(OR(IFERROR(FIND("交行",基本信息!BS12),0)&gt;0,IFERROR(FIND("交通银行",基本信息!BS12),0)&gt;0),计算结果!BT12=0&gt;0),基本信息!BR12,"")</f>
        <v/>
      </c>
      <c r="B12" s="192" t="str">
        <f>IF($A12="","",基本信息!BQ12)</f>
        <v/>
      </c>
      <c r="C12" s="192" t="str">
        <f>IF($A12="","",计算结果!BT12-G12-H12)</f>
        <v/>
      </c>
      <c r="D12" s="192" t="str">
        <f>IF($A12="","",基本信息!BS12)</f>
        <v/>
      </c>
      <c r="F12" s="192" t="str">
        <f>IF($A12="","",基本信息!A12)</f>
        <v/>
      </c>
      <c r="G12" s="192" t="str">
        <f>IF($A12="","",计算结果!BI12+计算结果!BJ12)</f>
        <v/>
      </c>
      <c r="H12" s="192" t="str">
        <f>IF($A12="","",计算结果!BK12)</f>
        <v/>
      </c>
    </row>
    <row r="13" spans="1:8" s="192" customFormat="1">
      <c r="A13" s="192" t="str">
        <f>IF(AND(OR(IFERROR(FIND("交行",基本信息!BS13),0)&gt;0,IFERROR(FIND("交通银行",基本信息!BS13),0)&gt;0),计算结果!BT13=0&gt;0),基本信息!BR13,"")</f>
        <v/>
      </c>
      <c r="B13" s="192" t="str">
        <f>IF($A13="","",基本信息!BQ13)</f>
        <v/>
      </c>
      <c r="C13" s="192" t="str">
        <f>IF($A13="","",计算结果!BT13-G13-H13)</f>
        <v/>
      </c>
      <c r="D13" s="192" t="str">
        <f>IF($A13="","",基本信息!BS13)</f>
        <v/>
      </c>
      <c r="F13" s="192" t="str">
        <f>IF($A13="","",基本信息!A13)</f>
        <v/>
      </c>
      <c r="G13" s="192" t="str">
        <f>IF($A13="","",计算结果!BI13+计算结果!BJ13)</f>
        <v/>
      </c>
      <c r="H13" s="192" t="str">
        <f>IF($A13="","",计算结果!BK13)</f>
        <v/>
      </c>
    </row>
    <row r="14" spans="1:8" s="192" customFormat="1">
      <c r="A14" s="192" t="str">
        <f>IF(AND(OR(IFERROR(FIND("交行",基本信息!BS14),0)&gt;0,IFERROR(FIND("交通银行",基本信息!BS14),0)&gt;0),计算结果!BT14=0&gt;0),基本信息!BR14,"")</f>
        <v/>
      </c>
      <c r="B14" s="192" t="str">
        <f>IF($A14="","",基本信息!BQ14)</f>
        <v/>
      </c>
      <c r="C14" s="192" t="str">
        <f>IF($A14="","",计算结果!BT14-G14-H14)</f>
        <v/>
      </c>
      <c r="D14" s="192" t="str">
        <f>IF($A14="","",基本信息!BS14)</f>
        <v/>
      </c>
      <c r="F14" s="192" t="str">
        <f>IF($A14="","",基本信息!A14)</f>
        <v/>
      </c>
      <c r="G14" s="192" t="str">
        <f>IF($A14="","",计算结果!BI14+计算结果!BJ14)</f>
        <v/>
      </c>
      <c r="H14" s="192" t="str">
        <f>IF($A14="","",计算结果!BK14)</f>
        <v/>
      </c>
    </row>
    <row r="15" spans="1:8">
      <c r="A15" s="40" t="str">
        <f>IF(AND(OR(IFERROR(FIND("交行",基本信息!BS4),0)&gt;0,IFERROR(FIND("交通银行",基本信息!BS4),0)&gt;0),计算结果!BT4&gt;0),基本信息!BR4,"")</f>
        <v/>
      </c>
      <c r="B15" s="40" t="str">
        <f>IF($A15="","",基本信息!BQ4)</f>
        <v/>
      </c>
      <c r="C15" s="50" t="str">
        <f>IF($A15="","",计算结果!BT4-G15-H15)</f>
        <v/>
      </c>
      <c r="D15" s="40" t="str">
        <f>IF($A15="","",基本信息!BS4)</f>
        <v/>
      </c>
      <c r="F15" s="40" t="str">
        <f>IF($A15="","",基本信息!A4)</f>
        <v/>
      </c>
      <c r="G15" s="50" t="str">
        <f>IF($A15="","",计算结果!BI4+计算结果!BJ4)</f>
        <v/>
      </c>
      <c r="H15" s="50" t="str">
        <f>IF($A15="","",计算结果!BK4)</f>
        <v/>
      </c>
    </row>
    <row r="16" spans="1:8">
      <c r="A16" s="40" t="str">
        <f>IF(AND(OR(IFERROR(FIND("交行",基本信息!BS5),0)&gt;0,IFERROR(FIND("交通银行",基本信息!BS5),0)&gt;0),计算结果!BT5&gt;0),基本信息!BR5,"")</f>
        <v/>
      </c>
      <c r="B16" s="40" t="str">
        <f>IF($A16="","",基本信息!BQ5)</f>
        <v/>
      </c>
      <c r="C16" s="50" t="str">
        <f>IF($A16="","",计算结果!BT5-G16-H16)</f>
        <v/>
      </c>
      <c r="D16" s="40" t="str">
        <f>IF($A16="","",基本信息!BS5)</f>
        <v/>
      </c>
      <c r="F16" s="40" t="str">
        <f>IF($A16="","",基本信息!A5)</f>
        <v/>
      </c>
      <c r="G16" s="50" t="str">
        <f>IF($A16="","",计算结果!BI5+计算结果!BJ5)</f>
        <v/>
      </c>
      <c r="H16" s="50" t="str">
        <f>IF($A16="","",计算结果!BK5)</f>
        <v/>
      </c>
    </row>
    <row r="17" spans="1:8">
      <c r="A17" s="40" t="str">
        <f>IF(AND(OR(IFERROR(FIND("交行",基本信息!BS6),0)&gt;0,IFERROR(FIND("交通银行",基本信息!BS6),0)&gt;0),计算结果!BT6&gt;0),基本信息!BR6,"")</f>
        <v/>
      </c>
      <c r="B17" s="40" t="str">
        <f>IF($A17="","",基本信息!BQ6)</f>
        <v/>
      </c>
      <c r="C17" s="50" t="str">
        <f>IF($A17="","",计算结果!BT6-G17-H17)</f>
        <v/>
      </c>
      <c r="D17" s="40" t="str">
        <f>IF($A17="","",基本信息!BS6)</f>
        <v/>
      </c>
      <c r="F17" s="40" t="str">
        <f>IF($A17="","",基本信息!A6)</f>
        <v/>
      </c>
      <c r="G17" s="50" t="str">
        <f>IF($A17="","",计算结果!BI6+计算结果!BJ6)</f>
        <v/>
      </c>
      <c r="H17" s="50" t="str">
        <f>IF($A17="","",计算结果!BK6)</f>
        <v/>
      </c>
    </row>
    <row r="18" spans="1:8">
      <c r="A18" s="40" t="str">
        <f>IF(AND(OR(IFERROR(FIND("交行",基本信息!BS7),0)&gt;0,IFERROR(FIND("交通银行",基本信息!BS7),0)&gt;0),计算结果!BT7&gt;0),基本信息!BR7,"")</f>
        <v/>
      </c>
      <c r="B18" s="40" t="str">
        <f>IF($A18="","",基本信息!BQ7)</f>
        <v/>
      </c>
      <c r="C18" s="50" t="str">
        <f>IF($A18="","",计算结果!BT7-G18-H18)</f>
        <v/>
      </c>
      <c r="D18" s="40" t="str">
        <f>IF($A18="","",基本信息!BS7)</f>
        <v/>
      </c>
      <c r="F18" s="40" t="str">
        <f>IF($A18="","",基本信息!A7)</f>
        <v/>
      </c>
      <c r="G18" s="50" t="str">
        <f>IF($A18="","",计算结果!BI7+计算结果!BJ7)</f>
        <v/>
      </c>
      <c r="H18" s="50" t="str">
        <f>IF($A18="","",计算结果!BK7)</f>
        <v/>
      </c>
    </row>
    <row r="19" spans="1:8">
      <c r="A19" s="40" t="str">
        <f>IF(AND(OR(IFERROR(FIND("交行",基本信息!BS8),0)&gt;0,IFERROR(FIND("交通银行",基本信息!BS8),0)&gt;0),计算结果!BT8&gt;0),基本信息!BR8,"")</f>
        <v/>
      </c>
      <c r="B19" s="40" t="str">
        <f>IF($A19="","",基本信息!BQ8)</f>
        <v/>
      </c>
      <c r="C19" s="50" t="str">
        <f>IF($A19="","",计算结果!BT8-G19-H19)</f>
        <v/>
      </c>
      <c r="D19" s="40" t="str">
        <f>IF($A19="","",基本信息!BS8)</f>
        <v/>
      </c>
      <c r="F19" s="40" t="str">
        <f>IF($A19="","",基本信息!A8)</f>
        <v/>
      </c>
      <c r="G19" s="50" t="str">
        <f>IF($A19="","",计算结果!BI8+计算结果!BJ8)</f>
        <v/>
      </c>
      <c r="H19" s="50" t="str">
        <f>IF($A19="","",计算结果!BK8)</f>
        <v/>
      </c>
    </row>
    <row r="20" spans="1:8">
      <c r="A20" s="40" t="str">
        <f>IF(AND(OR(IFERROR(FIND("交行",基本信息!BS9),0)&gt;0,IFERROR(FIND("交通银行",基本信息!BS9),0)&gt;0),计算结果!BT9&gt;0),基本信息!BR9,"")</f>
        <v/>
      </c>
      <c r="B20" s="40" t="str">
        <f>IF($A20="","",基本信息!BQ9)</f>
        <v/>
      </c>
      <c r="C20" s="50" t="str">
        <f>IF($A20="","",计算结果!BT9-G20-H20)</f>
        <v/>
      </c>
      <c r="D20" s="40" t="str">
        <f>IF($A20="","",基本信息!BS9)</f>
        <v/>
      </c>
      <c r="F20" s="40" t="str">
        <f>IF($A20="","",基本信息!A9)</f>
        <v/>
      </c>
      <c r="G20" s="50" t="str">
        <f>IF($A20="","",计算结果!BI9+计算结果!BJ9)</f>
        <v/>
      </c>
      <c r="H20" s="50" t="str">
        <f>IF($A20="","",计算结果!BK9)</f>
        <v/>
      </c>
    </row>
    <row r="21" spans="1:8">
      <c r="A21" s="40" t="str">
        <f>IF(AND(OR(IFERROR(FIND("交行",基本信息!BS10),0)&gt;0,IFERROR(FIND("交通银行",基本信息!BS10),0)&gt;0),计算结果!BT10&gt;0),基本信息!BR10,"")</f>
        <v/>
      </c>
      <c r="B21" s="40" t="str">
        <f>IF($A21="","",基本信息!BQ10)</f>
        <v/>
      </c>
      <c r="C21" s="50" t="str">
        <f>IF($A21="","",计算结果!BT10-G21-H21)</f>
        <v/>
      </c>
      <c r="D21" s="40" t="str">
        <f>IF($A21="","",基本信息!BS10)</f>
        <v/>
      </c>
      <c r="F21" s="40" t="str">
        <f>IF($A21="","",基本信息!A10)</f>
        <v/>
      </c>
      <c r="G21" s="50" t="str">
        <f>IF($A21="","",计算结果!BI10+计算结果!BJ10)</f>
        <v/>
      </c>
      <c r="H21" s="50" t="str">
        <f>IF($A21="","",计算结果!BK10)</f>
        <v/>
      </c>
    </row>
    <row r="22" spans="1:8">
      <c r="A22" s="40" t="str">
        <f>IF(AND(OR(IFERROR(FIND("交行",基本信息!BS11),0)&gt;0,IFERROR(FIND("交通银行",基本信息!BS11),0)&gt;0),计算结果!BT11&gt;0),基本信息!BR11,"")</f>
        <v/>
      </c>
      <c r="B22" s="40" t="str">
        <f>IF($A22="","",基本信息!BQ11)</f>
        <v/>
      </c>
      <c r="C22" s="50" t="str">
        <f>IF($A22="","",计算结果!BT11-G22-H22)</f>
        <v/>
      </c>
      <c r="D22" s="40" t="str">
        <f>IF($A22="","",基本信息!BS11)</f>
        <v/>
      </c>
      <c r="F22" s="40" t="str">
        <f>IF($A22="","",基本信息!A11)</f>
        <v/>
      </c>
      <c r="G22" s="50" t="str">
        <f>IF($A22="","",计算结果!BI11+计算结果!BJ11)</f>
        <v/>
      </c>
      <c r="H22" s="50" t="str">
        <f>IF($A22="","",计算结果!BK11)</f>
        <v/>
      </c>
    </row>
    <row r="23" spans="1:8">
      <c r="A23" s="40" t="str">
        <f>IF(AND(OR(IFERROR(FIND("交行",基本信息!BS12),0)&gt;0,IFERROR(FIND("交通银行",基本信息!BS12),0)&gt;0),计算结果!BT12&gt;0),基本信息!BR12,"")</f>
        <v/>
      </c>
      <c r="B23" s="40" t="str">
        <f>IF($A23="","",基本信息!BQ12)</f>
        <v/>
      </c>
      <c r="C23" s="50" t="str">
        <f>IF($A23="","",计算结果!BT12-G23-H23)</f>
        <v/>
      </c>
      <c r="D23" s="40" t="str">
        <f>IF($A23="","",基本信息!BS12)</f>
        <v/>
      </c>
      <c r="F23" s="40" t="str">
        <f>IF($A23="","",基本信息!A12)</f>
        <v/>
      </c>
      <c r="G23" s="50" t="str">
        <f>IF($A23="","",计算结果!BI12+计算结果!BJ12)</f>
        <v/>
      </c>
      <c r="H23" s="50" t="str">
        <f>IF($A23="","",计算结果!BK12)</f>
        <v/>
      </c>
    </row>
    <row r="24" spans="1:8">
      <c r="A24" s="40" t="str">
        <f>IF(AND(OR(IFERROR(FIND("交行",基本信息!BS13),0)&gt;0,IFERROR(FIND("交通银行",基本信息!BS13),0)&gt;0),计算结果!BT13&gt;0),基本信息!BR13,"")</f>
        <v/>
      </c>
      <c r="B24" s="40" t="str">
        <f>IF($A24="","",基本信息!BQ13)</f>
        <v/>
      </c>
      <c r="C24" s="50" t="str">
        <f>IF($A24="","",计算结果!BT13-G24-H24)</f>
        <v/>
      </c>
      <c r="D24" s="40" t="str">
        <f>IF($A24="","",基本信息!BS13)</f>
        <v/>
      </c>
      <c r="F24" s="40" t="str">
        <f>IF($A24="","",基本信息!A13)</f>
        <v/>
      </c>
      <c r="G24" s="50" t="str">
        <f>IF($A24="","",计算结果!BI13+计算结果!BJ13)</f>
        <v/>
      </c>
      <c r="H24" s="50" t="str">
        <f>IF($A24="","",计算结果!BK13)</f>
        <v/>
      </c>
    </row>
    <row r="25" spans="1:8">
      <c r="A25" s="40" t="str">
        <f>IF(AND(OR(IFERROR(FIND("交行",基本信息!BS14),0)&gt;0,IFERROR(FIND("交通银行",基本信息!BS14),0)&gt;0),计算结果!BT14&gt;0),基本信息!BR14,"")</f>
        <v/>
      </c>
      <c r="B25" s="40" t="str">
        <f>IF($A25="","",基本信息!BQ14)</f>
        <v/>
      </c>
      <c r="C25" s="50" t="str">
        <f>IF($A25="","",计算结果!BT14-G25-H25)</f>
        <v/>
      </c>
      <c r="D25" s="40" t="str">
        <f>IF($A25="","",基本信息!BS14)</f>
        <v/>
      </c>
      <c r="F25" s="40" t="str">
        <f>IF($A25="","",基本信息!A14)</f>
        <v/>
      </c>
      <c r="G25" s="50" t="str">
        <f>IF($A25="","",计算结果!BI14+计算结果!BJ14)</f>
        <v/>
      </c>
      <c r="H25" s="50" t="str">
        <f>IF($A25="","",计算结果!BK14)</f>
        <v/>
      </c>
    </row>
    <row r="26" spans="1:8">
      <c r="A26" s="40" t="str">
        <f>IF(AND(OR(IFERROR(FIND("交行",基本信息!BS15),0)&gt;0,IFERROR(FIND("交通银行",基本信息!BS15),0)&gt;0),计算结果!BT15&gt;0),基本信息!BR15,"")</f>
        <v/>
      </c>
      <c r="B26" s="40" t="str">
        <f>IF($A26="","",基本信息!BQ15)</f>
        <v/>
      </c>
      <c r="C26" s="50" t="str">
        <f>IF($A26="","",计算结果!BT15-G26-H26)</f>
        <v/>
      </c>
      <c r="D26" s="40" t="str">
        <f>IF($A26="","",基本信息!BS15)</f>
        <v/>
      </c>
      <c r="F26" s="40" t="str">
        <f>IF($A26="","",基本信息!A15)</f>
        <v/>
      </c>
      <c r="G26" s="50" t="str">
        <f>IF($A26="","",计算结果!BI15+计算结果!BJ15)</f>
        <v/>
      </c>
      <c r="H26" s="50" t="str">
        <f>IF($A26="","",计算结果!BK15)</f>
        <v/>
      </c>
    </row>
    <row r="27" spans="1:8">
      <c r="A27" s="40" t="str">
        <f>IF(AND(OR(IFERROR(FIND("交行",基本信息!BS16),0)&gt;0,IFERROR(FIND("交通银行",基本信息!BS16),0)&gt;0),计算结果!BT16&gt;0),基本信息!BR16,"")</f>
        <v/>
      </c>
      <c r="B27" s="40" t="str">
        <f>IF($A27="","",基本信息!BQ16)</f>
        <v/>
      </c>
      <c r="C27" s="50" t="str">
        <f>IF($A27="","",计算结果!BT16-G27-H27)</f>
        <v/>
      </c>
      <c r="D27" s="40" t="str">
        <f>IF($A27="","",基本信息!BS16)</f>
        <v/>
      </c>
      <c r="F27" s="40" t="str">
        <f>IF($A27="","",基本信息!A16)</f>
        <v/>
      </c>
      <c r="G27" s="50" t="str">
        <f>IF($A27="","",计算结果!BI16+计算结果!BJ16)</f>
        <v/>
      </c>
      <c r="H27" s="50" t="str">
        <f>IF($A27="","",计算结果!BK16)</f>
        <v/>
      </c>
    </row>
    <row r="28" spans="1:8">
      <c r="A28" s="40" t="str">
        <f>IF(AND(OR(IFERROR(FIND("交行",基本信息!BS17),0)&gt;0,IFERROR(FIND("交通银行",基本信息!BS17),0)&gt;0),计算结果!BT17&gt;0),基本信息!BR17,"")</f>
        <v/>
      </c>
      <c r="B28" s="40" t="str">
        <f>IF($A28="","",基本信息!BQ17)</f>
        <v/>
      </c>
      <c r="C28" s="50" t="str">
        <f>IF($A28="","",计算结果!BT17-G28-H28)</f>
        <v/>
      </c>
      <c r="D28" s="40" t="str">
        <f>IF($A28="","",基本信息!BS17)</f>
        <v/>
      </c>
      <c r="F28" s="40" t="str">
        <f>IF($A28="","",基本信息!A17)</f>
        <v/>
      </c>
      <c r="G28" s="50" t="str">
        <f>IF($A28="","",计算结果!BI17+计算结果!BJ17)</f>
        <v/>
      </c>
      <c r="H28" s="50" t="str">
        <f>IF($A28="","",计算结果!BK17)</f>
        <v/>
      </c>
    </row>
    <row r="29" spans="1:8">
      <c r="A29" s="40" t="str">
        <f>IF(AND(OR(IFERROR(FIND("交行",基本信息!BS18),0)&gt;0,IFERROR(FIND("交通银行",基本信息!BS18),0)&gt;0),计算结果!BT18&gt;0),基本信息!BR18,"")</f>
        <v/>
      </c>
      <c r="B29" s="40" t="str">
        <f>IF($A29="","",基本信息!BQ18)</f>
        <v/>
      </c>
      <c r="C29" s="50" t="str">
        <f>IF($A29="","",计算结果!BT18-G29-H29)</f>
        <v/>
      </c>
      <c r="D29" s="40" t="str">
        <f>IF($A29="","",基本信息!BS18)</f>
        <v/>
      </c>
      <c r="F29" s="40" t="str">
        <f>IF($A29="","",基本信息!A18)</f>
        <v/>
      </c>
      <c r="G29" s="50" t="str">
        <f>IF($A29="","",计算结果!BI18+计算结果!BJ18)</f>
        <v/>
      </c>
      <c r="H29" s="50" t="str">
        <f>IF($A29="","",计算结果!BK18)</f>
        <v/>
      </c>
    </row>
    <row r="30" spans="1:8">
      <c r="A30" s="40" t="str">
        <f>IF(AND(OR(IFERROR(FIND("交行",基本信息!BS19),0)&gt;0,IFERROR(FIND("交通银行",基本信息!BS19),0)&gt;0),计算结果!BT19&gt;0),基本信息!BR19,"")</f>
        <v/>
      </c>
      <c r="B30" s="40" t="str">
        <f>IF($A30="","",基本信息!BQ19)</f>
        <v/>
      </c>
      <c r="C30" s="50" t="str">
        <f>IF($A30="","",计算结果!BT19-G30-H30)</f>
        <v/>
      </c>
      <c r="D30" s="40" t="str">
        <f>IF($A30="","",基本信息!BS19)</f>
        <v/>
      </c>
      <c r="F30" s="40" t="str">
        <f>IF($A30="","",基本信息!A19)</f>
        <v/>
      </c>
      <c r="G30" s="50" t="str">
        <f>IF($A30="","",计算结果!BI19+计算结果!BJ19)</f>
        <v/>
      </c>
      <c r="H30" s="50" t="str">
        <f>IF($A30="","",计算结果!BK19)</f>
        <v/>
      </c>
    </row>
    <row r="31" spans="1:8">
      <c r="A31" s="40" t="str">
        <f>IF(AND(OR(IFERROR(FIND("交行",基本信息!BS20),0)&gt;0,IFERROR(FIND("交通银行",基本信息!BS20),0)&gt;0),计算结果!BT20&gt;0),基本信息!BR20,"")</f>
        <v/>
      </c>
      <c r="B31" s="40" t="str">
        <f>IF($A31="","",基本信息!BQ20)</f>
        <v/>
      </c>
      <c r="C31" s="50" t="str">
        <f>IF($A31="","",计算结果!BT20-G31-H31)</f>
        <v/>
      </c>
      <c r="D31" s="40" t="str">
        <f>IF($A31="","",基本信息!BS20)</f>
        <v/>
      </c>
      <c r="F31" s="40" t="str">
        <f>IF($A31="","",基本信息!A20)</f>
        <v/>
      </c>
      <c r="G31" s="50" t="str">
        <f>IF($A31="","",计算结果!BI20+计算结果!BJ20)</f>
        <v/>
      </c>
      <c r="H31" s="50" t="str">
        <f>IF($A31="","",计算结果!BK20)</f>
        <v/>
      </c>
    </row>
    <row r="32" spans="1:8">
      <c r="A32" s="40" t="str">
        <f>IF(AND(OR(IFERROR(FIND("交行",基本信息!BS21),0)&gt;0,IFERROR(FIND("交通银行",基本信息!BS21),0)&gt;0),计算结果!BT21&gt;0),基本信息!BR21,"")</f>
        <v/>
      </c>
      <c r="B32" s="40" t="str">
        <f>IF($A32="","",基本信息!BQ21)</f>
        <v/>
      </c>
      <c r="C32" s="50" t="str">
        <f>IF($A32="","",计算结果!BT21-G32-H32)</f>
        <v/>
      </c>
      <c r="D32" s="40" t="str">
        <f>IF($A32="","",基本信息!BS21)</f>
        <v/>
      </c>
      <c r="F32" s="40" t="str">
        <f>IF($A32="","",基本信息!A21)</f>
        <v/>
      </c>
      <c r="G32" s="50" t="str">
        <f>IF($A32="","",计算结果!BI21+计算结果!BJ21)</f>
        <v/>
      </c>
      <c r="H32" s="50" t="str">
        <f>IF($A32="","",计算结果!BK21)</f>
        <v/>
      </c>
    </row>
    <row r="33" spans="1:8">
      <c r="A33" s="40" t="str">
        <f>IF(AND(OR(IFERROR(FIND("交行",基本信息!BS22),0)&gt;0,IFERROR(FIND("交通银行",基本信息!BS22),0)&gt;0),计算结果!BT22&gt;0),基本信息!BR22,"")</f>
        <v/>
      </c>
      <c r="B33" s="40" t="str">
        <f>IF($A33="","",基本信息!BQ22)</f>
        <v/>
      </c>
      <c r="C33" s="50" t="str">
        <f>IF($A33="","",计算结果!BT22-G33-H33)</f>
        <v/>
      </c>
      <c r="D33" s="40" t="str">
        <f>IF($A33="","",基本信息!BS22)</f>
        <v/>
      </c>
      <c r="F33" s="40" t="str">
        <f>IF($A33="","",基本信息!A22)</f>
        <v/>
      </c>
      <c r="G33" s="50" t="str">
        <f>IF($A33="","",计算结果!BI22+计算结果!BJ22)</f>
        <v/>
      </c>
      <c r="H33" s="50" t="str">
        <f>IF($A33="","",计算结果!BK22)</f>
        <v/>
      </c>
    </row>
    <row r="34" spans="1:8">
      <c r="A34" s="40" t="str">
        <f>IF(AND(OR(IFERROR(FIND("交行",基本信息!BS23),0)&gt;0,IFERROR(FIND("交通银行",基本信息!BS23),0)&gt;0),计算结果!BT23&gt;0),基本信息!BR23,"")</f>
        <v/>
      </c>
      <c r="B34" s="40" t="str">
        <f>IF($A34="","",基本信息!BQ23)</f>
        <v/>
      </c>
      <c r="C34" s="50" t="str">
        <f>IF($A34="","",计算结果!BT23-G34-H34)</f>
        <v/>
      </c>
      <c r="D34" s="40" t="str">
        <f>IF($A34="","",基本信息!BS23)</f>
        <v/>
      </c>
      <c r="F34" s="40" t="str">
        <f>IF($A34="","",基本信息!A23)</f>
        <v/>
      </c>
      <c r="G34" s="50" t="str">
        <f>IF($A34="","",计算结果!BI23+计算结果!BJ23)</f>
        <v/>
      </c>
      <c r="H34" s="50" t="str">
        <f>IF($A34="","",计算结果!BK23)</f>
        <v/>
      </c>
    </row>
    <row r="35" spans="1:8">
      <c r="A35" s="40" t="str">
        <f>IF(AND(OR(IFERROR(FIND("交行",基本信息!BS24),0)&gt;0,IFERROR(FIND("交通银行",基本信息!BS24),0)&gt;0),计算结果!BT24&gt;0),基本信息!BR24,"")</f>
        <v/>
      </c>
      <c r="B35" s="40" t="str">
        <f>IF($A35="","",基本信息!BQ24)</f>
        <v/>
      </c>
      <c r="C35" s="50" t="str">
        <f>IF($A35="","",计算结果!BT24-G35-H35)</f>
        <v/>
      </c>
      <c r="D35" s="40" t="str">
        <f>IF($A35="","",基本信息!BS24)</f>
        <v/>
      </c>
      <c r="F35" s="40" t="str">
        <f>IF($A35="","",基本信息!A24)</f>
        <v/>
      </c>
      <c r="G35" s="50" t="str">
        <f>IF($A35="","",计算结果!BI24+计算结果!BJ24)</f>
        <v/>
      </c>
      <c r="H35" s="50" t="str">
        <f>IF($A35="","",计算结果!BK24)</f>
        <v/>
      </c>
    </row>
    <row r="36" spans="1:8">
      <c r="A36" s="40" t="str">
        <f>IF(AND(OR(IFERROR(FIND("交行",基本信息!BS25),0)&gt;0,IFERROR(FIND("交通银行",基本信息!BS25),0)&gt;0),计算结果!BT25&gt;0),基本信息!BR25,"")</f>
        <v/>
      </c>
      <c r="B36" s="40" t="str">
        <f>IF($A36="","",基本信息!BQ25)</f>
        <v/>
      </c>
      <c r="C36" s="50" t="str">
        <f>IF($A36="","",计算结果!BT25-G36-H36)</f>
        <v/>
      </c>
      <c r="D36" s="40" t="str">
        <f>IF($A36="","",基本信息!BS25)</f>
        <v/>
      </c>
      <c r="F36" s="40" t="str">
        <f>IF($A36="","",基本信息!A25)</f>
        <v/>
      </c>
      <c r="G36" s="50" t="str">
        <f>IF($A36="","",计算结果!BI25+计算结果!BJ25)</f>
        <v/>
      </c>
      <c r="H36" s="50" t="str">
        <f>IF($A36="","",计算结果!BK25)</f>
        <v/>
      </c>
    </row>
    <row r="37" spans="1:8">
      <c r="A37" s="40" t="str">
        <f>IF(AND(OR(IFERROR(FIND("交行",基本信息!BS26),0)&gt;0,IFERROR(FIND("交通银行",基本信息!BS26),0)&gt;0),计算结果!BT26&gt;0),基本信息!BR26,"")</f>
        <v/>
      </c>
      <c r="B37" s="40" t="str">
        <f>IF($A37="","",基本信息!BQ26)</f>
        <v/>
      </c>
      <c r="C37" s="50" t="str">
        <f>IF($A37="","",计算结果!BT26-G37-H37)</f>
        <v/>
      </c>
      <c r="D37" s="40" t="str">
        <f>IF($A37="","",基本信息!BS26)</f>
        <v/>
      </c>
      <c r="F37" s="40" t="str">
        <f>IF($A37="","",基本信息!A26)</f>
        <v/>
      </c>
      <c r="G37" s="50" t="str">
        <f>IF($A37="","",计算结果!BI26+计算结果!BJ26)</f>
        <v/>
      </c>
      <c r="H37" s="50" t="str">
        <f>IF($A37="","",计算结果!BK26)</f>
        <v/>
      </c>
    </row>
    <row r="38" spans="1:8">
      <c r="A38" s="40" t="str">
        <f>IF(AND(OR(IFERROR(FIND("交行",基本信息!BS27),0)&gt;0,IFERROR(FIND("交通银行",基本信息!BS27),0)&gt;0),计算结果!BT27&gt;0),基本信息!BR27,"")</f>
        <v/>
      </c>
      <c r="B38" s="40" t="str">
        <f>IF($A38="","",基本信息!BQ27)</f>
        <v/>
      </c>
      <c r="C38" s="50" t="str">
        <f>IF($A38="","",计算结果!BT27-G38-H38)</f>
        <v/>
      </c>
      <c r="D38" s="40" t="str">
        <f>IF($A38="","",基本信息!BS27)</f>
        <v/>
      </c>
      <c r="F38" s="40" t="str">
        <f>IF($A38="","",基本信息!A27)</f>
        <v/>
      </c>
      <c r="G38" s="50" t="str">
        <f>IF($A38="","",计算结果!BI27+计算结果!BJ27)</f>
        <v/>
      </c>
      <c r="H38" s="50" t="str">
        <f>IF($A38="","",计算结果!BK27)</f>
        <v/>
      </c>
    </row>
    <row r="39" spans="1:8">
      <c r="A39" s="40" t="str">
        <f>IF(AND(OR(IFERROR(FIND("交行",基本信息!BS28),0)&gt;0,IFERROR(FIND("交通银行",基本信息!BS28),0)&gt;0),计算结果!BT28&gt;0),基本信息!BR28,"")</f>
        <v/>
      </c>
      <c r="B39" s="40" t="str">
        <f>IF($A39="","",基本信息!BQ28)</f>
        <v/>
      </c>
      <c r="C39" s="50" t="str">
        <f>IF($A39="","",计算结果!BT28-G39-H39)</f>
        <v/>
      </c>
      <c r="D39" s="40" t="str">
        <f>IF($A39="","",基本信息!BS28)</f>
        <v/>
      </c>
      <c r="F39" s="40" t="str">
        <f>IF($A39="","",基本信息!A28)</f>
        <v/>
      </c>
      <c r="G39" s="50" t="str">
        <f>IF($A39="","",计算结果!BI28+计算结果!BJ28)</f>
        <v/>
      </c>
      <c r="H39" s="50" t="str">
        <f>IF($A39="","",计算结果!BK28)</f>
        <v/>
      </c>
    </row>
    <row r="40" spans="1:8">
      <c r="A40" s="40" t="str">
        <f>IF(AND(OR(IFERROR(FIND("交行",基本信息!BS29),0)&gt;0,IFERROR(FIND("交通银行",基本信息!BS29),0)&gt;0),计算结果!BT29&gt;0),基本信息!BR29,"")</f>
        <v/>
      </c>
      <c r="B40" s="40" t="str">
        <f>IF($A40="","",基本信息!BQ29)</f>
        <v/>
      </c>
      <c r="C40" s="50" t="str">
        <f>IF($A40="","",计算结果!BT29-G40-H40)</f>
        <v/>
      </c>
      <c r="D40" s="40" t="str">
        <f>IF($A40="","",基本信息!BS29)</f>
        <v/>
      </c>
      <c r="F40" s="40" t="str">
        <f>IF($A40="","",基本信息!A29)</f>
        <v/>
      </c>
      <c r="G40" s="50" t="str">
        <f>IF($A40="","",计算结果!BI29+计算结果!BJ29)</f>
        <v/>
      </c>
      <c r="H40" s="50" t="str">
        <f>IF($A40="","",计算结果!BK29)</f>
        <v/>
      </c>
    </row>
    <row r="41" spans="1:8">
      <c r="A41" s="40" t="str">
        <f>IF(AND(OR(IFERROR(FIND("交行",基本信息!BS30),0)&gt;0,IFERROR(FIND("交通银行",基本信息!BS30),0)&gt;0),计算结果!BT30&gt;0),基本信息!BR30,"")</f>
        <v/>
      </c>
      <c r="B41" s="40" t="str">
        <f>IF($A41="","",基本信息!BQ30)</f>
        <v/>
      </c>
      <c r="C41" s="50" t="str">
        <f>IF($A41="","",计算结果!BT30-G41-H41)</f>
        <v/>
      </c>
      <c r="D41" s="40" t="str">
        <f>IF($A41="","",基本信息!BS30)</f>
        <v/>
      </c>
      <c r="F41" s="40" t="str">
        <f>IF($A41="","",基本信息!A30)</f>
        <v/>
      </c>
      <c r="G41" s="50" t="str">
        <f>IF($A41="","",计算结果!BI30+计算结果!BJ30)</f>
        <v/>
      </c>
      <c r="H41" s="50" t="str">
        <f>IF($A41="","",计算结果!BK30)</f>
        <v/>
      </c>
    </row>
    <row r="42" spans="1:8">
      <c r="A42" s="40" t="str">
        <f>IF(AND(OR(IFERROR(FIND("交行",基本信息!BS31),0)&gt;0,IFERROR(FIND("交通银行",基本信息!BS31),0)&gt;0),计算结果!BT31&gt;0),基本信息!BR31,"")</f>
        <v/>
      </c>
      <c r="B42" s="40" t="str">
        <f>IF($A42="","",基本信息!BQ31)</f>
        <v/>
      </c>
      <c r="C42" s="50" t="str">
        <f>IF($A42="","",计算结果!BT31-G42-H42)</f>
        <v/>
      </c>
      <c r="D42" s="40" t="str">
        <f>IF($A42="","",基本信息!BS31)</f>
        <v/>
      </c>
      <c r="F42" s="40" t="str">
        <f>IF($A42="","",基本信息!A31)</f>
        <v/>
      </c>
      <c r="G42" s="50" t="str">
        <f>IF($A42="","",计算结果!BI31+计算结果!BJ31)</f>
        <v/>
      </c>
      <c r="H42" s="50" t="str">
        <f>IF($A42="","",计算结果!BK31)</f>
        <v/>
      </c>
    </row>
    <row r="43" spans="1:8">
      <c r="A43" s="40" t="str">
        <f>IF(AND(OR(IFERROR(FIND("交行",基本信息!BS32),0)&gt;0,IFERROR(FIND("交通银行",基本信息!BS32),0)&gt;0),计算结果!BT32&gt;0),基本信息!BR32,"")</f>
        <v/>
      </c>
      <c r="B43" s="40" t="str">
        <f>IF($A43="","",基本信息!BQ32)</f>
        <v/>
      </c>
      <c r="C43" s="50" t="str">
        <f>IF($A43="","",计算结果!BT32-G43-H43)</f>
        <v/>
      </c>
      <c r="D43" s="40" t="str">
        <f>IF($A43="","",基本信息!BS32)</f>
        <v/>
      </c>
      <c r="F43" s="40" t="str">
        <f>IF($A43="","",基本信息!A32)</f>
        <v/>
      </c>
      <c r="G43" s="50" t="str">
        <f>IF($A43="","",计算结果!BI32+计算结果!BJ32)</f>
        <v/>
      </c>
      <c r="H43" s="50" t="str">
        <f>IF($A43="","",计算结果!BK32)</f>
        <v/>
      </c>
    </row>
    <row r="44" spans="1:8">
      <c r="A44" s="40" t="str">
        <f>IF(AND(OR(IFERROR(FIND("交行",基本信息!BS33),0)&gt;0,IFERROR(FIND("交通银行",基本信息!BS33),0)&gt;0),计算结果!BT33&gt;0),基本信息!BR33,"")</f>
        <v/>
      </c>
      <c r="B44" s="40" t="str">
        <f>IF($A44="","",基本信息!BQ33)</f>
        <v/>
      </c>
      <c r="C44" s="50" t="str">
        <f>IF($A44="","",计算结果!BT33-G44-H44)</f>
        <v/>
      </c>
      <c r="D44" s="40" t="str">
        <f>IF($A44="","",基本信息!BS33)</f>
        <v/>
      </c>
      <c r="F44" s="40" t="str">
        <f>IF($A44="","",基本信息!A33)</f>
        <v/>
      </c>
      <c r="G44" s="50" t="str">
        <f>IF($A44="","",计算结果!BI33+计算结果!BJ33)</f>
        <v/>
      </c>
      <c r="H44" s="50" t="str">
        <f>IF($A44="","",计算结果!BK33)</f>
        <v/>
      </c>
    </row>
    <row r="45" spans="1:8">
      <c r="A45" s="40" t="str">
        <f>IF(AND(OR(IFERROR(FIND("交行",基本信息!BS34),0)&gt;0,IFERROR(FIND("交通银行",基本信息!BS34),0)&gt;0),计算结果!BT34&gt;0),基本信息!BR34,"")</f>
        <v/>
      </c>
      <c r="B45" s="40" t="str">
        <f>IF($A45="","",基本信息!BQ34)</f>
        <v/>
      </c>
      <c r="C45" s="50" t="str">
        <f>IF($A45="","",计算结果!BT34-G45-H45)</f>
        <v/>
      </c>
      <c r="D45" s="40" t="str">
        <f>IF($A45="","",基本信息!BS34)</f>
        <v/>
      </c>
      <c r="F45" s="40" t="str">
        <f>IF($A45="","",基本信息!A34)</f>
        <v/>
      </c>
      <c r="G45" s="50" t="str">
        <f>IF($A45="","",计算结果!BI34+计算结果!BJ34)</f>
        <v/>
      </c>
      <c r="H45" s="50" t="str">
        <f>IF($A45="","",计算结果!BK34)</f>
        <v/>
      </c>
    </row>
    <row r="46" spans="1:8">
      <c r="A46" s="40" t="str">
        <f>IF(AND(OR(IFERROR(FIND("交行",基本信息!BS35),0)&gt;0,IFERROR(FIND("交通银行",基本信息!BS35),0)&gt;0),计算结果!BT35&gt;0),基本信息!BR35,"")</f>
        <v/>
      </c>
      <c r="B46" s="40" t="str">
        <f>IF($A46="","",基本信息!BQ35)</f>
        <v/>
      </c>
      <c r="C46" s="50" t="str">
        <f>IF($A46="","",计算结果!BT35-G46-H46)</f>
        <v/>
      </c>
      <c r="D46" s="40" t="str">
        <f>IF($A46="","",基本信息!BS35)</f>
        <v/>
      </c>
      <c r="F46" s="40" t="str">
        <f>IF($A46="","",基本信息!A35)</f>
        <v/>
      </c>
      <c r="G46" s="50" t="str">
        <f>IF($A46="","",计算结果!BI35+计算结果!BJ35)</f>
        <v/>
      </c>
      <c r="H46" s="50" t="str">
        <f>IF($A46="","",计算结果!BK35)</f>
        <v/>
      </c>
    </row>
    <row r="47" spans="1:8">
      <c r="A47" s="40" t="str">
        <f>IF(AND(OR(IFERROR(FIND("交行",基本信息!BS36),0)&gt;0,IFERROR(FIND("交通银行",基本信息!BS36),0)&gt;0),计算结果!BT36&gt;0),基本信息!BR36,"")</f>
        <v/>
      </c>
      <c r="B47" s="40" t="str">
        <f>IF($A47="","",基本信息!BQ36)</f>
        <v/>
      </c>
      <c r="C47" s="50" t="str">
        <f>IF($A47="","",计算结果!BT36-G47-H47)</f>
        <v/>
      </c>
      <c r="D47" s="40" t="str">
        <f>IF($A47="","",基本信息!BS36)</f>
        <v/>
      </c>
      <c r="F47" s="40" t="str">
        <f>IF($A47="","",基本信息!A36)</f>
        <v/>
      </c>
      <c r="G47" s="50" t="str">
        <f>IF($A47="","",计算结果!BI36+计算结果!BJ36)</f>
        <v/>
      </c>
      <c r="H47" s="50" t="str">
        <f>IF($A47="","",计算结果!BK36)</f>
        <v/>
      </c>
    </row>
    <row r="48" spans="1:8">
      <c r="A48" s="40" t="str">
        <f>IF(AND(OR(IFERROR(FIND("交行",基本信息!BS37),0)&gt;0,IFERROR(FIND("交通银行",基本信息!BS37),0)&gt;0),计算结果!BT37&gt;0),基本信息!BR37,"")</f>
        <v/>
      </c>
      <c r="B48" s="40" t="str">
        <f>IF($A48="","",基本信息!BQ37)</f>
        <v/>
      </c>
      <c r="C48" s="50" t="str">
        <f>IF($A48="","",计算结果!BT37-G48-H48)</f>
        <v/>
      </c>
      <c r="D48" s="40" t="str">
        <f>IF($A48="","",基本信息!BS37)</f>
        <v/>
      </c>
      <c r="F48" s="40" t="str">
        <f>IF($A48="","",基本信息!A37)</f>
        <v/>
      </c>
      <c r="G48" s="50" t="str">
        <f>IF($A48="","",计算结果!BI37+计算结果!BJ37)</f>
        <v/>
      </c>
      <c r="H48" s="50" t="str">
        <f>IF($A48="","",计算结果!BK37)</f>
        <v/>
      </c>
    </row>
    <row r="49" spans="1:8">
      <c r="A49" s="40" t="str">
        <f>IF(AND(OR(IFERROR(FIND("交行",基本信息!BS38),0)&gt;0,IFERROR(FIND("交通银行",基本信息!BS38),0)&gt;0),计算结果!BT38&gt;0),基本信息!BR38,"")</f>
        <v/>
      </c>
      <c r="B49" s="40" t="str">
        <f>IF($A49="","",基本信息!BQ38)</f>
        <v/>
      </c>
      <c r="C49" s="50" t="str">
        <f>IF($A49="","",计算结果!BT38-G49-H49)</f>
        <v/>
      </c>
      <c r="D49" s="40" t="str">
        <f>IF($A49="","",基本信息!BS38)</f>
        <v/>
      </c>
      <c r="F49" s="40" t="str">
        <f>IF($A49="","",基本信息!A38)</f>
        <v/>
      </c>
      <c r="G49" s="50" t="str">
        <f>IF($A49="","",计算结果!BI38+计算结果!BJ38)</f>
        <v/>
      </c>
      <c r="H49" s="50" t="str">
        <f>IF($A49="","",计算结果!BK38)</f>
        <v/>
      </c>
    </row>
    <row r="50" spans="1:8">
      <c r="A50" s="40" t="str">
        <f>IF(AND(OR(IFERROR(FIND("交行",基本信息!BS39),0)&gt;0,IFERROR(FIND("交通银行",基本信息!BS39),0)&gt;0),计算结果!BT39&gt;0),基本信息!BR39,"")</f>
        <v/>
      </c>
      <c r="B50" s="40" t="str">
        <f>IF($A50="","",基本信息!BQ39)</f>
        <v/>
      </c>
      <c r="C50" s="50" t="str">
        <f>IF($A50="","",计算结果!BT39-G50-H50)</f>
        <v/>
      </c>
      <c r="D50" s="40" t="str">
        <f>IF($A50="","",基本信息!BS39)</f>
        <v/>
      </c>
      <c r="F50" s="40" t="str">
        <f>IF($A50="","",基本信息!A39)</f>
        <v/>
      </c>
      <c r="G50" s="50" t="str">
        <f>IF($A50="","",计算结果!BI39+计算结果!BJ39)</f>
        <v/>
      </c>
      <c r="H50" s="50" t="str">
        <f>IF($A50="","",计算结果!BK39)</f>
        <v/>
      </c>
    </row>
    <row r="51" spans="1:8">
      <c r="A51" s="40" t="str">
        <f>IF(AND(OR(IFERROR(FIND("交行",基本信息!BS40),0)&gt;0,IFERROR(FIND("交通银行",基本信息!BS40),0)&gt;0),计算结果!BT40&gt;0),基本信息!BR40,"")</f>
        <v/>
      </c>
      <c r="B51" s="40" t="str">
        <f>IF($A51="","",基本信息!BQ40)</f>
        <v/>
      </c>
      <c r="C51" s="50" t="str">
        <f>IF($A51="","",计算结果!BT40-G51-H51)</f>
        <v/>
      </c>
      <c r="D51" s="40" t="str">
        <f>IF($A51="","",基本信息!BS40)</f>
        <v/>
      </c>
      <c r="F51" s="40" t="str">
        <f>IF($A51="","",基本信息!A40)</f>
        <v/>
      </c>
      <c r="G51" s="50" t="str">
        <f>IF($A51="","",计算结果!BI40+计算结果!BJ40)</f>
        <v/>
      </c>
      <c r="H51" s="50" t="str">
        <f>IF($A51="","",计算结果!BK40)</f>
        <v/>
      </c>
    </row>
    <row r="52" spans="1:8">
      <c r="A52" s="40" t="str">
        <f>IF(AND(OR(IFERROR(FIND("交行",基本信息!BS41),0)&gt;0,IFERROR(FIND("交通银行",基本信息!BS41),0)&gt;0),计算结果!BT41&gt;0),基本信息!BR41,"")</f>
        <v/>
      </c>
      <c r="B52" s="40" t="str">
        <f>IF($A52="","",基本信息!BQ41)</f>
        <v/>
      </c>
      <c r="C52" s="50" t="str">
        <f>IF($A52="","",计算结果!BT41-G52-H52)</f>
        <v/>
      </c>
      <c r="D52" s="40" t="str">
        <f>IF($A52="","",基本信息!BS41)</f>
        <v/>
      </c>
      <c r="F52" s="40" t="str">
        <f>IF($A52="","",基本信息!A41)</f>
        <v/>
      </c>
      <c r="G52" s="50" t="str">
        <f>IF($A52="","",计算结果!BI41+计算结果!BJ41)</f>
        <v/>
      </c>
      <c r="H52" s="50" t="str">
        <f>IF($A52="","",计算结果!BK41)</f>
        <v/>
      </c>
    </row>
    <row r="53" spans="1:8">
      <c r="A53" s="40" t="str">
        <f>IF(AND(OR(IFERROR(FIND("交行",基本信息!BS42),0)&gt;0,IFERROR(FIND("交通银行",基本信息!BS42),0)&gt;0),计算结果!BT42&gt;0),基本信息!BR42,"")</f>
        <v/>
      </c>
      <c r="B53" s="40" t="str">
        <f>IF($A53="","",基本信息!BQ42)</f>
        <v/>
      </c>
      <c r="C53" s="50" t="str">
        <f>IF($A53="","",计算结果!BT42-G53-H53)</f>
        <v/>
      </c>
      <c r="D53" s="40" t="str">
        <f>IF($A53="","",基本信息!BS42)</f>
        <v/>
      </c>
      <c r="F53" s="40" t="str">
        <f>IF($A53="","",基本信息!A42)</f>
        <v/>
      </c>
      <c r="G53" s="50" t="str">
        <f>IF($A53="","",计算结果!BI42+计算结果!BJ42)</f>
        <v/>
      </c>
      <c r="H53" s="50" t="str">
        <f>IF($A53="","",计算结果!BK42)</f>
        <v/>
      </c>
    </row>
    <row r="54" spans="1:8">
      <c r="A54" s="40" t="str">
        <f>IF(AND(OR(IFERROR(FIND("交行",基本信息!BS43),0)&gt;0,IFERROR(FIND("交通银行",基本信息!BS43),0)&gt;0),计算结果!BT43&gt;0),基本信息!BR43,"")</f>
        <v/>
      </c>
      <c r="B54" s="40" t="str">
        <f>IF($A54="","",基本信息!BQ43)</f>
        <v/>
      </c>
      <c r="C54" s="50" t="str">
        <f>IF($A54="","",计算结果!BT43-G54-H54)</f>
        <v/>
      </c>
      <c r="D54" s="40" t="str">
        <f>IF($A54="","",基本信息!BS43)</f>
        <v/>
      </c>
      <c r="F54" s="40" t="str">
        <f>IF($A54="","",基本信息!A43)</f>
        <v/>
      </c>
      <c r="G54" s="50" t="str">
        <f>IF($A54="","",计算结果!BI43+计算结果!BJ43)</f>
        <v/>
      </c>
      <c r="H54" s="50" t="str">
        <f>IF($A54="","",计算结果!BK43)</f>
        <v/>
      </c>
    </row>
    <row r="55" spans="1:8">
      <c r="A55" s="40" t="str">
        <f>IF(AND(OR(IFERROR(FIND("交行",基本信息!BS44),0)&gt;0,IFERROR(FIND("交通银行",基本信息!BS44),0)&gt;0),计算结果!BT44&gt;0),基本信息!BR44,"")</f>
        <v/>
      </c>
      <c r="B55" s="40" t="str">
        <f>IF($A55="","",基本信息!BQ44)</f>
        <v/>
      </c>
      <c r="C55" s="50" t="str">
        <f>IF($A55="","",计算结果!BT44-G55-H55)</f>
        <v/>
      </c>
      <c r="D55" s="40" t="str">
        <f>IF($A55="","",基本信息!BS44)</f>
        <v/>
      </c>
      <c r="F55" s="40" t="str">
        <f>IF($A55="","",基本信息!A44)</f>
        <v/>
      </c>
      <c r="G55" s="50" t="str">
        <f>IF($A55="","",计算结果!BI44+计算结果!BJ44)</f>
        <v/>
      </c>
      <c r="H55" s="50" t="str">
        <f>IF($A55="","",计算结果!BK44)</f>
        <v/>
      </c>
    </row>
    <row r="56" spans="1:8">
      <c r="A56" s="40" t="str">
        <f>IF(AND(OR(IFERROR(FIND("交行",基本信息!BS45),0)&gt;0,IFERROR(FIND("交通银行",基本信息!BS45),0)&gt;0),计算结果!BT45&gt;0),基本信息!BR45,"")</f>
        <v/>
      </c>
      <c r="B56" s="40" t="str">
        <f>IF($A56="","",基本信息!BQ45)</f>
        <v/>
      </c>
      <c r="C56" s="50" t="str">
        <f>IF($A56="","",计算结果!BT45-G56-H56)</f>
        <v/>
      </c>
      <c r="D56" s="40" t="str">
        <f>IF($A56="","",基本信息!BS45)</f>
        <v/>
      </c>
      <c r="F56" s="40" t="str">
        <f>IF($A56="","",基本信息!A45)</f>
        <v/>
      </c>
      <c r="G56" s="50" t="str">
        <f>IF($A56="","",计算结果!BI45+计算结果!BJ45)</f>
        <v/>
      </c>
      <c r="H56" s="50" t="str">
        <f>IF($A56="","",计算结果!BK45)</f>
        <v/>
      </c>
    </row>
    <row r="57" spans="1:8">
      <c r="A57" s="40" t="str">
        <f>IF(AND(OR(IFERROR(FIND("交行",基本信息!BS46),0)&gt;0,IFERROR(FIND("交通银行",基本信息!BS46),0)&gt;0),计算结果!BT46&gt;0),基本信息!BR46,"")</f>
        <v/>
      </c>
      <c r="B57" s="40" t="str">
        <f>IF($A57="","",基本信息!BQ46)</f>
        <v/>
      </c>
      <c r="C57" s="50" t="str">
        <f>IF($A57="","",计算结果!BT46-G57-H57)</f>
        <v/>
      </c>
      <c r="D57" s="40" t="str">
        <f>IF($A57="","",基本信息!BS46)</f>
        <v/>
      </c>
      <c r="F57" s="40" t="str">
        <f>IF($A57="","",基本信息!A46)</f>
        <v/>
      </c>
      <c r="G57" s="50" t="str">
        <f>IF($A57="","",计算结果!BI46+计算结果!BJ46)</f>
        <v/>
      </c>
      <c r="H57" s="50" t="str">
        <f>IF($A57="","",计算结果!BK46)</f>
        <v/>
      </c>
    </row>
    <row r="58" spans="1:8">
      <c r="A58" s="40" t="str">
        <f>IF(AND(OR(IFERROR(FIND("交行",基本信息!BS47),0)&gt;0,IFERROR(FIND("交通银行",基本信息!BS47),0)&gt;0),计算结果!BT47&gt;0),基本信息!BR47,"")</f>
        <v/>
      </c>
      <c r="B58" s="40" t="str">
        <f>IF($A58="","",基本信息!BQ47)</f>
        <v/>
      </c>
      <c r="C58" s="50" t="str">
        <f>IF($A58="","",计算结果!BT47-G58-H58)</f>
        <v/>
      </c>
      <c r="D58" s="40" t="str">
        <f>IF($A58="","",基本信息!BS47)</f>
        <v/>
      </c>
      <c r="F58" s="40" t="str">
        <f>IF($A58="","",基本信息!A47)</f>
        <v/>
      </c>
      <c r="G58" s="50" t="str">
        <f>IF($A58="","",计算结果!BI47+计算结果!BJ47)</f>
        <v/>
      </c>
      <c r="H58" s="50" t="str">
        <f>IF($A58="","",计算结果!BK47)</f>
        <v/>
      </c>
    </row>
    <row r="59" spans="1:8">
      <c r="A59" s="40" t="str">
        <f>IF(AND(OR(IFERROR(FIND("交行",基本信息!BS48),0)&gt;0,IFERROR(FIND("交通银行",基本信息!BS48),0)&gt;0),计算结果!BT48&gt;0),基本信息!BR48,"")</f>
        <v/>
      </c>
      <c r="B59" s="40" t="str">
        <f>IF($A59="","",基本信息!BQ48)</f>
        <v/>
      </c>
      <c r="C59" s="50" t="str">
        <f>IF($A59="","",计算结果!BT48-G59-H59)</f>
        <v/>
      </c>
      <c r="D59" s="40" t="str">
        <f>IF($A59="","",基本信息!BS48)</f>
        <v/>
      </c>
      <c r="F59" s="40" t="str">
        <f>IF($A59="","",基本信息!A48)</f>
        <v/>
      </c>
      <c r="G59" s="50" t="str">
        <f>IF($A59="","",计算结果!BI48+计算结果!BJ48)</f>
        <v/>
      </c>
      <c r="H59" s="50" t="str">
        <f>IF($A59="","",计算结果!BK48)</f>
        <v/>
      </c>
    </row>
    <row r="60" spans="1:8">
      <c r="A60" s="40" t="str">
        <f>IF(AND(OR(IFERROR(FIND("交行",基本信息!BS49),0)&gt;0,IFERROR(FIND("交通银行",基本信息!BS49),0)&gt;0),计算结果!BT49&gt;0),基本信息!BR49,"")</f>
        <v/>
      </c>
      <c r="B60" s="40" t="str">
        <f>IF($A60="","",基本信息!BQ49)</f>
        <v/>
      </c>
      <c r="C60" s="50" t="str">
        <f>IF($A60="","",计算结果!BT49-G60-H60)</f>
        <v/>
      </c>
      <c r="D60" s="40" t="str">
        <f>IF($A60="","",基本信息!BS49)</f>
        <v/>
      </c>
      <c r="F60" s="40" t="str">
        <f>IF($A60="","",基本信息!A49)</f>
        <v/>
      </c>
      <c r="G60" s="50" t="str">
        <f>IF($A60="","",计算结果!BI49+计算结果!BJ49)</f>
        <v/>
      </c>
      <c r="H60" s="50" t="str">
        <f>IF($A60="","",计算结果!BK49)</f>
        <v/>
      </c>
    </row>
    <row r="61" spans="1:8">
      <c r="A61" s="40" t="str">
        <f>IF(AND(OR(IFERROR(FIND("交行",基本信息!BS50),0)&gt;0,IFERROR(FIND("交通银行",基本信息!BS50),0)&gt;0),计算结果!BT50&gt;0),基本信息!BR50,"")</f>
        <v/>
      </c>
      <c r="B61" s="40" t="str">
        <f>IF($A61="","",基本信息!BQ50)</f>
        <v/>
      </c>
      <c r="C61" s="50" t="str">
        <f>IF($A61="","",计算结果!BT50-G61-H61)</f>
        <v/>
      </c>
      <c r="D61" s="40" t="str">
        <f>IF($A61="","",基本信息!BS50)</f>
        <v/>
      </c>
      <c r="F61" s="40" t="str">
        <f>IF($A61="","",基本信息!A50)</f>
        <v/>
      </c>
      <c r="G61" s="50" t="str">
        <f>IF($A61="","",计算结果!BI50+计算结果!BJ50)</f>
        <v/>
      </c>
      <c r="H61" s="50" t="str">
        <f>IF($A61="","",计算结果!BK50)</f>
        <v/>
      </c>
    </row>
    <row r="62" spans="1:8">
      <c r="A62" s="40" t="str">
        <f>IF(AND(OR(IFERROR(FIND("交行",基本信息!BS51),0)&gt;0,IFERROR(FIND("交通银行",基本信息!BS51),0)&gt;0),计算结果!BT51&gt;0),基本信息!BR51,"")</f>
        <v/>
      </c>
      <c r="B62" s="40" t="str">
        <f>IF($A62="","",基本信息!BQ51)</f>
        <v/>
      </c>
      <c r="C62" s="50" t="str">
        <f>IF($A62="","",计算结果!BT51-G62-H62)</f>
        <v/>
      </c>
      <c r="D62" s="40" t="str">
        <f>IF($A62="","",基本信息!BS51)</f>
        <v/>
      </c>
      <c r="F62" s="40" t="str">
        <f>IF($A62="","",基本信息!A51)</f>
        <v/>
      </c>
      <c r="G62" s="50" t="str">
        <f>IF($A62="","",计算结果!BI51+计算结果!BJ51)</f>
        <v/>
      </c>
      <c r="H62" s="50" t="str">
        <f>IF($A62="","",计算结果!BK51)</f>
        <v/>
      </c>
    </row>
    <row r="63" spans="1:8">
      <c r="A63" s="40" t="str">
        <f>IF(AND(OR(IFERROR(FIND("交行",基本信息!BS52),0)&gt;0,IFERROR(FIND("交通银行",基本信息!BS52),0)&gt;0),计算结果!BT52&gt;0),基本信息!BR52,"")</f>
        <v/>
      </c>
      <c r="B63" s="40" t="str">
        <f>IF($A63="","",基本信息!BQ52)</f>
        <v/>
      </c>
      <c r="C63" s="50" t="str">
        <f>IF($A63="","",计算结果!BT52-G63-H63)</f>
        <v/>
      </c>
      <c r="D63" s="40" t="str">
        <f>IF($A63="","",基本信息!BS52)</f>
        <v/>
      </c>
      <c r="F63" s="40" t="str">
        <f>IF($A63="","",基本信息!A52)</f>
        <v/>
      </c>
      <c r="G63" s="50" t="str">
        <f>IF($A63="","",计算结果!BI52+计算结果!BJ52)</f>
        <v/>
      </c>
      <c r="H63" s="50" t="str">
        <f>IF($A63="","",计算结果!BK52)</f>
        <v/>
      </c>
    </row>
    <row r="64" spans="1:8">
      <c r="A64" s="40" t="str">
        <f>IF(AND(OR(IFERROR(FIND("交行",基本信息!BS53),0)&gt;0,IFERROR(FIND("交通银行",基本信息!BS53),0)&gt;0),计算结果!BT53&gt;0),基本信息!BR53,"")</f>
        <v/>
      </c>
      <c r="B64" s="40" t="str">
        <f>IF($A64="","",基本信息!BQ53)</f>
        <v/>
      </c>
      <c r="C64" s="50" t="str">
        <f>IF($A64="","",计算结果!BT53-G64-H64)</f>
        <v/>
      </c>
      <c r="D64" s="40" t="str">
        <f>IF($A64="","",基本信息!BS53)</f>
        <v/>
      </c>
      <c r="F64" s="40" t="str">
        <f>IF($A64="","",基本信息!A53)</f>
        <v/>
      </c>
      <c r="G64" s="50" t="str">
        <f>IF($A64="","",计算结果!BI53+计算结果!BJ53)</f>
        <v/>
      </c>
      <c r="H64" s="50" t="str">
        <f>IF($A64="","",计算结果!BK53)</f>
        <v/>
      </c>
    </row>
    <row r="65" spans="1:8">
      <c r="A65" s="40" t="str">
        <f>IF(AND(OR(IFERROR(FIND("交行",基本信息!BS54),0)&gt;0,IFERROR(FIND("交通银行",基本信息!BS54),0)&gt;0),计算结果!BT54&gt;0),基本信息!BR54,"")</f>
        <v/>
      </c>
      <c r="B65" s="40" t="str">
        <f>IF($A65="","",基本信息!BQ54)</f>
        <v/>
      </c>
      <c r="C65" s="50" t="str">
        <f>IF($A65="","",计算结果!BT54-G65-H65)</f>
        <v/>
      </c>
      <c r="D65" s="40" t="str">
        <f>IF($A65="","",基本信息!BS54)</f>
        <v/>
      </c>
      <c r="F65" s="40" t="str">
        <f>IF($A65="","",基本信息!A54)</f>
        <v/>
      </c>
      <c r="G65" s="50" t="str">
        <f>IF($A65="","",计算结果!BI54+计算结果!BJ54)</f>
        <v/>
      </c>
      <c r="H65" s="50" t="str">
        <f>IF($A65="","",计算结果!BK54)</f>
        <v/>
      </c>
    </row>
    <row r="66" spans="1:8">
      <c r="A66" s="40" t="str">
        <f>IF(AND(OR(IFERROR(FIND("交行",基本信息!BS55),0)&gt;0,IFERROR(FIND("交通银行",基本信息!BS55),0)&gt;0),计算结果!BT55&gt;0),基本信息!BR55,"")</f>
        <v/>
      </c>
      <c r="B66" s="40" t="str">
        <f>IF($A66="","",基本信息!BQ55)</f>
        <v/>
      </c>
      <c r="C66" s="50" t="str">
        <f>IF($A66="","",计算结果!BT55-G66-H66)</f>
        <v/>
      </c>
      <c r="D66" s="40" t="str">
        <f>IF($A66="","",基本信息!BS55)</f>
        <v/>
      </c>
      <c r="F66" s="40" t="str">
        <f>IF($A66="","",基本信息!A55)</f>
        <v/>
      </c>
      <c r="G66" s="50" t="str">
        <f>IF($A66="","",计算结果!BI55+计算结果!BJ55)</f>
        <v/>
      </c>
      <c r="H66" s="50" t="str">
        <f>IF($A66="","",计算结果!BK55)</f>
        <v/>
      </c>
    </row>
    <row r="67" spans="1:8">
      <c r="A67" s="40" t="str">
        <f>IF(AND(OR(IFERROR(FIND("交行",基本信息!BS56),0)&gt;0,IFERROR(FIND("交通银行",基本信息!BS56),0)&gt;0),计算结果!BT56&gt;0),基本信息!BR56,"")</f>
        <v/>
      </c>
      <c r="B67" s="40" t="str">
        <f>IF($A67="","",基本信息!BQ56)</f>
        <v/>
      </c>
      <c r="C67" s="50" t="str">
        <f>IF($A67="","",计算结果!BT56-G67-H67)</f>
        <v/>
      </c>
      <c r="D67" s="40" t="str">
        <f>IF($A67="","",基本信息!BS56)</f>
        <v/>
      </c>
      <c r="F67" s="40" t="str">
        <f>IF($A67="","",基本信息!A56)</f>
        <v/>
      </c>
      <c r="G67" s="50" t="str">
        <f>IF($A67="","",计算结果!BI56+计算结果!BJ56)</f>
        <v/>
      </c>
      <c r="H67" s="50" t="str">
        <f>IF($A67="","",计算结果!BK56)</f>
        <v/>
      </c>
    </row>
    <row r="68" spans="1:8">
      <c r="A68" s="40" t="str">
        <f>IF(AND(OR(IFERROR(FIND("交行",基本信息!BS57),0)&gt;0,IFERROR(FIND("交通银行",基本信息!BS57),0)&gt;0),计算结果!BT57&gt;0),基本信息!BR57,"")</f>
        <v/>
      </c>
      <c r="B68" s="40" t="str">
        <f>IF($A68="","",基本信息!BQ57)</f>
        <v/>
      </c>
      <c r="C68" s="50" t="str">
        <f>IF($A68="","",计算结果!BT57-G68-H68)</f>
        <v/>
      </c>
      <c r="D68" s="40" t="str">
        <f>IF($A68="","",基本信息!BS57)</f>
        <v/>
      </c>
      <c r="F68" s="40" t="str">
        <f>IF($A68="","",基本信息!A57)</f>
        <v/>
      </c>
      <c r="G68" s="50" t="str">
        <f>IF($A68="","",计算结果!BI57+计算结果!BJ57)</f>
        <v/>
      </c>
      <c r="H68" s="50" t="str">
        <f>IF($A68="","",计算结果!BK57)</f>
        <v/>
      </c>
    </row>
    <row r="69" spans="1:8">
      <c r="A69" s="40" t="str">
        <f>IF(AND(OR(IFERROR(FIND("交行",基本信息!BS58),0)&gt;0,IFERROR(FIND("交通银行",基本信息!BS58),0)&gt;0),计算结果!BT58&gt;0),基本信息!BR58,"")</f>
        <v/>
      </c>
      <c r="B69" s="40" t="str">
        <f>IF($A69="","",基本信息!BQ58)</f>
        <v/>
      </c>
      <c r="C69" s="50" t="str">
        <f>IF($A69="","",计算结果!BT58-G69-H69)</f>
        <v/>
      </c>
      <c r="D69" s="40" t="str">
        <f>IF($A69="","",基本信息!BS58)</f>
        <v/>
      </c>
      <c r="F69" s="40" t="str">
        <f>IF($A69="","",基本信息!A58)</f>
        <v/>
      </c>
      <c r="G69" s="50" t="str">
        <f>IF($A69="","",计算结果!BI58+计算结果!BJ58)</f>
        <v/>
      </c>
      <c r="H69" s="50" t="str">
        <f>IF($A69="","",计算结果!BK58)</f>
        <v/>
      </c>
    </row>
    <row r="70" spans="1:8">
      <c r="A70" s="40" t="str">
        <f>IF(AND(OR(IFERROR(FIND("交行",基本信息!BS59),0)&gt;0,IFERROR(FIND("交通银行",基本信息!BS59),0)&gt;0),计算结果!BT59&gt;0),基本信息!BR59,"")</f>
        <v/>
      </c>
      <c r="B70" s="40" t="str">
        <f>IF($A70="","",基本信息!BQ59)</f>
        <v/>
      </c>
      <c r="C70" s="50" t="str">
        <f>IF($A70="","",计算结果!BT59-G70-H70)</f>
        <v/>
      </c>
      <c r="D70" s="40" t="str">
        <f>IF($A70="","",基本信息!BS59)</f>
        <v/>
      </c>
      <c r="F70" s="40" t="str">
        <f>IF($A70="","",基本信息!A59)</f>
        <v/>
      </c>
      <c r="G70" s="50" t="str">
        <f>IF($A70="","",计算结果!BI59+计算结果!BJ59)</f>
        <v/>
      </c>
      <c r="H70" s="50" t="str">
        <f>IF($A70="","",计算结果!BK59)</f>
        <v/>
      </c>
    </row>
    <row r="71" spans="1:8">
      <c r="A71" s="40" t="str">
        <f>IF(AND(OR(IFERROR(FIND("交行",基本信息!BS60),0)&gt;0,IFERROR(FIND("交通银行",基本信息!BS60),0)&gt;0),计算结果!BT60&gt;0),基本信息!BR60,"")</f>
        <v/>
      </c>
      <c r="B71" s="40" t="str">
        <f>IF($A71="","",基本信息!BQ60)</f>
        <v/>
      </c>
      <c r="C71" s="50" t="str">
        <f>IF($A71="","",计算结果!BT60-G71-H71)</f>
        <v/>
      </c>
      <c r="D71" s="40" t="str">
        <f>IF($A71="","",基本信息!BS60)</f>
        <v/>
      </c>
      <c r="F71" s="40" t="str">
        <f>IF($A71="","",基本信息!A60)</f>
        <v/>
      </c>
      <c r="G71" s="50" t="str">
        <f>IF($A71="","",计算结果!BI60+计算结果!BJ60)</f>
        <v/>
      </c>
      <c r="H71" s="50" t="str">
        <f>IF($A71="","",计算结果!BK60)</f>
        <v/>
      </c>
    </row>
    <row r="72" spans="1:8">
      <c r="A72" s="40" t="str">
        <f>IF(AND(OR(IFERROR(FIND("交行",基本信息!BS61),0)&gt;0,IFERROR(FIND("交通银行",基本信息!BS61),0)&gt;0),计算结果!BT61&gt;0),基本信息!BR61,"")</f>
        <v/>
      </c>
      <c r="B72" s="40" t="str">
        <f>IF($A72="","",基本信息!BQ61)</f>
        <v/>
      </c>
      <c r="C72" s="50" t="str">
        <f>IF($A72="","",计算结果!BT61-G72-H72)</f>
        <v/>
      </c>
      <c r="D72" s="40" t="str">
        <f>IF($A72="","",基本信息!BS61)</f>
        <v/>
      </c>
      <c r="F72" s="40" t="str">
        <f>IF($A72="","",基本信息!A61)</f>
        <v/>
      </c>
      <c r="G72" s="50" t="str">
        <f>IF($A72="","",计算结果!BI61+计算结果!BJ61)</f>
        <v/>
      </c>
      <c r="H72" s="50" t="str">
        <f>IF($A72="","",计算结果!BK61)</f>
        <v/>
      </c>
    </row>
    <row r="73" spans="1:8">
      <c r="A73" s="40" t="str">
        <f>IF(AND(OR(IFERROR(FIND("交行",基本信息!BS62),0)&gt;0,IFERROR(FIND("交通银行",基本信息!BS62),0)&gt;0),计算结果!BT62&gt;0),基本信息!BR62,"")</f>
        <v/>
      </c>
      <c r="B73" s="40" t="str">
        <f>IF($A73="","",基本信息!BQ62)</f>
        <v/>
      </c>
      <c r="C73" s="50" t="str">
        <f>IF($A73="","",计算结果!BT62-G73-H73)</f>
        <v/>
      </c>
      <c r="D73" s="40" t="str">
        <f>IF($A73="","",基本信息!BS62)</f>
        <v/>
      </c>
      <c r="F73" s="40" t="str">
        <f>IF($A73="","",基本信息!A62)</f>
        <v/>
      </c>
      <c r="G73" s="50" t="str">
        <f>IF($A73="","",计算结果!BI62+计算结果!BJ62)</f>
        <v/>
      </c>
      <c r="H73" s="50" t="str">
        <f>IF($A73="","",计算结果!BK62)</f>
        <v/>
      </c>
    </row>
    <row r="74" spans="1:8">
      <c r="A74" s="40" t="str">
        <f>IF(AND(OR(IFERROR(FIND("交行",基本信息!BS63),0)&gt;0,IFERROR(FIND("交通银行",基本信息!BS63),0)&gt;0),计算结果!BT63&gt;0),基本信息!BR63,"")</f>
        <v/>
      </c>
      <c r="B74" s="40" t="str">
        <f>IF($A74="","",基本信息!BQ63)</f>
        <v/>
      </c>
      <c r="C74" s="50" t="str">
        <f>IF($A74="","",计算结果!BT63-G74-H74)</f>
        <v/>
      </c>
      <c r="D74" s="40" t="str">
        <f>IF($A74="","",基本信息!BS63)</f>
        <v/>
      </c>
      <c r="F74" s="40" t="str">
        <f>IF($A74="","",基本信息!A63)</f>
        <v/>
      </c>
      <c r="G74" s="50" t="str">
        <f>IF($A74="","",计算结果!BI63+计算结果!BJ63)</f>
        <v/>
      </c>
      <c r="H74" s="50" t="str">
        <f>IF($A74="","",计算结果!BK63)</f>
        <v/>
      </c>
    </row>
    <row r="75" spans="1:8">
      <c r="A75" s="40" t="str">
        <f>IF(AND(OR(IFERROR(FIND("交行",基本信息!BS64),0)&gt;0,IFERROR(FIND("交通银行",基本信息!BS64),0)&gt;0),计算结果!BT64&gt;0),基本信息!BR64,"")</f>
        <v/>
      </c>
      <c r="B75" s="40" t="str">
        <f>IF($A75="","",基本信息!BQ64)</f>
        <v/>
      </c>
      <c r="C75" s="50" t="str">
        <f>IF($A75="","",计算结果!BT64-G75-H75)</f>
        <v/>
      </c>
      <c r="D75" s="40" t="str">
        <f>IF($A75="","",基本信息!BS64)</f>
        <v/>
      </c>
      <c r="F75" s="40" t="str">
        <f>IF($A75="","",基本信息!A64)</f>
        <v/>
      </c>
      <c r="G75" s="50" t="str">
        <f>IF($A75="","",计算结果!BI64+计算结果!BJ64)</f>
        <v/>
      </c>
      <c r="H75" s="50" t="str">
        <f>IF($A75="","",计算结果!BK64)</f>
        <v/>
      </c>
    </row>
    <row r="76" spans="1:8">
      <c r="A76" s="40" t="str">
        <f>IF(AND(OR(IFERROR(FIND("交行",基本信息!BS65),0)&gt;0,IFERROR(FIND("交通银行",基本信息!BS65),0)&gt;0),计算结果!BT65&gt;0),基本信息!BR65,"")</f>
        <v/>
      </c>
      <c r="B76" s="40" t="str">
        <f>IF($A76="","",基本信息!BQ65)</f>
        <v/>
      </c>
      <c r="C76" s="50" t="str">
        <f>IF($A76="","",计算结果!BT65-G76-H76)</f>
        <v/>
      </c>
      <c r="D76" s="40" t="str">
        <f>IF($A76="","",基本信息!BS65)</f>
        <v/>
      </c>
      <c r="F76" s="40" t="str">
        <f>IF($A76="","",基本信息!A65)</f>
        <v/>
      </c>
      <c r="G76" s="50" t="str">
        <f>IF($A76="","",计算结果!BI65+计算结果!BJ65)</f>
        <v/>
      </c>
      <c r="H76" s="50" t="str">
        <f>IF($A76="","",计算结果!BK65)</f>
        <v/>
      </c>
    </row>
    <row r="77" spans="1:8">
      <c r="A77" s="40" t="str">
        <f>IF(AND(OR(IFERROR(FIND("交行",基本信息!BS66),0)&gt;0,IFERROR(FIND("交通银行",基本信息!BS66),0)&gt;0),计算结果!BT66&gt;0),基本信息!BR66,"")</f>
        <v/>
      </c>
      <c r="B77" s="40" t="str">
        <f>IF($A77="","",基本信息!BQ66)</f>
        <v/>
      </c>
      <c r="C77" s="50" t="str">
        <f>IF($A77="","",计算结果!BT66-G77-H77)</f>
        <v/>
      </c>
      <c r="D77" s="40" t="str">
        <f>IF($A77="","",基本信息!BS66)</f>
        <v/>
      </c>
      <c r="F77" s="40" t="str">
        <f>IF($A77="","",基本信息!A66)</f>
        <v/>
      </c>
      <c r="G77" s="50" t="str">
        <f>IF($A77="","",计算结果!BI66+计算结果!BJ66)</f>
        <v/>
      </c>
      <c r="H77" s="50" t="str">
        <f>IF($A77="","",计算结果!BK66)</f>
        <v/>
      </c>
    </row>
    <row r="78" spans="1:8">
      <c r="A78" s="40" t="str">
        <f>IF(AND(OR(IFERROR(FIND("交行",基本信息!BS67),0)&gt;0,IFERROR(FIND("交通银行",基本信息!BS67),0)&gt;0),计算结果!BT67&gt;0),基本信息!BR67,"")</f>
        <v/>
      </c>
      <c r="B78" s="40" t="str">
        <f>IF($A78="","",基本信息!BQ67)</f>
        <v/>
      </c>
      <c r="C78" s="50" t="str">
        <f>IF($A78="","",计算结果!BT67-G78-H78)</f>
        <v/>
      </c>
      <c r="D78" s="40" t="str">
        <f>IF($A78="","",基本信息!BS67)</f>
        <v/>
      </c>
      <c r="F78" s="40" t="str">
        <f>IF($A78="","",基本信息!A67)</f>
        <v/>
      </c>
      <c r="G78" s="50" t="str">
        <f>IF($A78="","",计算结果!BI67+计算结果!BJ67)</f>
        <v/>
      </c>
      <c r="H78" s="50" t="str">
        <f>IF($A78="","",计算结果!BK67)</f>
        <v/>
      </c>
    </row>
    <row r="79" spans="1:8">
      <c r="A79" s="40" t="str">
        <f>IF(AND(OR(IFERROR(FIND("交行",基本信息!BS68),0)&gt;0,IFERROR(FIND("交通银行",基本信息!BS68),0)&gt;0),计算结果!BT68&gt;0),基本信息!BR68,"")</f>
        <v/>
      </c>
      <c r="B79" s="40" t="str">
        <f>IF($A79="","",基本信息!BQ68)</f>
        <v/>
      </c>
      <c r="C79" s="50" t="str">
        <f>IF($A79="","",计算结果!BT68-G79-H79)</f>
        <v/>
      </c>
      <c r="D79" s="40" t="str">
        <f>IF($A79="","",基本信息!BS68)</f>
        <v/>
      </c>
      <c r="F79" s="40" t="str">
        <f>IF($A79="","",基本信息!A68)</f>
        <v/>
      </c>
      <c r="G79" s="50" t="str">
        <f>IF($A79="","",计算结果!BI68+计算结果!BJ68)</f>
        <v/>
      </c>
      <c r="H79" s="50" t="str">
        <f>IF($A79="","",计算结果!BK68)</f>
        <v/>
      </c>
    </row>
    <row r="80" spans="1:8">
      <c r="A80" s="40" t="str">
        <f>IF(AND(OR(IFERROR(FIND("交行",基本信息!BS69),0)&gt;0,IFERROR(FIND("交通银行",基本信息!BS69),0)&gt;0),计算结果!BT69&gt;0),基本信息!BR69,"")</f>
        <v/>
      </c>
      <c r="B80" s="40" t="str">
        <f>IF($A80="","",基本信息!BQ69)</f>
        <v/>
      </c>
      <c r="C80" s="50" t="str">
        <f>IF($A80="","",计算结果!BT69-G80-H80)</f>
        <v/>
      </c>
      <c r="D80" s="40" t="str">
        <f>IF($A80="","",基本信息!BS69)</f>
        <v/>
      </c>
      <c r="F80" s="40" t="str">
        <f>IF($A80="","",基本信息!A69)</f>
        <v/>
      </c>
      <c r="G80" s="50" t="str">
        <f>IF($A80="","",计算结果!BI69+计算结果!BJ69)</f>
        <v/>
      </c>
      <c r="H80" s="50" t="str">
        <f>IF($A80="","",计算结果!BK69)</f>
        <v/>
      </c>
    </row>
    <row r="81" spans="1:8">
      <c r="A81" s="40" t="str">
        <f>IF(AND(OR(IFERROR(FIND("交行",基本信息!BS70),0)&gt;0,IFERROR(FIND("交通银行",基本信息!BS70),0)&gt;0),计算结果!BT70&gt;0),基本信息!BR70,"")</f>
        <v/>
      </c>
      <c r="B81" s="40" t="str">
        <f>IF($A81="","",基本信息!BQ70)</f>
        <v/>
      </c>
      <c r="C81" s="50" t="str">
        <f>IF($A81="","",计算结果!BT70-G81-H81)</f>
        <v/>
      </c>
      <c r="D81" s="40" t="str">
        <f>IF($A81="","",基本信息!BS70)</f>
        <v/>
      </c>
      <c r="F81" s="40" t="str">
        <f>IF($A81="","",基本信息!A70)</f>
        <v/>
      </c>
      <c r="G81" s="50" t="str">
        <f>IF($A81="","",计算结果!BI70+计算结果!BJ70)</f>
        <v/>
      </c>
      <c r="H81" s="50" t="str">
        <f>IF($A81="","",计算结果!BK70)</f>
        <v/>
      </c>
    </row>
    <row r="82" spans="1:8">
      <c r="A82" s="40" t="str">
        <f>IF(AND(OR(IFERROR(FIND("交行",基本信息!BS71),0)&gt;0,IFERROR(FIND("交通银行",基本信息!BS71),0)&gt;0),计算结果!BT71&gt;0),基本信息!BR71,"")</f>
        <v/>
      </c>
      <c r="B82" s="40" t="str">
        <f>IF($A82="","",基本信息!BQ71)</f>
        <v/>
      </c>
      <c r="C82" s="50" t="str">
        <f>IF($A82="","",计算结果!BT71-G82-H82)</f>
        <v/>
      </c>
      <c r="D82" s="40" t="str">
        <f>IF($A82="","",基本信息!BS71)</f>
        <v/>
      </c>
      <c r="F82" s="40" t="str">
        <f>IF($A82="","",基本信息!A71)</f>
        <v/>
      </c>
      <c r="G82" s="50" t="str">
        <f>IF($A82="","",计算结果!BI71+计算结果!BJ71)</f>
        <v/>
      </c>
      <c r="H82" s="50" t="str">
        <f>IF($A82="","",计算结果!BK71)</f>
        <v/>
      </c>
    </row>
    <row r="83" spans="1:8">
      <c r="A83" s="40" t="str">
        <f>IF(AND(OR(IFERROR(FIND("交行",基本信息!BS72),0)&gt;0,IFERROR(FIND("交通银行",基本信息!BS72),0)&gt;0),计算结果!BT72&gt;0),基本信息!BR72,"")</f>
        <v/>
      </c>
      <c r="B83" s="40" t="str">
        <f>IF($A83="","",基本信息!BQ72)</f>
        <v/>
      </c>
      <c r="C83" s="50" t="str">
        <f>IF($A83="","",计算结果!BT72-G83-H83)</f>
        <v/>
      </c>
      <c r="D83" s="40" t="str">
        <f>IF($A83="","",基本信息!BS72)</f>
        <v/>
      </c>
      <c r="F83" s="40" t="str">
        <f>IF($A83="","",基本信息!A72)</f>
        <v/>
      </c>
      <c r="G83" s="50" t="str">
        <f>IF($A83="","",计算结果!BI72+计算结果!BJ72)</f>
        <v/>
      </c>
      <c r="H83" s="50" t="str">
        <f>IF($A83="","",计算结果!BK72)</f>
        <v/>
      </c>
    </row>
    <row r="84" spans="1:8">
      <c r="A84" s="40" t="str">
        <f>IF(AND(OR(IFERROR(FIND("交行",基本信息!BS73),0)&gt;0,IFERROR(FIND("交通银行",基本信息!BS73),0)&gt;0),计算结果!BT73&gt;0),基本信息!BR73,"")</f>
        <v/>
      </c>
      <c r="B84" s="40" t="str">
        <f>IF($A84="","",基本信息!BQ73)</f>
        <v/>
      </c>
      <c r="C84" s="50" t="str">
        <f>IF($A84="","",计算结果!BT73-G84-H84)</f>
        <v/>
      </c>
      <c r="D84" s="40" t="str">
        <f>IF($A84="","",基本信息!BS73)</f>
        <v/>
      </c>
      <c r="F84" s="40" t="str">
        <f>IF($A84="","",基本信息!A73)</f>
        <v/>
      </c>
      <c r="G84" s="50" t="str">
        <f>IF($A84="","",计算结果!BI73+计算结果!BJ73)</f>
        <v/>
      </c>
      <c r="H84" s="50" t="str">
        <f>IF($A84="","",计算结果!BK73)</f>
        <v/>
      </c>
    </row>
    <row r="85" spans="1:8">
      <c r="A85" s="40" t="str">
        <f>IF(AND(OR(IFERROR(FIND("交行",基本信息!BS74),0)&gt;0,IFERROR(FIND("交通银行",基本信息!BS74),0)&gt;0),计算结果!BT74&gt;0),基本信息!BR74,"")</f>
        <v/>
      </c>
      <c r="B85" s="40" t="str">
        <f>IF($A85="","",基本信息!BQ74)</f>
        <v/>
      </c>
      <c r="C85" s="50" t="str">
        <f>IF($A85="","",计算结果!BT74-G85-H85)</f>
        <v/>
      </c>
      <c r="D85" s="40" t="str">
        <f>IF($A85="","",基本信息!BS74)</f>
        <v/>
      </c>
      <c r="F85" s="40" t="str">
        <f>IF($A85="","",基本信息!A74)</f>
        <v/>
      </c>
      <c r="G85" s="50" t="str">
        <f>IF($A85="","",计算结果!BI74+计算结果!BJ74)</f>
        <v/>
      </c>
      <c r="H85" s="50" t="str">
        <f>IF($A85="","",计算结果!BK74)</f>
        <v/>
      </c>
    </row>
    <row r="86" spans="1:8">
      <c r="A86" s="40" t="str">
        <f>IF(AND(OR(IFERROR(FIND("交行",基本信息!BS75),0)&gt;0,IFERROR(FIND("交通银行",基本信息!BS75),0)&gt;0),计算结果!BT75&gt;0),基本信息!BR75,"")</f>
        <v/>
      </c>
      <c r="B86" s="40" t="str">
        <f>IF($A86="","",基本信息!BQ75)</f>
        <v/>
      </c>
      <c r="C86" s="50" t="str">
        <f>IF($A86="","",计算结果!BT75-G86-H86)</f>
        <v/>
      </c>
      <c r="D86" s="40" t="str">
        <f>IF($A86="","",基本信息!BS75)</f>
        <v/>
      </c>
      <c r="F86" s="40" t="str">
        <f>IF($A86="","",基本信息!A75)</f>
        <v/>
      </c>
      <c r="G86" s="50" t="str">
        <f>IF($A86="","",计算结果!BI75+计算结果!BJ75)</f>
        <v/>
      </c>
      <c r="H86" s="50" t="str">
        <f>IF($A86="","",计算结果!BK75)</f>
        <v/>
      </c>
    </row>
    <row r="87" spans="1:8">
      <c r="A87" s="40" t="str">
        <f>IF(AND(OR(IFERROR(FIND("交行",基本信息!BS76),0)&gt;0,IFERROR(FIND("交通银行",基本信息!BS76),0)&gt;0),计算结果!BT76&gt;0),基本信息!BR76,"")</f>
        <v/>
      </c>
      <c r="B87" s="40" t="str">
        <f>IF($A87="","",基本信息!BQ76)</f>
        <v/>
      </c>
      <c r="C87" s="50" t="str">
        <f>IF($A87="","",计算结果!BT76-G87-H87)</f>
        <v/>
      </c>
      <c r="D87" s="40" t="str">
        <f>IF($A87="","",基本信息!BS76)</f>
        <v/>
      </c>
      <c r="F87" s="40" t="str">
        <f>IF($A87="","",基本信息!A76)</f>
        <v/>
      </c>
      <c r="G87" s="50" t="str">
        <f>IF($A87="","",计算结果!BI76+计算结果!BJ76)</f>
        <v/>
      </c>
      <c r="H87" s="50" t="str">
        <f>IF($A87="","",计算结果!BK76)</f>
        <v/>
      </c>
    </row>
    <row r="88" spans="1:8">
      <c r="A88" s="40" t="str">
        <f>IF(AND(OR(IFERROR(FIND("交行",基本信息!BS77),0)&gt;0,IFERROR(FIND("交通银行",基本信息!BS77),0)&gt;0),计算结果!BT77&gt;0),基本信息!BR77,"")</f>
        <v/>
      </c>
      <c r="B88" s="40" t="str">
        <f>IF($A88="","",基本信息!BQ77)</f>
        <v/>
      </c>
      <c r="C88" s="50" t="str">
        <f>IF($A88="","",计算结果!BT77-G88-H88)</f>
        <v/>
      </c>
      <c r="D88" s="40" t="str">
        <f>IF($A88="","",基本信息!BS77)</f>
        <v/>
      </c>
      <c r="F88" s="40" t="str">
        <f>IF($A88="","",基本信息!A77)</f>
        <v/>
      </c>
      <c r="G88" s="50" t="str">
        <f>IF($A88="","",计算结果!BI77+计算结果!BJ77)</f>
        <v/>
      </c>
      <c r="H88" s="50" t="str">
        <f>IF($A88="","",计算结果!BK77)</f>
        <v/>
      </c>
    </row>
    <row r="89" spans="1:8">
      <c r="A89" s="40" t="str">
        <f>IF(AND(OR(IFERROR(FIND("交行",基本信息!BS78),0)&gt;0,IFERROR(FIND("交通银行",基本信息!BS78),0)&gt;0),计算结果!BT78&gt;0),基本信息!BR78,"")</f>
        <v/>
      </c>
      <c r="B89" s="40" t="str">
        <f>IF($A89="","",基本信息!BQ78)</f>
        <v/>
      </c>
      <c r="C89" s="50" t="str">
        <f>IF($A89="","",计算结果!BT78-G89-H89)</f>
        <v/>
      </c>
      <c r="D89" s="40" t="str">
        <f>IF($A89="","",基本信息!BS78)</f>
        <v/>
      </c>
      <c r="F89" s="40" t="str">
        <f>IF($A89="","",基本信息!A78)</f>
        <v/>
      </c>
      <c r="G89" s="50" t="str">
        <f>IF($A89="","",计算结果!BI78+计算结果!BJ78)</f>
        <v/>
      </c>
      <c r="H89" s="50" t="str">
        <f>IF($A89="","",计算结果!BK78)</f>
        <v/>
      </c>
    </row>
    <row r="90" spans="1:8">
      <c r="A90" s="40" t="str">
        <f>IF(AND(OR(IFERROR(FIND("交行",基本信息!BS79),0)&gt;0,IFERROR(FIND("交通银行",基本信息!BS79),0)&gt;0),计算结果!BT79&gt;0),基本信息!BR79,"")</f>
        <v/>
      </c>
      <c r="B90" s="40" t="str">
        <f>IF($A90="","",基本信息!BQ79)</f>
        <v/>
      </c>
      <c r="C90" s="50" t="str">
        <f>IF($A90="","",计算结果!BT79-G90-H90)</f>
        <v/>
      </c>
      <c r="D90" s="40" t="str">
        <f>IF($A90="","",基本信息!BS79)</f>
        <v/>
      </c>
      <c r="F90" s="40" t="str">
        <f>IF($A90="","",基本信息!A79)</f>
        <v/>
      </c>
      <c r="G90" s="50" t="str">
        <f>IF($A90="","",计算结果!BI79+计算结果!BJ79)</f>
        <v/>
      </c>
      <c r="H90" s="50" t="str">
        <f>IF($A90="","",计算结果!BK79)</f>
        <v/>
      </c>
    </row>
    <row r="91" spans="1:8">
      <c r="A91" s="40" t="str">
        <f>IF(AND(OR(IFERROR(FIND("交行",基本信息!BS80),0)&gt;0,IFERROR(FIND("交通银行",基本信息!BS80),0)&gt;0),计算结果!BT80&gt;0),基本信息!BR80,"")</f>
        <v/>
      </c>
      <c r="B91" s="40" t="str">
        <f>IF($A91="","",基本信息!BQ80)</f>
        <v/>
      </c>
      <c r="C91" s="50" t="str">
        <f>IF($A91="","",计算结果!BT80-G91-H91)</f>
        <v/>
      </c>
      <c r="D91" s="40" t="str">
        <f>IF($A91="","",基本信息!BS80)</f>
        <v/>
      </c>
      <c r="F91" s="40" t="str">
        <f>IF($A91="","",基本信息!A80)</f>
        <v/>
      </c>
      <c r="G91" s="50" t="str">
        <f>IF($A91="","",计算结果!BI80+计算结果!BJ80)</f>
        <v/>
      </c>
      <c r="H91" s="50" t="str">
        <f>IF($A91="","",计算结果!BK80)</f>
        <v/>
      </c>
    </row>
    <row r="92" spans="1:8">
      <c r="A92" s="40" t="str">
        <f>IF(AND(OR(IFERROR(FIND("交行",基本信息!BS81),0)&gt;0,IFERROR(FIND("交通银行",基本信息!BS81),0)&gt;0),计算结果!BT81&gt;0),基本信息!BR81,"")</f>
        <v/>
      </c>
      <c r="B92" s="40" t="str">
        <f>IF($A92="","",基本信息!BQ81)</f>
        <v/>
      </c>
      <c r="C92" s="50" t="str">
        <f>IF($A92="","",计算结果!BT81-G92-H92)</f>
        <v/>
      </c>
      <c r="D92" s="40" t="str">
        <f>IF($A92="","",基本信息!BS81)</f>
        <v/>
      </c>
      <c r="F92" s="40" t="str">
        <f>IF($A92="","",基本信息!A81)</f>
        <v/>
      </c>
      <c r="G92" s="50" t="str">
        <f>IF($A92="","",计算结果!BI81+计算结果!BJ81)</f>
        <v/>
      </c>
      <c r="H92" s="50" t="str">
        <f>IF($A92="","",计算结果!BK81)</f>
        <v/>
      </c>
    </row>
    <row r="93" spans="1:8">
      <c r="A93" s="40" t="str">
        <f>IF(AND(OR(IFERROR(FIND("交行",基本信息!BS82),0)&gt;0,IFERROR(FIND("交通银行",基本信息!BS82),0)&gt;0),计算结果!BT82&gt;0),基本信息!BR82,"")</f>
        <v/>
      </c>
      <c r="B93" s="40" t="str">
        <f>IF($A93="","",基本信息!BQ82)</f>
        <v/>
      </c>
      <c r="C93" s="50" t="str">
        <f>IF($A93="","",计算结果!BT82-G93-H93)</f>
        <v/>
      </c>
      <c r="D93" s="40" t="str">
        <f>IF($A93="","",基本信息!BS82)</f>
        <v/>
      </c>
      <c r="F93" s="40" t="str">
        <f>IF($A93="","",基本信息!A82)</f>
        <v/>
      </c>
      <c r="G93" s="50" t="str">
        <f>IF($A93="","",计算结果!BI82+计算结果!BJ82)</f>
        <v/>
      </c>
      <c r="H93" s="50" t="str">
        <f>IF($A93="","",计算结果!BK82)</f>
        <v/>
      </c>
    </row>
    <row r="94" spans="1:8">
      <c r="A94" s="40" t="str">
        <f>IF(AND(OR(IFERROR(FIND("交行",基本信息!BS83),0)&gt;0,IFERROR(FIND("交通银行",基本信息!BS83),0)&gt;0),计算结果!BT83&gt;0),基本信息!BR83,"")</f>
        <v/>
      </c>
      <c r="B94" s="40" t="str">
        <f>IF($A94="","",基本信息!BQ83)</f>
        <v/>
      </c>
      <c r="C94" s="50" t="str">
        <f>IF($A94="","",计算结果!BT83-G94-H94)</f>
        <v/>
      </c>
      <c r="D94" s="40" t="str">
        <f>IF($A94="","",基本信息!BS83)</f>
        <v/>
      </c>
      <c r="F94" s="40" t="str">
        <f>IF($A94="","",基本信息!A83)</f>
        <v/>
      </c>
      <c r="G94" s="50" t="str">
        <f>IF($A94="","",计算结果!BI83+计算结果!BJ83)</f>
        <v/>
      </c>
      <c r="H94" s="50" t="str">
        <f>IF($A94="","",计算结果!BK83)</f>
        <v/>
      </c>
    </row>
    <row r="95" spans="1:8">
      <c r="A95" s="40" t="str">
        <f>IF(AND(OR(IFERROR(FIND("交行",基本信息!BS84),0)&gt;0,IFERROR(FIND("交通银行",基本信息!BS84),0)&gt;0),计算结果!BT84&gt;0),基本信息!BR84,"")</f>
        <v/>
      </c>
      <c r="B95" s="40" t="str">
        <f>IF($A95="","",基本信息!BQ84)</f>
        <v/>
      </c>
      <c r="C95" s="50" t="str">
        <f>IF($A95="","",计算结果!BT84-G95-H95)</f>
        <v/>
      </c>
      <c r="D95" s="40" t="str">
        <f>IF($A95="","",基本信息!BS84)</f>
        <v/>
      </c>
      <c r="F95" s="40" t="str">
        <f>IF($A95="","",基本信息!A84)</f>
        <v/>
      </c>
      <c r="G95" s="50" t="str">
        <f>IF($A95="","",计算结果!BI84+计算结果!BJ84)</f>
        <v/>
      </c>
      <c r="H95" s="50" t="str">
        <f>IF($A95="","",计算结果!BK84)</f>
        <v/>
      </c>
    </row>
    <row r="96" spans="1:8">
      <c r="A96" s="40" t="str">
        <f>IF(AND(OR(IFERROR(FIND("交行",基本信息!BS85),0)&gt;0,IFERROR(FIND("交通银行",基本信息!BS85),0)&gt;0),计算结果!BT85&gt;0),基本信息!BR85,"")</f>
        <v/>
      </c>
      <c r="B96" s="40" t="str">
        <f>IF($A96="","",基本信息!BQ85)</f>
        <v/>
      </c>
      <c r="C96" s="50" t="str">
        <f>IF($A96="","",计算结果!BT85-G96-H96)</f>
        <v/>
      </c>
      <c r="D96" s="40" t="str">
        <f>IF($A96="","",基本信息!BS85)</f>
        <v/>
      </c>
      <c r="F96" s="40" t="str">
        <f>IF($A96="","",基本信息!A85)</f>
        <v/>
      </c>
      <c r="G96" s="50" t="str">
        <f>IF($A96="","",计算结果!BI85+计算结果!BJ85)</f>
        <v/>
      </c>
      <c r="H96" s="50" t="str">
        <f>IF($A96="","",计算结果!BK85)</f>
        <v/>
      </c>
    </row>
    <row r="97" spans="1:8">
      <c r="A97" s="40" t="str">
        <f>IF(AND(OR(IFERROR(FIND("交行",基本信息!BS86),0)&gt;0,IFERROR(FIND("交通银行",基本信息!BS86),0)&gt;0),计算结果!BT86&gt;0),基本信息!BR86,"")</f>
        <v/>
      </c>
      <c r="B97" s="40" t="str">
        <f>IF($A97="","",基本信息!BQ86)</f>
        <v/>
      </c>
      <c r="C97" s="50" t="str">
        <f>IF($A97="","",计算结果!BT86-G97-H97)</f>
        <v/>
      </c>
      <c r="D97" s="40" t="str">
        <f>IF($A97="","",基本信息!BS86)</f>
        <v/>
      </c>
      <c r="F97" s="40" t="str">
        <f>IF($A97="","",基本信息!A86)</f>
        <v/>
      </c>
      <c r="G97" s="50" t="str">
        <f>IF($A97="","",计算结果!BI86+计算结果!BJ86)</f>
        <v/>
      </c>
      <c r="H97" s="50" t="str">
        <f>IF($A97="","",计算结果!BK86)</f>
        <v/>
      </c>
    </row>
    <row r="98" spans="1:8">
      <c r="A98" s="40" t="str">
        <f>IF(AND(OR(IFERROR(FIND("交行",基本信息!BS87),0)&gt;0,IFERROR(FIND("交通银行",基本信息!BS87),0)&gt;0),计算结果!BT87&gt;0),基本信息!BR87,"")</f>
        <v/>
      </c>
      <c r="B98" s="40" t="str">
        <f>IF($A98="","",基本信息!BQ87)</f>
        <v/>
      </c>
      <c r="C98" s="50" t="str">
        <f>IF($A98="","",计算结果!BT87-G98-H98)</f>
        <v/>
      </c>
      <c r="D98" s="40" t="str">
        <f>IF($A98="","",基本信息!BS87)</f>
        <v/>
      </c>
      <c r="F98" s="40" t="str">
        <f>IF($A98="","",基本信息!A87)</f>
        <v/>
      </c>
      <c r="G98" s="50" t="str">
        <f>IF($A98="","",计算结果!BI87+计算结果!BJ87)</f>
        <v/>
      </c>
      <c r="H98" s="50" t="str">
        <f>IF($A98="","",计算结果!BK87)</f>
        <v/>
      </c>
    </row>
    <row r="99" spans="1:8">
      <c r="A99" s="40" t="str">
        <f>IF(AND(OR(IFERROR(FIND("交行",基本信息!BS88),0)&gt;0,IFERROR(FIND("交通银行",基本信息!BS88),0)&gt;0),计算结果!BT88&gt;0),基本信息!BR88,"")</f>
        <v/>
      </c>
      <c r="B99" s="40" t="str">
        <f>IF($A99="","",基本信息!BQ88)</f>
        <v/>
      </c>
      <c r="C99" s="50" t="str">
        <f>IF($A99="","",计算结果!BT88-G99-H99)</f>
        <v/>
      </c>
      <c r="D99" s="40" t="str">
        <f>IF($A99="","",基本信息!BS88)</f>
        <v/>
      </c>
      <c r="F99" s="40" t="str">
        <f>IF($A99="","",基本信息!A88)</f>
        <v/>
      </c>
      <c r="G99" s="50" t="str">
        <f>IF($A99="","",计算结果!BI88+计算结果!BJ88)</f>
        <v/>
      </c>
      <c r="H99" s="50" t="str">
        <f>IF($A99="","",计算结果!BK88)</f>
        <v/>
      </c>
    </row>
    <row r="100" spans="1:8">
      <c r="A100" s="40" t="str">
        <f>IF(AND(OR(IFERROR(FIND("交行",基本信息!BS89),0)&gt;0,IFERROR(FIND("交通银行",基本信息!BS89),0)&gt;0),计算结果!BT89&gt;0),基本信息!BR89,"")</f>
        <v/>
      </c>
      <c r="B100" s="40" t="str">
        <f>IF($A100="","",基本信息!BQ89)</f>
        <v/>
      </c>
      <c r="C100" s="50" t="str">
        <f>IF($A100="","",计算结果!BT89-G100-H100)</f>
        <v/>
      </c>
      <c r="D100" s="40" t="str">
        <f>IF($A100="","",基本信息!BS89)</f>
        <v/>
      </c>
      <c r="F100" s="40" t="str">
        <f>IF($A100="","",基本信息!A89)</f>
        <v/>
      </c>
      <c r="G100" s="50" t="str">
        <f>IF($A100="","",计算结果!BI89+计算结果!BJ89)</f>
        <v/>
      </c>
      <c r="H100" s="50" t="str">
        <f>IF($A100="","",计算结果!BK89)</f>
        <v/>
      </c>
    </row>
    <row r="101" spans="1:8">
      <c r="A101" s="40" t="str">
        <f>IF(AND(OR(IFERROR(FIND("交行",基本信息!BS90),0)&gt;0,IFERROR(FIND("交通银行",基本信息!BS90),0)&gt;0),计算结果!BT90&gt;0),基本信息!BR90,"")</f>
        <v/>
      </c>
      <c r="B101" s="40" t="str">
        <f>IF($A101="","",基本信息!BQ90)</f>
        <v/>
      </c>
      <c r="C101" s="50" t="str">
        <f>IF($A101="","",计算结果!BT90-G101-H101)</f>
        <v/>
      </c>
      <c r="D101" s="40" t="str">
        <f>IF($A101="","",基本信息!BS90)</f>
        <v/>
      </c>
      <c r="F101" s="40" t="str">
        <f>IF($A101="","",基本信息!A90)</f>
        <v/>
      </c>
      <c r="G101" s="50" t="str">
        <f>IF($A101="","",计算结果!BI90+计算结果!BJ90)</f>
        <v/>
      </c>
      <c r="H101" s="50" t="str">
        <f>IF($A101="","",计算结果!BK90)</f>
        <v/>
      </c>
    </row>
    <row r="102" spans="1:8">
      <c r="A102" s="40" t="str">
        <f>IF(AND(OR(IFERROR(FIND("交行",基本信息!BS91),0)&gt;0,IFERROR(FIND("交通银行",基本信息!BS91),0)&gt;0),计算结果!BT91&gt;0),基本信息!BR91,"")</f>
        <v/>
      </c>
      <c r="B102" s="40" t="str">
        <f>IF($A102="","",基本信息!BQ91)</f>
        <v/>
      </c>
      <c r="C102" s="50" t="str">
        <f>IF($A102="","",计算结果!BT91-G102-H102)</f>
        <v/>
      </c>
      <c r="D102" s="40" t="str">
        <f>IF($A102="","",基本信息!BS91)</f>
        <v/>
      </c>
      <c r="F102" s="40" t="str">
        <f>IF($A102="","",基本信息!A91)</f>
        <v/>
      </c>
      <c r="G102" s="50" t="str">
        <f>IF($A102="","",计算结果!BI91+计算结果!BJ91)</f>
        <v/>
      </c>
      <c r="H102" s="50" t="str">
        <f>IF($A102="","",计算结果!BK91)</f>
        <v/>
      </c>
    </row>
    <row r="103" spans="1:8">
      <c r="A103" s="40" t="str">
        <f>IF(AND(OR(IFERROR(FIND("交行",基本信息!BS92),0)&gt;0,IFERROR(FIND("交通银行",基本信息!BS92),0)&gt;0),计算结果!BT92&gt;0),基本信息!BR92,"")</f>
        <v/>
      </c>
      <c r="B103" s="40" t="str">
        <f>IF($A103="","",基本信息!BQ92)</f>
        <v/>
      </c>
      <c r="C103" s="50" t="str">
        <f>IF($A103="","",计算结果!BT92-G103-H103)</f>
        <v/>
      </c>
      <c r="D103" s="40" t="str">
        <f>IF($A103="","",基本信息!BS92)</f>
        <v/>
      </c>
      <c r="F103" s="40" t="str">
        <f>IF($A103="","",基本信息!A92)</f>
        <v/>
      </c>
      <c r="G103" s="50" t="str">
        <f>IF($A103="","",计算结果!BI92+计算结果!BJ92)</f>
        <v/>
      </c>
      <c r="H103" s="50" t="str">
        <f>IF($A103="","",计算结果!BK92)</f>
        <v/>
      </c>
    </row>
    <row r="104" spans="1:8">
      <c r="A104" s="40" t="str">
        <f>IF(AND(OR(IFERROR(FIND("交行",基本信息!BS93),0)&gt;0,IFERROR(FIND("交通银行",基本信息!BS93),0)&gt;0),计算结果!BT93&gt;0),基本信息!BR93,"")</f>
        <v/>
      </c>
      <c r="B104" s="40" t="str">
        <f>IF($A104="","",基本信息!BQ93)</f>
        <v/>
      </c>
      <c r="C104" s="50" t="str">
        <f>IF($A104="","",计算结果!BT93-G104-H104)</f>
        <v/>
      </c>
      <c r="D104" s="40" t="str">
        <f>IF($A104="","",基本信息!BS93)</f>
        <v/>
      </c>
      <c r="F104" s="40" t="str">
        <f>IF($A104="","",基本信息!A93)</f>
        <v/>
      </c>
      <c r="G104" s="50" t="str">
        <f>IF($A104="","",计算结果!BI93+计算结果!BJ93)</f>
        <v/>
      </c>
      <c r="H104" s="50" t="str">
        <f>IF($A104="","",计算结果!BK93)</f>
        <v/>
      </c>
    </row>
    <row r="105" spans="1:8">
      <c r="A105" s="40" t="str">
        <f>IF(AND(OR(IFERROR(FIND("交行",基本信息!BS94),0)&gt;0,IFERROR(FIND("交通银行",基本信息!BS94),0)&gt;0),计算结果!BT94&gt;0),基本信息!BR94,"")</f>
        <v/>
      </c>
      <c r="B105" s="40" t="str">
        <f>IF($A105="","",基本信息!BQ94)</f>
        <v/>
      </c>
      <c r="C105" s="50" t="str">
        <f>IF($A105="","",计算结果!BT94-G105-H105)</f>
        <v/>
      </c>
      <c r="D105" s="40" t="str">
        <f>IF($A105="","",基本信息!BS94)</f>
        <v/>
      </c>
      <c r="F105" s="40" t="str">
        <f>IF($A105="","",基本信息!A94)</f>
        <v/>
      </c>
      <c r="G105" s="50" t="str">
        <f>IF($A105="","",计算结果!BI94+计算结果!BJ94)</f>
        <v/>
      </c>
      <c r="H105" s="50" t="str">
        <f>IF($A105="","",计算结果!BK94)</f>
        <v/>
      </c>
    </row>
    <row r="106" spans="1:8">
      <c r="A106" s="40" t="str">
        <f>IF(AND(OR(IFERROR(FIND("交行",基本信息!BS95),0)&gt;0,IFERROR(FIND("交通银行",基本信息!BS95),0)&gt;0),计算结果!BT95&gt;0),基本信息!BR95,"")</f>
        <v/>
      </c>
      <c r="B106" s="40" t="str">
        <f>IF($A106="","",基本信息!BQ95)</f>
        <v/>
      </c>
      <c r="C106" s="50" t="str">
        <f>IF($A106="","",计算结果!BT95-G106-H106)</f>
        <v/>
      </c>
      <c r="D106" s="40" t="str">
        <f>IF($A106="","",基本信息!BS95)</f>
        <v/>
      </c>
      <c r="F106" s="40" t="str">
        <f>IF($A106="","",基本信息!A95)</f>
        <v/>
      </c>
      <c r="G106" s="50" t="str">
        <f>IF($A106="","",计算结果!BI95+计算结果!BJ95)</f>
        <v/>
      </c>
      <c r="H106" s="50" t="str">
        <f>IF($A106="","",计算结果!BK95)</f>
        <v/>
      </c>
    </row>
    <row r="107" spans="1:8">
      <c r="A107" s="40" t="str">
        <f>IF(AND(OR(IFERROR(FIND("交行",基本信息!BS96),0)&gt;0,IFERROR(FIND("交通银行",基本信息!BS96),0)&gt;0),计算结果!BT96&gt;0),基本信息!BR96,"")</f>
        <v/>
      </c>
      <c r="B107" s="40" t="str">
        <f>IF($A107="","",基本信息!BQ96)</f>
        <v/>
      </c>
      <c r="C107" s="50" t="str">
        <f>IF($A107="","",计算结果!BT96-G107-H107)</f>
        <v/>
      </c>
      <c r="D107" s="40" t="str">
        <f>IF($A107="","",基本信息!BS96)</f>
        <v/>
      </c>
      <c r="F107" s="40" t="str">
        <f>IF($A107="","",基本信息!A96)</f>
        <v/>
      </c>
      <c r="G107" s="50" t="str">
        <f>IF($A107="","",计算结果!BI96+计算结果!BJ96)</f>
        <v/>
      </c>
      <c r="H107" s="50" t="str">
        <f>IF($A107="","",计算结果!BK96)</f>
        <v/>
      </c>
    </row>
    <row r="108" spans="1:8">
      <c r="A108" s="40" t="str">
        <f>IF(AND(OR(IFERROR(FIND("交行",基本信息!BS97),0)&gt;0,IFERROR(FIND("交通银行",基本信息!BS97),0)&gt;0),计算结果!BT97&gt;0),基本信息!BR97,"")</f>
        <v/>
      </c>
      <c r="B108" s="40" t="str">
        <f>IF($A108="","",基本信息!BQ97)</f>
        <v/>
      </c>
      <c r="C108" s="50" t="str">
        <f>IF($A108="","",计算结果!BT97-G108-H108)</f>
        <v/>
      </c>
      <c r="D108" s="40" t="str">
        <f>IF($A108="","",基本信息!BS97)</f>
        <v/>
      </c>
      <c r="F108" s="40" t="str">
        <f>IF($A108="","",基本信息!A97)</f>
        <v/>
      </c>
      <c r="G108" s="50" t="str">
        <f>IF($A108="","",计算结果!BI97+计算结果!BJ97)</f>
        <v/>
      </c>
      <c r="H108" s="50" t="str">
        <f>IF($A108="","",计算结果!BK97)</f>
        <v/>
      </c>
    </row>
    <row r="109" spans="1:8">
      <c r="A109" s="40" t="str">
        <f>IF(AND(OR(IFERROR(FIND("交行",基本信息!BS98),0)&gt;0,IFERROR(FIND("交通银行",基本信息!BS98),0)&gt;0),计算结果!BT98&gt;0),基本信息!BR98,"")</f>
        <v/>
      </c>
      <c r="B109" s="40" t="str">
        <f>IF($A109="","",基本信息!BQ98)</f>
        <v/>
      </c>
      <c r="C109" s="50" t="str">
        <f>IF($A109="","",计算结果!BT98-G109-H109)</f>
        <v/>
      </c>
      <c r="D109" s="40" t="str">
        <f>IF($A109="","",基本信息!BS98)</f>
        <v/>
      </c>
      <c r="F109" s="40" t="str">
        <f>IF($A109="","",基本信息!A98)</f>
        <v/>
      </c>
      <c r="G109" s="50" t="str">
        <f>IF($A109="","",计算结果!BI98+计算结果!BJ98)</f>
        <v/>
      </c>
      <c r="H109" s="50" t="str">
        <f>IF($A109="","",计算结果!BK98)</f>
        <v/>
      </c>
    </row>
    <row r="110" spans="1:8">
      <c r="A110" s="40" t="str">
        <f>IF(AND(OR(IFERROR(FIND("交行",基本信息!BS99),0)&gt;0,IFERROR(FIND("交通银行",基本信息!BS99),0)&gt;0),计算结果!BT99&gt;0),基本信息!BR99,"")</f>
        <v/>
      </c>
      <c r="B110" s="40" t="str">
        <f>IF($A110="","",基本信息!BQ99)</f>
        <v/>
      </c>
      <c r="C110" s="50" t="str">
        <f>IF($A110="","",计算结果!BT99-G110-H110)</f>
        <v/>
      </c>
      <c r="D110" s="40" t="str">
        <f>IF($A110="","",基本信息!BS99)</f>
        <v/>
      </c>
      <c r="F110" s="40" t="str">
        <f>IF($A110="","",基本信息!A99)</f>
        <v/>
      </c>
      <c r="G110" s="50" t="str">
        <f>IF($A110="","",计算结果!BI99+计算结果!BJ99)</f>
        <v/>
      </c>
      <c r="H110" s="50" t="str">
        <f>IF($A110="","",计算结果!BK99)</f>
        <v/>
      </c>
    </row>
    <row r="111" spans="1:8">
      <c r="A111" s="40" t="str">
        <f>IF(AND(OR(IFERROR(FIND("交行",基本信息!BS100),0)&gt;0,IFERROR(FIND("交通银行",基本信息!BS100),0)&gt;0),计算结果!BT100&gt;0),基本信息!BR100,"")</f>
        <v/>
      </c>
      <c r="B111" s="40" t="str">
        <f>IF($A111="","",基本信息!BQ100)</f>
        <v/>
      </c>
      <c r="C111" s="50" t="str">
        <f>IF($A111="","",计算结果!BT100-G111-H111)</f>
        <v/>
      </c>
      <c r="D111" s="40" t="str">
        <f>IF($A111="","",基本信息!BS100)</f>
        <v/>
      </c>
      <c r="F111" s="40" t="str">
        <f>IF($A111="","",基本信息!A100)</f>
        <v/>
      </c>
      <c r="G111" s="50" t="str">
        <f>IF($A111="","",计算结果!BI100+计算结果!BJ100)</f>
        <v/>
      </c>
      <c r="H111" s="50" t="str">
        <f>IF($A111="","",计算结果!BK100)</f>
        <v/>
      </c>
    </row>
    <row r="112" spans="1:8">
      <c r="A112" s="40" t="str">
        <f>IF(AND(OR(IFERROR(FIND("交行",基本信息!BS101),0)&gt;0,IFERROR(FIND("交通银行",基本信息!BS101),0)&gt;0),计算结果!BT101&gt;0),基本信息!BR101,"")</f>
        <v/>
      </c>
      <c r="B112" s="40" t="str">
        <f>IF($A112="","",基本信息!BQ101)</f>
        <v/>
      </c>
      <c r="C112" s="50" t="str">
        <f>IF($A112="","",计算结果!BT101-G112-H112)</f>
        <v/>
      </c>
      <c r="D112" s="40" t="str">
        <f>IF($A112="","",基本信息!BS101)</f>
        <v/>
      </c>
      <c r="F112" s="40" t="str">
        <f>IF($A112="","",基本信息!A101)</f>
        <v/>
      </c>
      <c r="G112" s="50" t="str">
        <f>IF($A112="","",计算结果!BI101+计算结果!BJ101)</f>
        <v/>
      </c>
      <c r="H112" s="50" t="str">
        <f>IF($A112="","",计算结果!BK101)</f>
        <v/>
      </c>
    </row>
    <row r="113" spans="1:8">
      <c r="A113" s="40" t="str">
        <f>IF(AND(OR(IFERROR(FIND("交行",基本信息!BS102),0)&gt;0,IFERROR(FIND("交通银行",基本信息!BS102),0)&gt;0),计算结果!BT102&gt;0),基本信息!BR102,"")</f>
        <v/>
      </c>
      <c r="B113" s="40" t="str">
        <f>IF($A113="","",基本信息!BQ102)</f>
        <v/>
      </c>
      <c r="C113" s="50" t="str">
        <f>IF($A113="","",计算结果!BT102-G113-H113)</f>
        <v/>
      </c>
      <c r="D113" s="40" t="str">
        <f>IF($A113="","",基本信息!BS102)</f>
        <v/>
      </c>
      <c r="F113" s="40" t="str">
        <f>IF($A113="","",基本信息!A102)</f>
        <v/>
      </c>
      <c r="G113" s="50" t="str">
        <f>IF($A113="","",计算结果!BI102+计算结果!BJ102)</f>
        <v/>
      </c>
      <c r="H113" s="50" t="str">
        <f>IF($A113="","",计算结果!BK102)</f>
        <v/>
      </c>
    </row>
    <row r="114" spans="1:8">
      <c r="A114" s="40" t="str">
        <f>IF(AND(OR(IFERROR(FIND("交行",基本信息!BS103),0)&gt;0,IFERROR(FIND("交通银行",基本信息!BS103),0)&gt;0),计算结果!BT103&gt;0),基本信息!BR103,"")</f>
        <v/>
      </c>
      <c r="B114" s="40" t="str">
        <f>IF($A114="","",基本信息!BQ103)</f>
        <v/>
      </c>
      <c r="C114" s="50" t="str">
        <f>IF($A114="","",计算结果!BT103-G114-H114)</f>
        <v/>
      </c>
      <c r="D114" s="40" t="str">
        <f>IF($A114="","",基本信息!BS103)</f>
        <v/>
      </c>
      <c r="F114" s="40" t="str">
        <f>IF($A114="","",基本信息!A103)</f>
        <v/>
      </c>
      <c r="G114" s="50" t="str">
        <f>IF($A114="","",计算结果!BI103+计算结果!BJ103)</f>
        <v/>
      </c>
      <c r="H114" s="50" t="str">
        <f>IF($A114="","",计算结果!BK103)</f>
        <v/>
      </c>
    </row>
    <row r="115" spans="1:8">
      <c r="A115" s="40" t="str">
        <f>IF(AND(OR(IFERROR(FIND("交行",基本信息!BS104),0)&gt;0,IFERROR(FIND("交通银行",基本信息!BS104),0)&gt;0),计算结果!BT104&gt;0),基本信息!BR104,"")</f>
        <v/>
      </c>
      <c r="B115" s="40" t="str">
        <f>IF($A115="","",基本信息!BQ104)</f>
        <v/>
      </c>
      <c r="C115" s="50" t="str">
        <f>IF($A115="","",计算结果!BT104-G115-H115)</f>
        <v/>
      </c>
      <c r="D115" s="40" t="str">
        <f>IF($A115="","",基本信息!BS104)</f>
        <v/>
      </c>
      <c r="F115" s="40" t="str">
        <f>IF($A115="","",基本信息!A104)</f>
        <v/>
      </c>
      <c r="G115" s="50" t="str">
        <f>IF($A115="","",计算结果!BI104+计算结果!BJ104)</f>
        <v/>
      </c>
      <c r="H115" s="50" t="str">
        <f>IF($A115="","",计算结果!BK104)</f>
        <v/>
      </c>
    </row>
    <row r="116" spans="1:8">
      <c r="A116" s="40" t="str">
        <f>IF(AND(OR(IFERROR(FIND("交行",基本信息!BS105),0)&gt;0,IFERROR(FIND("交通银行",基本信息!BS105),0)&gt;0),计算结果!BT105&gt;0),基本信息!BR105,"")</f>
        <v/>
      </c>
      <c r="B116" s="40" t="str">
        <f>IF($A116="","",基本信息!BQ105)</f>
        <v/>
      </c>
      <c r="C116" s="50" t="str">
        <f>IF($A116="","",计算结果!BT105-G116-H116)</f>
        <v/>
      </c>
      <c r="D116" s="40" t="str">
        <f>IF($A116="","",基本信息!BS105)</f>
        <v/>
      </c>
      <c r="F116" s="40" t="str">
        <f>IF($A116="","",基本信息!A105)</f>
        <v/>
      </c>
      <c r="G116" s="50" t="str">
        <f>IF($A116="","",计算结果!BI105+计算结果!BJ105)</f>
        <v/>
      </c>
      <c r="H116" s="50" t="str">
        <f>IF($A116="","",计算结果!BK105)</f>
        <v/>
      </c>
    </row>
    <row r="117" spans="1:8">
      <c r="A117" s="40" t="str">
        <f>IF(AND(OR(IFERROR(FIND("交行",基本信息!BS106),0)&gt;0,IFERROR(FIND("交通银行",基本信息!BS106),0)&gt;0),计算结果!BT106&gt;0),基本信息!BR106,"")</f>
        <v/>
      </c>
      <c r="B117" s="40" t="str">
        <f>IF($A117="","",基本信息!BQ106)</f>
        <v/>
      </c>
      <c r="C117" s="50" t="str">
        <f>IF($A117="","",计算结果!BT106-G117-H117)</f>
        <v/>
      </c>
      <c r="D117" s="40" t="str">
        <f>IF($A117="","",基本信息!BS106)</f>
        <v/>
      </c>
      <c r="F117" s="40" t="str">
        <f>IF($A117="","",基本信息!A106)</f>
        <v/>
      </c>
      <c r="G117" s="50" t="str">
        <f>IF($A117="","",计算结果!BI106+计算结果!BJ106)</f>
        <v/>
      </c>
      <c r="H117" s="50" t="str">
        <f>IF($A117="","",计算结果!BK106)</f>
        <v/>
      </c>
    </row>
    <row r="118" spans="1:8">
      <c r="A118" s="40" t="str">
        <f>IF(AND(OR(IFERROR(FIND("交行",基本信息!BS107),0)&gt;0,IFERROR(FIND("交通银行",基本信息!BS107),0)&gt;0),计算结果!BT107&gt;0),基本信息!BR107,"")</f>
        <v/>
      </c>
      <c r="B118" s="40" t="str">
        <f>IF($A118="","",基本信息!BQ107)</f>
        <v/>
      </c>
      <c r="C118" s="50" t="str">
        <f>IF($A118="","",计算结果!BT107-G118-H118)</f>
        <v/>
      </c>
      <c r="D118" s="40" t="str">
        <f>IF($A118="","",基本信息!BS107)</f>
        <v/>
      </c>
      <c r="F118" s="40" t="str">
        <f>IF($A118="","",基本信息!A107)</f>
        <v/>
      </c>
      <c r="G118" s="50" t="str">
        <f>IF($A118="","",计算结果!BI107+计算结果!BJ107)</f>
        <v/>
      </c>
      <c r="H118" s="50" t="str">
        <f>IF($A118="","",计算结果!BK107)</f>
        <v/>
      </c>
    </row>
    <row r="119" spans="1:8">
      <c r="A119" s="40" t="str">
        <f>IF(AND(OR(IFERROR(FIND("交行",基本信息!BS108),0)&gt;0,IFERROR(FIND("交通银行",基本信息!BS108),0)&gt;0),计算结果!BT108&gt;0),基本信息!BR108,"")</f>
        <v/>
      </c>
      <c r="B119" s="40" t="str">
        <f>IF($A119="","",基本信息!BQ108)</f>
        <v/>
      </c>
      <c r="C119" s="50" t="str">
        <f>IF($A119="","",计算结果!BT108-G119-H119)</f>
        <v/>
      </c>
      <c r="D119" s="40" t="str">
        <f>IF($A119="","",基本信息!BS108)</f>
        <v/>
      </c>
      <c r="F119" s="40" t="str">
        <f>IF($A119="","",基本信息!A108)</f>
        <v/>
      </c>
      <c r="G119" s="50" t="str">
        <f>IF($A119="","",计算结果!BI108+计算结果!BJ108)</f>
        <v/>
      </c>
      <c r="H119" s="50" t="str">
        <f>IF($A119="","",计算结果!BK108)</f>
        <v/>
      </c>
    </row>
    <row r="120" spans="1:8">
      <c r="A120" s="40" t="str">
        <f>IF(AND(OR(IFERROR(FIND("交行",基本信息!BS109),0)&gt;0,IFERROR(FIND("交通银行",基本信息!BS109),0)&gt;0),计算结果!BT109&gt;0),基本信息!BR109,"")</f>
        <v/>
      </c>
      <c r="B120" s="40" t="str">
        <f>IF($A120="","",基本信息!BQ109)</f>
        <v/>
      </c>
      <c r="C120" s="50" t="str">
        <f>IF($A120="","",计算结果!BT109-G120-H120)</f>
        <v/>
      </c>
      <c r="D120" s="40" t="str">
        <f>IF($A120="","",基本信息!BS109)</f>
        <v/>
      </c>
      <c r="F120" s="40" t="str">
        <f>IF($A120="","",基本信息!A109)</f>
        <v/>
      </c>
      <c r="G120" s="50" t="str">
        <f>IF($A120="","",计算结果!BI109+计算结果!BJ109)</f>
        <v/>
      </c>
      <c r="H120" s="50" t="str">
        <f>IF($A120="","",计算结果!BK109)</f>
        <v/>
      </c>
    </row>
    <row r="121" spans="1:8">
      <c r="A121" s="40" t="str">
        <f>IF(AND(OR(IFERROR(FIND("交行",基本信息!BS110),0)&gt;0,IFERROR(FIND("交通银行",基本信息!BS110),0)&gt;0),计算结果!BT110&gt;0),基本信息!BR110,"")</f>
        <v/>
      </c>
      <c r="B121" s="40" t="str">
        <f>IF($A121="","",基本信息!BQ110)</f>
        <v/>
      </c>
      <c r="C121" s="50" t="str">
        <f>IF($A121="","",计算结果!BT110-G121-H121)</f>
        <v/>
      </c>
      <c r="D121" s="40" t="str">
        <f>IF($A121="","",基本信息!BS110)</f>
        <v/>
      </c>
      <c r="F121" s="40" t="str">
        <f>IF($A121="","",基本信息!A110)</f>
        <v/>
      </c>
      <c r="G121" s="50" t="str">
        <f>IF($A121="","",计算结果!BI110+计算结果!BJ110)</f>
        <v/>
      </c>
      <c r="H121" s="50" t="str">
        <f>IF($A121="","",计算结果!BK110)</f>
        <v/>
      </c>
    </row>
    <row r="122" spans="1:8">
      <c r="A122" s="40" t="str">
        <f>IF(AND(OR(IFERROR(FIND("交行",基本信息!BS111),0)&gt;0,IFERROR(FIND("交通银行",基本信息!BS111),0)&gt;0),计算结果!BT111&gt;0),基本信息!BR111,"")</f>
        <v/>
      </c>
      <c r="B122" s="40" t="str">
        <f>IF($A122="","",基本信息!BQ111)</f>
        <v/>
      </c>
      <c r="C122" s="50" t="str">
        <f>IF($A122="","",计算结果!BT111-G122-H122)</f>
        <v/>
      </c>
      <c r="D122" s="40" t="str">
        <f>IF($A122="","",基本信息!BS111)</f>
        <v/>
      </c>
      <c r="F122" s="40" t="str">
        <f>IF($A122="","",基本信息!A111)</f>
        <v/>
      </c>
      <c r="G122" s="50" t="str">
        <f>IF($A122="","",计算结果!BI111+计算结果!BJ111)</f>
        <v/>
      </c>
      <c r="H122" s="50" t="str">
        <f>IF($A122="","",计算结果!BK111)</f>
        <v/>
      </c>
    </row>
    <row r="123" spans="1:8">
      <c r="A123" s="40" t="str">
        <f>IF(AND(OR(IFERROR(FIND("交行",基本信息!BS112),0)&gt;0,IFERROR(FIND("交通银行",基本信息!BS112),0)&gt;0),计算结果!BT112&gt;0),基本信息!BR112,"")</f>
        <v/>
      </c>
      <c r="B123" s="40" t="str">
        <f>IF($A123="","",基本信息!BQ112)</f>
        <v/>
      </c>
      <c r="C123" s="50" t="str">
        <f>IF($A123="","",计算结果!BT112-G123-H123)</f>
        <v/>
      </c>
      <c r="D123" s="40" t="str">
        <f>IF($A123="","",基本信息!BS112)</f>
        <v/>
      </c>
      <c r="F123" s="40" t="str">
        <f>IF($A123="","",基本信息!A112)</f>
        <v/>
      </c>
      <c r="G123" s="50" t="str">
        <f>IF($A123="","",计算结果!BI112+计算结果!BJ112)</f>
        <v/>
      </c>
      <c r="H123" s="50" t="str">
        <f>IF($A123="","",计算结果!BK112)</f>
        <v/>
      </c>
    </row>
    <row r="124" spans="1:8">
      <c r="A124" s="40" t="str">
        <f>IF(AND(OR(IFERROR(FIND("交行",基本信息!BS113),0)&gt;0,IFERROR(FIND("交通银行",基本信息!BS113),0)&gt;0),计算结果!BT113&gt;0),基本信息!BR113,"")</f>
        <v/>
      </c>
      <c r="B124" s="40" t="str">
        <f>IF($A124="","",基本信息!BQ113)</f>
        <v/>
      </c>
      <c r="C124" s="50" t="str">
        <f>IF($A124="","",计算结果!BT113-G124-H124)</f>
        <v/>
      </c>
      <c r="D124" s="40" t="str">
        <f>IF($A124="","",基本信息!BS113)</f>
        <v/>
      </c>
      <c r="F124" s="40" t="str">
        <f>IF($A124="","",基本信息!A113)</f>
        <v/>
      </c>
      <c r="G124" s="50" t="str">
        <f>IF($A124="","",计算结果!BI113+计算结果!BJ113)</f>
        <v/>
      </c>
      <c r="H124" s="50" t="str">
        <f>IF($A124="","",计算结果!BK113)</f>
        <v/>
      </c>
    </row>
    <row r="125" spans="1:8">
      <c r="A125" s="40" t="str">
        <f>IF(AND(OR(IFERROR(FIND("交行",基本信息!BS114),0)&gt;0,IFERROR(FIND("交通银行",基本信息!BS114),0)&gt;0),计算结果!BT114&gt;0),基本信息!BR114,"")</f>
        <v/>
      </c>
      <c r="B125" s="40" t="str">
        <f>IF($A125="","",基本信息!BQ114)</f>
        <v/>
      </c>
      <c r="C125" s="50" t="str">
        <f>IF($A125="","",计算结果!BT114-G125-H125)</f>
        <v/>
      </c>
      <c r="D125" s="40" t="str">
        <f>IF($A125="","",基本信息!BS114)</f>
        <v/>
      </c>
      <c r="F125" s="40" t="str">
        <f>IF($A125="","",基本信息!A114)</f>
        <v/>
      </c>
      <c r="G125" s="50" t="str">
        <f>IF($A125="","",计算结果!BI114+计算结果!BJ114)</f>
        <v/>
      </c>
      <c r="H125" s="50" t="str">
        <f>IF($A125="","",计算结果!BK114)</f>
        <v/>
      </c>
    </row>
    <row r="126" spans="1:8">
      <c r="A126" s="40" t="str">
        <f>IF(AND(OR(IFERROR(FIND("交行",基本信息!BS115),0)&gt;0,IFERROR(FIND("交通银行",基本信息!BS115),0)&gt;0),计算结果!BT115&gt;0),基本信息!BR115,"")</f>
        <v/>
      </c>
      <c r="B126" s="40" t="str">
        <f>IF($A126="","",基本信息!BQ115)</f>
        <v/>
      </c>
      <c r="C126" s="50" t="str">
        <f>IF($A126="","",计算结果!BT115-G126-H126)</f>
        <v/>
      </c>
      <c r="D126" s="40" t="str">
        <f>IF($A126="","",基本信息!BS115)</f>
        <v/>
      </c>
      <c r="F126" s="40" t="str">
        <f>IF($A126="","",基本信息!A115)</f>
        <v/>
      </c>
      <c r="G126" s="50" t="str">
        <f>IF($A126="","",计算结果!BI115+计算结果!BJ115)</f>
        <v/>
      </c>
      <c r="H126" s="50" t="str">
        <f>IF($A126="","",计算结果!BK115)</f>
        <v/>
      </c>
    </row>
    <row r="127" spans="1:8">
      <c r="A127" s="40" t="str">
        <f>IF(AND(OR(IFERROR(FIND("交行",基本信息!BS116),0)&gt;0,IFERROR(FIND("交通银行",基本信息!BS116),0)&gt;0),计算结果!BT116&gt;0),基本信息!BR116,"")</f>
        <v/>
      </c>
      <c r="B127" s="40" t="str">
        <f>IF($A127="","",基本信息!BQ116)</f>
        <v/>
      </c>
      <c r="C127" s="50" t="str">
        <f>IF($A127="","",计算结果!BT116-G127-H127)</f>
        <v/>
      </c>
      <c r="D127" s="40" t="str">
        <f>IF($A127="","",基本信息!BS116)</f>
        <v/>
      </c>
      <c r="F127" s="40" t="str">
        <f>IF($A127="","",基本信息!A116)</f>
        <v/>
      </c>
      <c r="G127" s="50" t="str">
        <f>IF($A127="","",计算结果!BI116+计算结果!BJ116)</f>
        <v/>
      </c>
      <c r="H127" s="50" t="str">
        <f>IF($A127="","",计算结果!BK116)</f>
        <v/>
      </c>
    </row>
    <row r="128" spans="1:8">
      <c r="A128" s="40" t="str">
        <f>IF(AND(OR(IFERROR(FIND("交行",基本信息!BS117),0)&gt;0,IFERROR(FIND("交通银行",基本信息!BS117),0)&gt;0),计算结果!BT117&gt;0),基本信息!BR117,"")</f>
        <v/>
      </c>
      <c r="B128" s="40" t="str">
        <f>IF($A128="","",基本信息!BQ117)</f>
        <v/>
      </c>
      <c r="C128" s="50" t="str">
        <f>IF($A128="","",计算结果!BT117-G128-H128)</f>
        <v/>
      </c>
      <c r="D128" s="40" t="str">
        <f>IF($A128="","",基本信息!BS117)</f>
        <v/>
      </c>
      <c r="F128" s="40" t="str">
        <f>IF($A128="","",基本信息!A117)</f>
        <v/>
      </c>
      <c r="G128" s="50" t="str">
        <f>IF($A128="","",计算结果!BI117+计算结果!BJ117)</f>
        <v/>
      </c>
      <c r="H128" s="50" t="str">
        <f>IF($A128="","",计算结果!BK117)</f>
        <v/>
      </c>
    </row>
    <row r="129" spans="1:8">
      <c r="A129" s="40" t="str">
        <f>IF(AND(OR(IFERROR(FIND("交行",基本信息!BS118),0)&gt;0,IFERROR(FIND("交通银行",基本信息!BS118),0)&gt;0),计算结果!BT118&gt;0),基本信息!BR118,"")</f>
        <v/>
      </c>
      <c r="B129" s="40" t="str">
        <f>IF($A129="","",基本信息!BQ118)</f>
        <v/>
      </c>
      <c r="C129" s="50" t="str">
        <f>IF($A129="","",计算结果!BT118-G129-H129)</f>
        <v/>
      </c>
      <c r="D129" s="40" t="str">
        <f>IF($A129="","",基本信息!BS118)</f>
        <v/>
      </c>
      <c r="F129" s="40" t="str">
        <f>IF($A129="","",基本信息!A118)</f>
        <v/>
      </c>
      <c r="G129" s="50" t="str">
        <f>IF($A129="","",计算结果!BI118+计算结果!BJ118)</f>
        <v/>
      </c>
      <c r="H129" s="50" t="str">
        <f>IF($A129="","",计算结果!BK118)</f>
        <v/>
      </c>
    </row>
    <row r="130" spans="1:8">
      <c r="A130" s="40" t="str">
        <f>IF(AND(OR(IFERROR(FIND("交行",基本信息!BS119),0)&gt;0,IFERROR(FIND("交通银行",基本信息!BS119),0)&gt;0),计算结果!BT119&gt;0),基本信息!BR119,"")</f>
        <v/>
      </c>
      <c r="B130" s="40" t="str">
        <f>IF($A130="","",基本信息!BQ119)</f>
        <v/>
      </c>
      <c r="C130" s="50" t="str">
        <f>IF($A130="","",计算结果!BT119-G130-H130)</f>
        <v/>
      </c>
      <c r="D130" s="40" t="str">
        <f>IF($A130="","",基本信息!BS119)</f>
        <v/>
      </c>
      <c r="F130" s="40" t="str">
        <f>IF($A130="","",基本信息!A119)</f>
        <v/>
      </c>
      <c r="G130" s="50" t="str">
        <f>IF($A130="","",计算结果!BI119+计算结果!BJ119)</f>
        <v/>
      </c>
      <c r="H130" s="50" t="str">
        <f>IF($A130="","",计算结果!BK119)</f>
        <v/>
      </c>
    </row>
    <row r="131" spans="1:8">
      <c r="A131" s="40" t="str">
        <f>IF(AND(OR(IFERROR(FIND("交行",基本信息!BS120),0)&gt;0,IFERROR(FIND("交通银行",基本信息!BS120),0)&gt;0),计算结果!BT120&gt;0),基本信息!BR120,"")</f>
        <v/>
      </c>
      <c r="B131" s="40" t="str">
        <f>IF($A131="","",基本信息!BQ120)</f>
        <v/>
      </c>
      <c r="C131" s="50" t="str">
        <f>IF($A131="","",计算结果!BT120-G131-H131)</f>
        <v/>
      </c>
      <c r="D131" s="40" t="str">
        <f>IF($A131="","",基本信息!BS120)</f>
        <v/>
      </c>
      <c r="F131" s="40" t="str">
        <f>IF($A131="","",基本信息!A120)</f>
        <v/>
      </c>
      <c r="G131" s="50" t="str">
        <f>IF($A131="","",计算结果!BI120+计算结果!BJ120)</f>
        <v/>
      </c>
      <c r="H131" s="50" t="str">
        <f>IF($A131="","",计算结果!BK120)</f>
        <v/>
      </c>
    </row>
    <row r="132" spans="1:8">
      <c r="A132" s="40" t="str">
        <f>IF(AND(OR(IFERROR(FIND("交行",基本信息!BS121),0)&gt;0,IFERROR(FIND("交通银行",基本信息!BS121),0)&gt;0),计算结果!BT121&gt;0),基本信息!BR121,"")</f>
        <v/>
      </c>
      <c r="B132" s="40" t="str">
        <f>IF($A132="","",基本信息!BQ121)</f>
        <v/>
      </c>
      <c r="C132" s="50" t="str">
        <f>IF($A132="","",计算结果!BT121-G132-H132)</f>
        <v/>
      </c>
      <c r="D132" s="40" t="str">
        <f>IF($A132="","",基本信息!BS121)</f>
        <v/>
      </c>
      <c r="F132" s="40" t="str">
        <f>IF($A132="","",基本信息!A121)</f>
        <v/>
      </c>
      <c r="G132" s="50" t="str">
        <f>IF($A132="","",计算结果!BI121+计算结果!BJ121)</f>
        <v/>
      </c>
      <c r="H132" s="50" t="str">
        <f>IF($A132="","",计算结果!BK121)</f>
        <v/>
      </c>
    </row>
    <row r="133" spans="1:8">
      <c r="A133" s="40" t="str">
        <f>IF(AND(OR(IFERROR(FIND("交行",基本信息!BS122),0)&gt;0,IFERROR(FIND("交通银行",基本信息!BS122),0)&gt;0),计算结果!BT122&gt;0),基本信息!BR122,"")</f>
        <v/>
      </c>
      <c r="B133" s="40" t="str">
        <f>IF($A133="","",基本信息!BQ122)</f>
        <v/>
      </c>
      <c r="C133" s="50" t="str">
        <f>IF($A133="","",计算结果!BT122-G133-H133)</f>
        <v/>
      </c>
      <c r="D133" s="40" t="str">
        <f>IF($A133="","",基本信息!BS122)</f>
        <v/>
      </c>
      <c r="F133" s="40" t="str">
        <f>IF($A133="","",基本信息!A122)</f>
        <v/>
      </c>
      <c r="G133" s="50" t="str">
        <f>IF($A133="","",计算结果!BI122+计算结果!BJ122)</f>
        <v/>
      </c>
      <c r="H133" s="50" t="str">
        <f>IF($A133="","",计算结果!BK122)</f>
        <v/>
      </c>
    </row>
    <row r="134" spans="1:8">
      <c r="A134" s="40" t="str">
        <f>IF(AND(OR(IFERROR(FIND("交行",基本信息!BS123),0)&gt;0,IFERROR(FIND("交通银行",基本信息!BS123),0)&gt;0),计算结果!BT123&gt;0),基本信息!BR123,"")</f>
        <v/>
      </c>
      <c r="B134" s="40" t="str">
        <f>IF($A134="","",基本信息!BQ123)</f>
        <v/>
      </c>
      <c r="C134" s="50" t="str">
        <f>IF($A134="","",计算结果!BT123-G134-H134)</f>
        <v/>
      </c>
      <c r="D134" s="40" t="str">
        <f>IF($A134="","",基本信息!BS123)</f>
        <v/>
      </c>
      <c r="F134" s="40" t="str">
        <f>IF($A134="","",基本信息!A123)</f>
        <v/>
      </c>
      <c r="G134" s="50" t="str">
        <f>IF($A134="","",计算结果!BI123+计算结果!BJ123)</f>
        <v/>
      </c>
      <c r="H134" s="50" t="str">
        <f>IF($A134="","",计算结果!BK123)</f>
        <v/>
      </c>
    </row>
    <row r="135" spans="1:8">
      <c r="A135" s="40" t="str">
        <f>IF(AND(OR(IFERROR(FIND("交行",基本信息!BS124),0)&gt;0,IFERROR(FIND("交通银行",基本信息!BS124),0)&gt;0),计算结果!BT124&gt;0),基本信息!BR124,"")</f>
        <v/>
      </c>
      <c r="B135" s="40" t="str">
        <f>IF($A135="","",基本信息!BQ124)</f>
        <v/>
      </c>
      <c r="C135" s="50" t="str">
        <f>IF($A135="","",计算结果!BT124-G135-H135)</f>
        <v/>
      </c>
      <c r="D135" s="40" t="str">
        <f>IF($A135="","",基本信息!BS124)</f>
        <v/>
      </c>
      <c r="F135" s="40" t="str">
        <f>IF($A135="","",基本信息!A124)</f>
        <v/>
      </c>
      <c r="G135" s="50" t="str">
        <f>IF($A135="","",计算结果!BI124+计算结果!BJ124)</f>
        <v/>
      </c>
      <c r="H135" s="50" t="str">
        <f>IF($A135="","",计算结果!BK124)</f>
        <v/>
      </c>
    </row>
    <row r="136" spans="1:8">
      <c r="A136" s="40" t="str">
        <f>IF(AND(OR(IFERROR(FIND("交行",基本信息!BS125),0)&gt;0,IFERROR(FIND("交通银行",基本信息!BS125),0)&gt;0),计算结果!BT125&gt;0),基本信息!BR125,"")</f>
        <v/>
      </c>
      <c r="B136" s="40" t="str">
        <f>IF($A136="","",基本信息!BQ125)</f>
        <v/>
      </c>
      <c r="C136" s="50" t="str">
        <f>IF($A136="","",计算结果!BT125-G136-H136)</f>
        <v/>
      </c>
      <c r="D136" s="40" t="str">
        <f>IF($A136="","",基本信息!BS125)</f>
        <v/>
      </c>
      <c r="F136" s="40" t="str">
        <f>IF($A136="","",基本信息!A125)</f>
        <v/>
      </c>
      <c r="G136" s="50" t="str">
        <f>IF($A136="","",计算结果!BI125+计算结果!BJ125)</f>
        <v/>
      </c>
      <c r="H136" s="50" t="str">
        <f>IF($A136="","",计算结果!BK125)</f>
        <v/>
      </c>
    </row>
    <row r="137" spans="1:8">
      <c r="A137" s="40" t="str">
        <f>IF(AND(OR(IFERROR(FIND("交行",基本信息!BS126),0)&gt;0,IFERROR(FIND("交通银行",基本信息!BS126),0)&gt;0),计算结果!BT126&gt;0),基本信息!BR126,"")</f>
        <v/>
      </c>
      <c r="B137" s="40" t="str">
        <f>IF($A137="","",基本信息!BQ126)</f>
        <v/>
      </c>
      <c r="C137" s="50" t="str">
        <f>IF($A137="","",计算结果!BT126-G137-H137)</f>
        <v/>
      </c>
      <c r="D137" s="40" t="str">
        <f>IF($A137="","",基本信息!BS126)</f>
        <v/>
      </c>
      <c r="F137" s="40" t="str">
        <f>IF($A137="","",基本信息!A126)</f>
        <v/>
      </c>
      <c r="G137" s="50" t="str">
        <f>IF($A137="","",计算结果!BI126+计算结果!BJ126)</f>
        <v/>
      </c>
      <c r="H137" s="50" t="str">
        <f>IF($A137="","",计算结果!BK126)</f>
        <v/>
      </c>
    </row>
    <row r="138" spans="1:8">
      <c r="A138" s="40" t="str">
        <f>IF(AND(OR(IFERROR(FIND("交行",基本信息!BS127),0)&gt;0,IFERROR(FIND("交通银行",基本信息!BS127),0)&gt;0),计算结果!BT127&gt;0),基本信息!BR127,"")</f>
        <v/>
      </c>
      <c r="B138" s="40" t="str">
        <f>IF($A138="","",基本信息!BQ127)</f>
        <v/>
      </c>
      <c r="C138" s="50" t="str">
        <f>IF($A138="","",计算结果!BT127-G138-H138)</f>
        <v/>
      </c>
      <c r="D138" s="40" t="str">
        <f>IF($A138="","",基本信息!BS127)</f>
        <v/>
      </c>
      <c r="F138" s="40" t="str">
        <f>IF($A138="","",基本信息!A127)</f>
        <v/>
      </c>
      <c r="G138" s="50" t="str">
        <f>IF($A138="","",计算结果!BI127+计算结果!BJ127)</f>
        <v/>
      </c>
      <c r="H138" s="50" t="str">
        <f>IF($A138="","",计算结果!BK127)</f>
        <v/>
      </c>
    </row>
    <row r="139" spans="1:8">
      <c r="A139" s="40" t="str">
        <f>IF(AND(OR(IFERROR(FIND("交行",基本信息!BS128),0)&gt;0,IFERROR(FIND("交通银行",基本信息!BS128),0)&gt;0),计算结果!BT128&gt;0),基本信息!BR128,"")</f>
        <v/>
      </c>
      <c r="B139" s="40" t="str">
        <f>IF($A139="","",基本信息!BQ128)</f>
        <v/>
      </c>
      <c r="C139" s="50" t="str">
        <f>IF($A139="","",计算结果!BT128-G139-H139)</f>
        <v/>
      </c>
      <c r="D139" s="40" t="str">
        <f>IF($A139="","",基本信息!BS128)</f>
        <v/>
      </c>
      <c r="F139" s="40" t="str">
        <f>IF($A139="","",基本信息!A128)</f>
        <v/>
      </c>
      <c r="G139" s="50" t="str">
        <f>IF($A139="","",计算结果!BI128+计算结果!BJ128)</f>
        <v/>
      </c>
      <c r="H139" s="50" t="str">
        <f>IF($A139="","",计算结果!BK128)</f>
        <v/>
      </c>
    </row>
    <row r="140" spans="1:8">
      <c r="A140" s="40" t="str">
        <f>IF(AND(OR(IFERROR(FIND("交行",基本信息!BS129),0)&gt;0,IFERROR(FIND("交通银行",基本信息!BS129),0)&gt;0),计算结果!BT129&gt;0),基本信息!BR129,"")</f>
        <v/>
      </c>
      <c r="B140" s="40" t="str">
        <f>IF($A140="","",基本信息!BQ129)</f>
        <v/>
      </c>
      <c r="C140" s="50" t="str">
        <f>IF($A140="","",计算结果!BT129-G140-H140)</f>
        <v/>
      </c>
      <c r="D140" s="40" t="str">
        <f>IF($A140="","",基本信息!BS129)</f>
        <v/>
      </c>
      <c r="F140" s="40" t="str">
        <f>IF($A140="","",基本信息!A129)</f>
        <v/>
      </c>
      <c r="G140" s="50" t="str">
        <f>IF($A140="","",计算结果!BI129+计算结果!BJ129)</f>
        <v/>
      </c>
      <c r="H140" s="50" t="str">
        <f>IF($A140="","",计算结果!BK129)</f>
        <v/>
      </c>
    </row>
    <row r="141" spans="1:8">
      <c r="A141" s="40" t="str">
        <f>IF(AND(OR(IFERROR(FIND("交行",基本信息!BS130),0)&gt;0,IFERROR(FIND("交通银行",基本信息!BS130),0)&gt;0),计算结果!BT130&gt;0),基本信息!BR130,"")</f>
        <v/>
      </c>
      <c r="B141" s="40" t="str">
        <f>IF($A141="","",基本信息!BQ130)</f>
        <v/>
      </c>
      <c r="C141" s="50" t="str">
        <f>IF($A141="","",计算结果!BT130-G141-H141)</f>
        <v/>
      </c>
      <c r="D141" s="40" t="str">
        <f>IF($A141="","",基本信息!BS130)</f>
        <v/>
      </c>
      <c r="F141" s="40" t="str">
        <f>IF($A141="","",基本信息!A130)</f>
        <v/>
      </c>
      <c r="G141" s="50" t="str">
        <f>IF($A141="","",计算结果!BI130+计算结果!BJ130)</f>
        <v/>
      </c>
      <c r="H141" s="50" t="str">
        <f>IF($A141="","",计算结果!BK130)</f>
        <v/>
      </c>
    </row>
    <row r="142" spans="1:8">
      <c r="A142" s="40" t="str">
        <f>IF(AND(OR(IFERROR(FIND("交行",基本信息!BS131),0)&gt;0,IFERROR(FIND("交通银行",基本信息!BS131),0)&gt;0),计算结果!BT131&gt;0),基本信息!BR131,"")</f>
        <v/>
      </c>
      <c r="B142" s="40" t="str">
        <f>IF($A142="","",基本信息!BQ131)</f>
        <v/>
      </c>
      <c r="C142" s="50" t="str">
        <f>IF($A142="","",计算结果!BT131-G142-H142)</f>
        <v/>
      </c>
      <c r="D142" s="40" t="str">
        <f>IF($A142="","",基本信息!BS131)</f>
        <v/>
      </c>
      <c r="F142" s="40" t="str">
        <f>IF($A142="","",基本信息!A131)</f>
        <v/>
      </c>
      <c r="G142" s="50" t="str">
        <f>IF($A142="","",计算结果!BI131+计算结果!BJ131)</f>
        <v/>
      </c>
      <c r="H142" s="50" t="str">
        <f>IF($A142="","",计算结果!BK131)</f>
        <v/>
      </c>
    </row>
    <row r="143" spans="1:8">
      <c r="A143" s="40" t="str">
        <f>IF(AND(OR(IFERROR(FIND("交行",基本信息!BS132),0)&gt;0,IFERROR(FIND("交通银行",基本信息!BS132),0)&gt;0),计算结果!BT132&gt;0),基本信息!BR132,"")</f>
        <v/>
      </c>
      <c r="B143" s="40" t="str">
        <f>IF($A143="","",基本信息!BQ132)</f>
        <v/>
      </c>
      <c r="C143" s="50" t="str">
        <f>IF($A143="","",计算结果!BT132-G143-H143)</f>
        <v/>
      </c>
      <c r="D143" s="40" t="str">
        <f>IF($A143="","",基本信息!BS132)</f>
        <v/>
      </c>
      <c r="F143" s="40" t="str">
        <f>IF($A143="","",基本信息!A132)</f>
        <v/>
      </c>
      <c r="G143" s="50" t="str">
        <f>IF($A143="","",计算结果!BI132+计算结果!BJ132)</f>
        <v/>
      </c>
      <c r="H143" s="50" t="str">
        <f>IF($A143="","",计算结果!BK132)</f>
        <v/>
      </c>
    </row>
    <row r="144" spans="1:8">
      <c r="A144" s="40" t="str">
        <f>IF(AND(OR(IFERROR(FIND("交行",基本信息!BS133),0)&gt;0,IFERROR(FIND("交通银行",基本信息!BS133),0)&gt;0),计算结果!BT133&gt;0),基本信息!BR133,"")</f>
        <v/>
      </c>
      <c r="B144" s="40" t="str">
        <f>IF($A144="","",基本信息!BQ133)</f>
        <v/>
      </c>
      <c r="C144" s="50" t="str">
        <f>IF($A144="","",计算结果!BT133-G144-H144)</f>
        <v/>
      </c>
      <c r="D144" s="40" t="str">
        <f>IF($A144="","",基本信息!BS133)</f>
        <v/>
      </c>
      <c r="F144" s="40" t="str">
        <f>IF($A144="","",基本信息!A133)</f>
        <v/>
      </c>
      <c r="G144" s="50" t="str">
        <f>IF($A144="","",计算结果!BI133+计算结果!BJ133)</f>
        <v/>
      </c>
      <c r="H144" s="50" t="str">
        <f>IF($A144="","",计算结果!BK133)</f>
        <v/>
      </c>
    </row>
    <row r="145" spans="1:8">
      <c r="A145" s="40" t="str">
        <f>IF(AND(OR(IFERROR(FIND("交行",基本信息!BS134),0)&gt;0,IFERROR(FIND("交通银行",基本信息!BS134),0)&gt;0),计算结果!BT134&gt;0),基本信息!BR134,"")</f>
        <v/>
      </c>
      <c r="B145" s="40" t="str">
        <f>IF($A145="","",基本信息!BQ134)</f>
        <v/>
      </c>
      <c r="C145" s="50" t="str">
        <f>IF($A145="","",计算结果!BT134-G145-H145)</f>
        <v/>
      </c>
      <c r="D145" s="40" t="str">
        <f>IF($A145="","",基本信息!BS134)</f>
        <v/>
      </c>
      <c r="F145" s="40" t="str">
        <f>IF($A145="","",基本信息!A134)</f>
        <v/>
      </c>
      <c r="G145" s="50" t="str">
        <f>IF($A145="","",计算结果!BI134+计算结果!BJ134)</f>
        <v/>
      </c>
      <c r="H145" s="50" t="str">
        <f>IF($A145="","",计算结果!BK134)</f>
        <v/>
      </c>
    </row>
    <row r="146" spans="1:8">
      <c r="A146" s="40" t="str">
        <f>IF(AND(OR(IFERROR(FIND("交行",基本信息!BS135),0)&gt;0,IFERROR(FIND("交通银行",基本信息!BS135),0)&gt;0),计算结果!BT135&gt;0),基本信息!BR135,"")</f>
        <v/>
      </c>
      <c r="B146" s="40" t="str">
        <f>IF($A146="","",基本信息!BQ135)</f>
        <v/>
      </c>
      <c r="C146" s="50" t="str">
        <f>IF($A146="","",计算结果!BT135-G146-H146)</f>
        <v/>
      </c>
      <c r="D146" s="40" t="str">
        <f>IF($A146="","",基本信息!BS135)</f>
        <v/>
      </c>
      <c r="F146" s="40" t="str">
        <f>IF($A146="","",基本信息!A135)</f>
        <v/>
      </c>
      <c r="G146" s="50" t="str">
        <f>IF($A146="","",计算结果!BI135+计算结果!BJ135)</f>
        <v/>
      </c>
      <c r="H146" s="50" t="str">
        <f>IF($A146="","",计算结果!BK135)</f>
        <v/>
      </c>
    </row>
    <row r="147" spans="1:8">
      <c r="A147" s="40" t="str">
        <f>IF(AND(OR(IFERROR(FIND("交行",基本信息!BS136),0)&gt;0,IFERROR(FIND("交通银行",基本信息!BS136),0)&gt;0),计算结果!BT136&gt;0),基本信息!BR136,"")</f>
        <v/>
      </c>
      <c r="B147" s="40" t="str">
        <f>IF($A147="","",基本信息!BQ136)</f>
        <v/>
      </c>
      <c r="C147" s="50" t="str">
        <f>IF($A147="","",计算结果!BT136-G147-H147)</f>
        <v/>
      </c>
      <c r="D147" s="40" t="str">
        <f>IF($A147="","",基本信息!BS136)</f>
        <v/>
      </c>
      <c r="F147" s="40" t="str">
        <f>IF($A147="","",基本信息!A136)</f>
        <v/>
      </c>
      <c r="G147" s="50" t="str">
        <f>IF($A147="","",计算结果!BI136+计算结果!BJ136)</f>
        <v/>
      </c>
      <c r="H147" s="50" t="str">
        <f>IF($A147="","",计算结果!BK136)</f>
        <v/>
      </c>
    </row>
    <row r="148" spans="1:8">
      <c r="A148" s="40" t="str">
        <f>IF(AND(OR(IFERROR(FIND("交行",基本信息!BS137),0)&gt;0,IFERROR(FIND("交通银行",基本信息!BS137),0)&gt;0),计算结果!BT137&gt;0),基本信息!BR137,"")</f>
        <v/>
      </c>
      <c r="B148" s="40" t="str">
        <f>IF($A148="","",基本信息!BQ137)</f>
        <v/>
      </c>
      <c r="C148" s="50" t="str">
        <f>IF($A148="","",计算结果!BT137-G148-H148)</f>
        <v/>
      </c>
      <c r="D148" s="40" t="str">
        <f>IF($A148="","",基本信息!BS137)</f>
        <v/>
      </c>
      <c r="F148" s="40" t="str">
        <f>IF($A148="","",基本信息!A137)</f>
        <v/>
      </c>
      <c r="G148" s="50" t="str">
        <f>IF($A148="","",计算结果!BI137+计算结果!BJ137)</f>
        <v/>
      </c>
      <c r="H148" s="50" t="str">
        <f>IF($A148="","",计算结果!BK137)</f>
        <v/>
      </c>
    </row>
    <row r="149" spans="1:8">
      <c r="A149" s="40" t="str">
        <f>IF(AND(OR(IFERROR(FIND("交行",基本信息!BS138),0)&gt;0,IFERROR(FIND("交通银行",基本信息!BS138),0)&gt;0),计算结果!BT138&gt;0),基本信息!BR138,"")</f>
        <v/>
      </c>
      <c r="B149" s="40" t="str">
        <f>IF($A149="","",基本信息!BQ138)</f>
        <v/>
      </c>
      <c r="C149" s="50" t="str">
        <f>IF($A149="","",计算结果!BT138-G149-H149)</f>
        <v/>
      </c>
      <c r="D149" s="40" t="str">
        <f>IF($A149="","",基本信息!BS138)</f>
        <v/>
      </c>
      <c r="F149" s="40" t="str">
        <f>IF($A149="","",基本信息!A138)</f>
        <v/>
      </c>
      <c r="G149" s="50" t="str">
        <f>IF($A149="","",计算结果!BI138+计算结果!BJ138)</f>
        <v/>
      </c>
      <c r="H149" s="50" t="str">
        <f>IF($A149="","",计算结果!BK138)</f>
        <v/>
      </c>
    </row>
    <row r="150" spans="1:8">
      <c r="A150" s="40" t="str">
        <f>IF(AND(OR(IFERROR(FIND("交行",基本信息!BS139),0)&gt;0,IFERROR(FIND("交通银行",基本信息!BS139),0)&gt;0),计算结果!BT139&gt;0),基本信息!BR139,"")</f>
        <v/>
      </c>
      <c r="B150" s="40" t="str">
        <f>IF($A150="","",基本信息!BQ139)</f>
        <v/>
      </c>
      <c r="C150" s="50" t="str">
        <f>IF($A150="","",计算结果!BT139-G150-H150)</f>
        <v/>
      </c>
      <c r="D150" s="40" t="str">
        <f>IF($A150="","",基本信息!BS139)</f>
        <v/>
      </c>
      <c r="F150" s="40" t="str">
        <f>IF($A150="","",基本信息!A139)</f>
        <v/>
      </c>
      <c r="G150" s="50" t="str">
        <f>IF($A150="","",计算结果!BI139+计算结果!BJ139)</f>
        <v/>
      </c>
      <c r="H150" s="50" t="str">
        <f>IF($A150="","",计算结果!BK139)</f>
        <v/>
      </c>
    </row>
    <row r="151" spans="1:8">
      <c r="A151" s="40" t="str">
        <f>IF(AND(OR(IFERROR(FIND("交行",基本信息!BS140),0)&gt;0,IFERROR(FIND("交通银行",基本信息!BS140),0)&gt;0),计算结果!BT140&gt;0),基本信息!BR140,"")</f>
        <v/>
      </c>
      <c r="B151" s="40" t="str">
        <f>IF($A151="","",基本信息!BQ140)</f>
        <v/>
      </c>
      <c r="C151" s="50" t="str">
        <f>IF($A151="","",计算结果!BT140-G151-H151)</f>
        <v/>
      </c>
      <c r="D151" s="40" t="str">
        <f>IF($A151="","",基本信息!BS140)</f>
        <v/>
      </c>
      <c r="F151" s="40" t="str">
        <f>IF($A151="","",基本信息!A140)</f>
        <v/>
      </c>
      <c r="G151" s="50" t="str">
        <f>IF($A151="","",计算结果!BI140+计算结果!BJ140)</f>
        <v/>
      </c>
      <c r="H151" s="50" t="str">
        <f>IF($A151="","",计算结果!BK140)</f>
        <v/>
      </c>
    </row>
    <row r="152" spans="1:8">
      <c r="A152" s="40" t="str">
        <f>IF(AND(OR(IFERROR(FIND("交行",基本信息!BS141),0)&gt;0,IFERROR(FIND("交通银行",基本信息!BS141),0)&gt;0),计算结果!BT141&gt;0),基本信息!BR141,"")</f>
        <v/>
      </c>
      <c r="B152" s="40" t="str">
        <f>IF($A152="","",基本信息!BQ141)</f>
        <v/>
      </c>
      <c r="C152" s="50" t="str">
        <f>IF($A152="","",计算结果!BT141-G152-H152)</f>
        <v/>
      </c>
      <c r="D152" s="40" t="str">
        <f>IF($A152="","",基本信息!BS141)</f>
        <v/>
      </c>
      <c r="F152" s="40" t="str">
        <f>IF($A152="","",基本信息!A141)</f>
        <v/>
      </c>
      <c r="G152" s="50" t="str">
        <f>IF($A152="","",计算结果!BI141+计算结果!BJ141)</f>
        <v/>
      </c>
      <c r="H152" s="50" t="str">
        <f>IF($A152="","",计算结果!BK141)</f>
        <v/>
      </c>
    </row>
    <row r="153" spans="1:8">
      <c r="A153" s="40" t="str">
        <f>IF(AND(OR(IFERROR(FIND("交行",基本信息!BS142),0)&gt;0,IFERROR(FIND("交通银行",基本信息!BS142),0)&gt;0),计算结果!BT142&gt;0),基本信息!BR142,"")</f>
        <v/>
      </c>
      <c r="B153" s="40" t="str">
        <f>IF($A153="","",基本信息!BQ142)</f>
        <v/>
      </c>
      <c r="C153" s="50" t="str">
        <f>IF($A153="","",计算结果!BT142-G153-H153)</f>
        <v/>
      </c>
      <c r="D153" s="40" t="str">
        <f>IF($A153="","",基本信息!BS142)</f>
        <v/>
      </c>
      <c r="F153" s="40" t="str">
        <f>IF($A153="","",基本信息!A142)</f>
        <v/>
      </c>
      <c r="G153" s="50" t="str">
        <f>IF($A153="","",计算结果!BI142+计算结果!BJ142)</f>
        <v/>
      </c>
      <c r="H153" s="50" t="str">
        <f>IF($A153="","",计算结果!BK142)</f>
        <v/>
      </c>
    </row>
    <row r="154" spans="1:8">
      <c r="A154" s="40" t="str">
        <f>IF(AND(OR(IFERROR(FIND("交行",基本信息!BS143),0)&gt;0,IFERROR(FIND("交通银行",基本信息!BS143),0)&gt;0),计算结果!BT143&gt;0),基本信息!BR143,"")</f>
        <v/>
      </c>
      <c r="B154" s="40" t="str">
        <f>IF($A154="","",基本信息!BQ143)</f>
        <v/>
      </c>
      <c r="C154" s="50" t="str">
        <f>IF($A154="","",计算结果!BT143-G154-H154)</f>
        <v/>
      </c>
      <c r="D154" s="40" t="str">
        <f>IF($A154="","",基本信息!BS143)</f>
        <v/>
      </c>
      <c r="F154" s="40" t="str">
        <f>IF($A154="","",基本信息!A143)</f>
        <v/>
      </c>
      <c r="G154" s="50" t="str">
        <f>IF($A154="","",计算结果!BI143+计算结果!BJ143)</f>
        <v/>
      </c>
      <c r="H154" s="50" t="str">
        <f>IF($A154="","",计算结果!BK143)</f>
        <v/>
      </c>
    </row>
    <row r="155" spans="1:8">
      <c r="A155" s="40" t="str">
        <f>IF(AND(OR(IFERROR(FIND("交行",基本信息!BS144),0)&gt;0,IFERROR(FIND("交通银行",基本信息!BS144),0)&gt;0),计算结果!BT144&gt;0),基本信息!BR144,"")</f>
        <v/>
      </c>
      <c r="B155" s="40" t="str">
        <f>IF($A155="","",基本信息!BQ144)</f>
        <v/>
      </c>
      <c r="C155" s="50" t="str">
        <f>IF($A155="","",计算结果!BT144-G155-H155)</f>
        <v/>
      </c>
      <c r="D155" s="40" t="str">
        <f>IF($A155="","",基本信息!BS144)</f>
        <v/>
      </c>
      <c r="F155" s="40" t="str">
        <f>IF($A155="","",基本信息!A144)</f>
        <v/>
      </c>
      <c r="G155" s="50" t="str">
        <f>IF($A155="","",计算结果!BI144+计算结果!BJ144)</f>
        <v/>
      </c>
      <c r="H155" s="50" t="str">
        <f>IF($A155="","",计算结果!BK144)</f>
        <v/>
      </c>
    </row>
    <row r="156" spans="1:8">
      <c r="A156" s="40" t="str">
        <f>IF(AND(OR(IFERROR(FIND("交行",基本信息!BS145),0)&gt;0,IFERROR(FIND("交通银行",基本信息!BS145),0)&gt;0),计算结果!BT145&gt;0),基本信息!BR145,"")</f>
        <v/>
      </c>
      <c r="B156" s="40" t="str">
        <f>IF($A156="","",基本信息!BQ145)</f>
        <v/>
      </c>
      <c r="C156" s="50" t="str">
        <f>IF($A156="","",计算结果!BT145-G156-H156)</f>
        <v/>
      </c>
      <c r="D156" s="40" t="str">
        <f>IF($A156="","",基本信息!BS145)</f>
        <v/>
      </c>
      <c r="F156" s="40" t="str">
        <f>IF($A156="","",基本信息!A145)</f>
        <v/>
      </c>
      <c r="G156" s="50" t="str">
        <f>IF($A156="","",计算结果!BI145+计算结果!BJ145)</f>
        <v/>
      </c>
      <c r="H156" s="50" t="str">
        <f>IF($A156="","",计算结果!BK145)</f>
        <v/>
      </c>
    </row>
    <row r="157" spans="1:8">
      <c r="A157" s="40" t="str">
        <f>IF(AND(OR(IFERROR(FIND("交行",基本信息!BS146),0)&gt;0,IFERROR(FIND("交通银行",基本信息!BS146),0)&gt;0),计算结果!BT146&gt;0),基本信息!BR146,"")</f>
        <v/>
      </c>
      <c r="B157" s="40" t="str">
        <f>IF($A157="","",基本信息!BQ146)</f>
        <v/>
      </c>
      <c r="C157" s="50" t="str">
        <f>IF($A157="","",计算结果!BT146-G157-H157)</f>
        <v/>
      </c>
      <c r="D157" s="40" t="str">
        <f>IF($A157="","",基本信息!BS146)</f>
        <v/>
      </c>
      <c r="F157" s="40" t="str">
        <f>IF($A157="","",基本信息!A146)</f>
        <v/>
      </c>
      <c r="G157" s="50" t="str">
        <f>IF($A157="","",计算结果!BI146+计算结果!BJ146)</f>
        <v/>
      </c>
      <c r="H157" s="50" t="str">
        <f>IF($A157="","",计算结果!BK146)</f>
        <v/>
      </c>
    </row>
    <row r="158" spans="1:8">
      <c r="A158" s="40" t="str">
        <f>IF(AND(OR(IFERROR(FIND("交行",基本信息!BS147),0)&gt;0,IFERROR(FIND("交通银行",基本信息!BS147),0)&gt;0),计算结果!BT147&gt;0),基本信息!BR147,"")</f>
        <v/>
      </c>
      <c r="B158" s="40" t="str">
        <f>IF($A158="","",基本信息!BQ147)</f>
        <v/>
      </c>
      <c r="C158" s="50" t="str">
        <f>IF($A158="","",计算结果!BT147-G158-H158)</f>
        <v/>
      </c>
      <c r="D158" s="40" t="str">
        <f>IF($A158="","",基本信息!BS147)</f>
        <v/>
      </c>
      <c r="F158" s="40" t="str">
        <f>IF($A158="","",基本信息!A147)</f>
        <v/>
      </c>
      <c r="G158" s="50" t="str">
        <f>IF($A158="","",计算结果!BI147+计算结果!BJ147)</f>
        <v/>
      </c>
      <c r="H158" s="50" t="str">
        <f>IF($A158="","",计算结果!BK147)</f>
        <v/>
      </c>
    </row>
    <row r="159" spans="1:8">
      <c r="A159" s="40" t="str">
        <f>IF(AND(OR(IFERROR(FIND("交行",基本信息!BS148),0)&gt;0,IFERROR(FIND("交通银行",基本信息!BS148),0)&gt;0),计算结果!BT148&gt;0),基本信息!BR148,"")</f>
        <v/>
      </c>
      <c r="B159" s="40" t="str">
        <f>IF($A159="","",基本信息!BQ148)</f>
        <v/>
      </c>
      <c r="C159" s="50" t="str">
        <f>IF($A159="","",计算结果!BT148-G159-H159)</f>
        <v/>
      </c>
      <c r="D159" s="40" t="str">
        <f>IF($A159="","",基本信息!BS148)</f>
        <v/>
      </c>
      <c r="F159" s="40" t="str">
        <f>IF($A159="","",基本信息!A148)</f>
        <v/>
      </c>
      <c r="G159" s="50" t="str">
        <f>IF($A159="","",计算结果!BI148+计算结果!BJ148)</f>
        <v/>
      </c>
      <c r="H159" s="50" t="str">
        <f>IF($A159="","",计算结果!BK148)</f>
        <v/>
      </c>
    </row>
    <row r="160" spans="1:8">
      <c r="A160" s="40" t="str">
        <f>IF(AND(OR(IFERROR(FIND("交行",基本信息!BS149),0)&gt;0,IFERROR(FIND("交通银行",基本信息!BS149),0)&gt;0),计算结果!BT149&gt;0),基本信息!BR149,"")</f>
        <v/>
      </c>
      <c r="B160" s="40" t="str">
        <f>IF($A160="","",基本信息!BQ149)</f>
        <v/>
      </c>
      <c r="C160" s="50" t="str">
        <f>IF($A160="","",计算结果!BT149-G160-H160)</f>
        <v/>
      </c>
      <c r="D160" s="40" t="str">
        <f>IF($A160="","",基本信息!BS149)</f>
        <v/>
      </c>
      <c r="F160" s="40" t="str">
        <f>IF($A160="","",基本信息!A149)</f>
        <v/>
      </c>
      <c r="G160" s="50" t="str">
        <f>IF($A160="","",计算结果!BI149+计算结果!BJ149)</f>
        <v/>
      </c>
      <c r="H160" s="50" t="str">
        <f>IF($A160="","",计算结果!BK149)</f>
        <v/>
      </c>
    </row>
    <row r="161" spans="1:8">
      <c r="A161" s="40" t="str">
        <f>IF(AND(OR(IFERROR(FIND("交行",基本信息!BS150),0)&gt;0,IFERROR(FIND("交通银行",基本信息!BS150),0)&gt;0),计算结果!BT150&gt;0),基本信息!BR150,"")</f>
        <v/>
      </c>
      <c r="B161" s="40" t="str">
        <f>IF($A161="","",基本信息!BQ150)</f>
        <v/>
      </c>
      <c r="C161" s="50" t="str">
        <f>IF($A161="","",计算结果!BT150-G161-H161)</f>
        <v/>
      </c>
      <c r="D161" s="40" t="str">
        <f>IF($A161="","",基本信息!BS150)</f>
        <v/>
      </c>
      <c r="F161" s="40" t="str">
        <f>IF($A161="","",基本信息!A150)</f>
        <v/>
      </c>
      <c r="G161" s="50" t="str">
        <f>IF($A161="","",计算结果!BI150+计算结果!BJ150)</f>
        <v/>
      </c>
      <c r="H161" s="50" t="str">
        <f>IF($A161="","",计算结果!BK150)</f>
        <v/>
      </c>
    </row>
    <row r="162" spans="1:8">
      <c r="A162" s="40" t="str">
        <f>IF(AND(OR(IFERROR(FIND("交行",基本信息!BS151),0)&gt;0,IFERROR(FIND("交通银行",基本信息!BS151),0)&gt;0),计算结果!BT151&gt;0),基本信息!BR151,"")</f>
        <v/>
      </c>
      <c r="B162" s="40" t="str">
        <f>IF($A162="","",基本信息!BQ151)</f>
        <v/>
      </c>
      <c r="C162" s="50" t="str">
        <f>IF($A162="","",计算结果!BT151-G162-H162)</f>
        <v/>
      </c>
      <c r="D162" s="40" t="str">
        <f>IF($A162="","",基本信息!BS151)</f>
        <v/>
      </c>
      <c r="F162" s="40" t="str">
        <f>IF($A162="","",基本信息!A151)</f>
        <v/>
      </c>
      <c r="G162" s="50" t="str">
        <f>IF($A162="","",计算结果!BI151+计算结果!BJ151)</f>
        <v/>
      </c>
      <c r="H162" s="50" t="str">
        <f>IF($A162="","",计算结果!BK151)</f>
        <v/>
      </c>
    </row>
    <row r="163" spans="1:8">
      <c r="A163" s="40" t="str">
        <f>IF(AND(OR(IFERROR(FIND("交行",基本信息!BS152),0)&gt;0,IFERROR(FIND("交通银行",基本信息!BS152),0)&gt;0),计算结果!BT152&gt;0),基本信息!BR152,"")</f>
        <v/>
      </c>
      <c r="B163" s="40" t="str">
        <f>IF($A163="","",基本信息!BQ152)</f>
        <v/>
      </c>
      <c r="C163" s="50" t="str">
        <f>IF($A163="","",计算结果!BT152-G163-H163)</f>
        <v/>
      </c>
      <c r="D163" s="40" t="str">
        <f>IF($A163="","",基本信息!BS152)</f>
        <v/>
      </c>
      <c r="F163" s="40" t="str">
        <f>IF($A163="","",基本信息!A152)</f>
        <v/>
      </c>
      <c r="G163" s="50" t="str">
        <f>IF($A163="","",计算结果!BI152+计算结果!BJ152)</f>
        <v/>
      </c>
      <c r="H163" s="50" t="str">
        <f>IF($A163="","",计算结果!BK152)</f>
        <v/>
      </c>
    </row>
    <row r="164" spans="1:8">
      <c r="A164" s="40" t="str">
        <f>IF(AND(OR(IFERROR(FIND("交行",基本信息!BS153),0)&gt;0,IFERROR(FIND("交通银行",基本信息!BS153),0)&gt;0),计算结果!BT153&gt;0),基本信息!BR153,"")</f>
        <v/>
      </c>
      <c r="B164" s="40" t="str">
        <f>IF($A164="","",基本信息!BQ153)</f>
        <v/>
      </c>
      <c r="C164" s="50" t="str">
        <f>IF($A164="","",计算结果!BT153-G164-H164)</f>
        <v/>
      </c>
      <c r="D164" s="40" t="str">
        <f>IF($A164="","",基本信息!BS153)</f>
        <v/>
      </c>
      <c r="F164" s="40" t="str">
        <f>IF($A164="","",基本信息!A153)</f>
        <v/>
      </c>
      <c r="G164" s="50" t="str">
        <f>IF($A164="","",计算结果!BI153+计算结果!BJ153)</f>
        <v/>
      </c>
      <c r="H164" s="50" t="str">
        <f>IF($A164="","",计算结果!BK153)</f>
        <v/>
      </c>
    </row>
    <row r="165" spans="1:8">
      <c r="A165" s="40" t="str">
        <f>IF(AND(OR(IFERROR(FIND("交行",基本信息!BS154),0)&gt;0,IFERROR(FIND("交通银行",基本信息!BS154),0)&gt;0),计算结果!BT154&gt;0),基本信息!BR154,"")</f>
        <v/>
      </c>
      <c r="B165" s="40" t="str">
        <f>IF($A165="","",基本信息!BQ154)</f>
        <v/>
      </c>
      <c r="C165" s="50" t="str">
        <f>IF($A165="","",计算结果!BT154-G165-H165)</f>
        <v/>
      </c>
      <c r="D165" s="40" t="str">
        <f>IF($A165="","",基本信息!BS154)</f>
        <v/>
      </c>
      <c r="F165" s="40" t="str">
        <f>IF($A165="","",基本信息!A154)</f>
        <v/>
      </c>
      <c r="G165" s="50" t="str">
        <f>IF($A165="","",计算结果!BI154+计算结果!BJ154)</f>
        <v/>
      </c>
      <c r="H165" s="50" t="str">
        <f>IF($A165="","",计算结果!BK154)</f>
        <v/>
      </c>
    </row>
    <row r="166" spans="1:8">
      <c r="A166" s="40" t="str">
        <f>IF(AND(OR(IFERROR(FIND("交行",基本信息!BS155),0)&gt;0,IFERROR(FIND("交通银行",基本信息!BS155),0)&gt;0),计算结果!BT155&gt;0),基本信息!BR155,"")</f>
        <v/>
      </c>
      <c r="B166" s="40" t="str">
        <f>IF($A166="","",基本信息!BQ155)</f>
        <v/>
      </c>
      <c r="C166" s="50" t="str">
        <f>IF($A166="","",计算结果!BT155-G166-H166)</f>
        <v/>
      </c>
      <c r="D166" s="40" t="str">
        <f>IF($A166="","",基本信息!BS155)</f>
        <v/>
      </c>
      <c r="F166" s="40" t="str">
        <f>IF($A166="","",基本信息!A155)</f>
        <v/>
      </c>
      <c r="G166" s="50" t="str">
        <f>IF($A166="","",计算结果!BI155+计算结果!BJ155)</f>
        <v/>
      </c>
      <c r="H166" s="50" t="str">
        <f>IF($A166="","",计算结果!BK155)</f>
        <v/>
      </c>
    </row>
    <row r="167" spans="1:8">
      <c r="A167" s="40" t="str">
        <f>IF(AND(OR(IFERROR(FIND("交行",基本信息!BS156),0)&gt;0,IFERROR(FIND("交通银行",基本信息!BS156),0)&gt;0),计算结果!BT156&gt;0),基本信息!BR156,"")</f>
        <v/>
      </c>
      <c r="B167" s="40" t="str">
        <f>IF($A167="","",基本信息!BQ156)</f>
        <v/>
      </c>
      <c r="C167" s="50" t="str">
        <f>IF($A167="","",计算结果!BT156-G167-H167)</f>
        <v/>
      </c>
      <c r="D167" s="40" t="str">
        <f>IF($A167="","",基本信息!BS156)</f>
        <v/>
      </c>
      <c r="F167" s="40" t="str">
        <f>IF($A167="","",基本信息!A156)</f>
        <v/>
      </c>
      <c r="G167" s="50" t="str">
        <f>IF($A167="","",计算结果!BI156+计算结果!BJ156)</f>
        <v/>
      </c>
      <c r="H167" s="50" t="str">
        <f>IF($A167="","",计算结果!BK156)</f>
        <v/>
      </c>
    </row>
    <row r="168" spans="1:8">
      <c r="A168" s="40" t="str">
        <f>IF(AND(OR(IFERROR(FIND("交行",基本信息!BS157),0)&gt;0,IFERROR(FIND("交通银行",基本信息!BS157),0)&gt;0),计算结果!BT157&gt;0),基本信息!BR157,"")</f>
        <v/>
      </c>
      <c r="B168" s="40" t="str">
        <f>IF($A168="","",基本信息!BQ157)</f>
        <v/>
      </c>
      <c r="C168" s="50" t="str">
        <f>IF($A168="","",计算结果!BT157-G168-H168)</f>
        <v/>
      </c>
      <c r="D168" s="40" t="str">
        <f>IF($A168="","",基本信息!BS157)</f>
        <v/>
      </c>
      <c r="F168" s="40" t="str">
        <f>IF($A168="","",基本信息!A157)</f>
        <v/>
      </c>
      <c r="G168" s="50" t="str">
        <f>IF($A168="","",计算结果!BI157+计算结果!BJ157)</f>
        <v/>
      </c>
      <c r="H168" s="50" t="str">
        <f>IF($A168="","",计算结果!BK157)</f>
        <v/>
      </c>
    </row>
    <row r="169" spans="1:8">
      <c r="A169" s="40" t="str">
        <f>IF(AND(OR(IFERROR(FIND("交行",基本信息!BS158),0)&gt;0,IFERROR(FIND("交通银行",基本信息!BS158),0)&gt;0),计算结果!BT158&gt;0),基本信息!BR158,"")</f>
        <v/>
      </c>
      <c r="B169" s="40" t="str">
        <f>IF($A169="","",基本信息!BQ158)</f>
        <v/>
      </c>
      <c r="C169" s="50" t="str">
        <f>IF($A169="","",计算结果!BT158-G169-H169)</f>
        <v/>
      </c>
      <c r="D169" s="40" t="str">
        <f>IF($A169="","",基本信息!BS158)</f>
        <v/>
      </c>
      <c r="F169" s="40" t="str">
        <f>IF($A169="","",基本信息!A158)</f>
        <v/>
      </c>
      <c r="G169" s="50" t="str">
        <f>IF($A169="","",计算结果!BI158+计算结果!BJ158)</f>
        <v/>
      </c>
      <c r="H169" s="50" t="str">
        <f>IF($A169="","",计算结果!BK158)</f>
        <v/>
      </c>
    </row>
    <row r="170" spans="1:8">
      <c r="A170" s="40" t="str">
        <f>IF(AND(OR(IFERROR(FIND("交行",基本信息!BS159),0)&gt;0,IFERROR(FIND("交通银行",基本信息!BS159),0)&gt;0),计算结果!BT159&gt;0),基本信息!BR159,"")</f>
        <v/>
      </c>
      <c r="B170" s="40" t="str">
        <f>IF($A170="","",基本信息!BQ159)</f>
        <v/>
      </c>
      <c r="C170" s="50" t="str">
        <f>IF($A170="","",计算结果!BT159-G170-H170)</f>
        <v/>
      </c>
      <c r="D170" s="40" t="str">
        <f>IF($A170="","",基本信息!BS159)</f>
        <v/>
      </c>
      <c r="F170" s="40" t="str">
        <f>IF($A170="","",基本信息!A159)</f>
        <v/>
      </c>
      <c r="G170" s="50" t="str">
        <f>IF($A170="","",计算结果!BI159+计算结果!BJ159)</f>
        <v/>
      </c>
      <c r="H170" s="50" t="str">
        <f>IF($A170="","",计算结果!BK159)</f>
        <v/>
      </c>
    </row>
    <row r="171" spans="1:8">
      <c r="A171" s="40" t="str">
        <f>IF(AND(OR(IFERROR(FIND("交行",基本信息!BS160),0)&gt;0,IFERROR(FIND("交通银行",基本信息!BS160),0)&gt;0),计算结果!BT160&gt;0),基本信息!BR160,"")</f>
        <v/>
      </c>
      <c r="B171" s="40" t="str">
        <f>IF($A171="","",基本信息!BQ160)</f>
        <v/>
      </c>
      <c r="C171" s="50" t="str">
        <f>IF($A171="","",计算结果!BT160-G171-H171)</f>
        <v/>
      </c>
      <c r="D171" s="40" t="str">
        <f>IF($A171="","",基本信息!BS160)</f>
        <v/>
      </c>
      <c r="F171" s="40" t="str">
        <f>IF($A171="","",基本信息!A160)</f>
        <v/>
      </c>
      <c r="G171" s="50" t="str">
        <f>IF($A171="","",计算结果!BI160+计算结果!BJ160)</f>
        <v/>
      </c>
      <c r="H171" s="50" t="str">
        <f>IF($A171="","",计算结果!BK160)</f>
        <v/>
      </c>
    </row>
    <row r="172" spans="1:8">
      <c r="A172" s="40" t="str">
        <f>IF(AND(OR(IFERROR(FIND("交行",基本信息!BS161),0)&gt;0,IFERROR(FIND("交通银行",基本信息!BS161),0)&gt;0),计算结果!BT161&gt;0),基本信息!BR161,"")</f>
        <v/>
      </c>
      <c r="B172" s="40" t="str">
        <f>IF($A172="","",基本信息!BQ161)</f>
        <v/>
      </c>
      <c r="C172" s="50" t="str">
        <f>IF($A172="","",计算结果!BT161-G172-H172)</f>
        <v/>
      </c>
      <c r="D172" s="40" t="str">
        <f>IF($A172="","",基本信息!BS161)</f>
        <v/>
      </c>
      <c r="F172" s="40" t="str">
        <f>IF($A172="","",基本信息!A161)</f>
        <v/>
      </c>
      <c r="G172" s="50" t="str">
        <f>IF($A172="","",计算结果!BI161+计算结果!BJ161)</f>
        <v/>
      </c>
      <c r="H172" s="50" t="str">
        <f>IF($A172="","",计算结果!BK161)</f>
        <v/>
      </c>
    </row>
    <row r="173" spans="1:8">
      <c r="A173" s="40" t="str">
        <f>IF(AND(OR(IFERROR(FIND("交行",基本信息!BS162),0)&gt;0,IFERROR(FIND("交通银行",基本信息!BS162),0)&gt;0),计算结果!BT162&gt;0),基本信息!BR162,"")</f>
        <v/>
      </c>
      <c r="B173" s="40" t="str">
        <f>IF($A173="","",基本信息!BQ162)</f>
        <v/>
      </c>
      <c r="C173" s="50" t="str">
        <f>IF($A173="","",计算结果!BT162-G173-H173)</f>
        <v/>
      </c>
      <c r="D173" s="40" t="str">
        <f>IF($A173="","",基本信息!BS162)</f>
        <v/>
      </c>
      <c r="F173" s="40" t="str">
        <f>IF($A173="","",基本信息!A162)</f>
        <v/>
      </c>
      <c r="G173" s="50" t="str">
        <f>IF($A173="","",计算结果!BI162+计算结果!BJ162)</f>
        <v/>
      </c>
      <c r="H173" s="50" t="str">
        <f>IF($A173="","",计算结果!BK162)</f>
        <v/>
      </c>
    </row>
    <row r="174" spans="1:8">
      <c r="A174" s="40" t="str">
        <f>IF(AND(OR(IFERROR(FIND("交行",基本信息!BS163),0)&gt;0,IFERROR(FIND("交通银行",基本信息!BS163),0)&gt;0),计算结果!BT163&gt;0),基本信息!BR163,"")</f>
        <v/>
      </c>
      <c r="B174" s="40" t="str">
        <f>IF($A174="","",基本信息!BQ163)</f>
        <v/>
      </c>
      <c r="C174" s="50" t="str">
        <f>IF($A174="","",计算结果!BT163-G174-H174)</f>
        <v/>
      </c>
      <c r="D174" s="40" t="str">
        <f>IF($A174="","",基本信息!BS163)</f>
        <v/>
      </c>
      <c r="F174" s="40" t="str">
        <f>IF($A174="","",基本信息!A163)</f>
        <v/>
      </c>
      <c r="G174" s="50" t="str">
        <f>IF($A174="","",计算结果!BI163+计算结果!BJ163)</f>
        <v/>
      </c>
      <c r="H174" s="50" t="str">
        <f>IF($A174="","",计算结果!BK163)</f>
        <v/>
      </c>
    </row>
    <row r="175" spans="1:8">
      <c r="A175" s="40" t="str">
        <f>IF(AND(OR(IFERROR(FIND("交行",基本信息!BS164),0)&gt;0,IFERROR(FIND("交通银行",基本信息!BS164),0)&gt;0),计算结果!BT164&gt;0),基本信息!BR164,"")</f>
        <v/>
      </c>
      <c r="B175" s="40" t="str">
        <f>IF($A175="","",基本信息!BQ164)</f>
        <v/>
      </c>
      <c r="C175" s="50" t="str">
        <f>IF($A175="","",计算结果!BT164-G175-H175)</f>
        <v/>
      </c>
      <c r="D175" s="40" t="str">
        <f>IF($A175="","",基本信息!BS164)</f>
        <v/>
      </c>
      <c r="F175" s="40" t="str">
        <f>IF($A175="","",基本信息!A164)</f>
        <v/>
      </c>
      <c r="G175" s="50" t="str">
        <f>IF($A175="","",计算结果!BI164+计算结果!BJ164)</f>
        <v/>
      </c>
      <c r="H175" s="50" t="str">
        <f>IF($A175="","",计算结果!BK164)</f>
        <v/>
      </c>
    </row>
    <row r="176" spans="1:8">
      <c r="A176" s="40" t="str">
        <f>IF(AND(OR(IFERROR(FIND("交行",基本信息!BS165),0)&gt;0,IFERROR(FIND("交通银行",基本信息!BS165),0)&gt;0),计算结果!BT165&gt;0),基本信息!BR165,"")</f>
        <v/>
      </c>
      <c r="B176" s="40" t="str">
        <f>IF($A176="","",基本信息!BQ165)</f>
        <v/>
      </c>
      <c r="C176" s="50" t="str">
        <f>IF($A176="","",计算结果!BT165-G176-H176)</f>
        <v/>
      </c>
      <c r="D176" s="40" t="str">
        <f>IF($A176="","",基本信息!BS165)</f>
        <v/>
      </c>
      <c r="F176" s="40" t="str">
        <f>IF($A176="","",基本信息!A165)</f>
        <v/>
      </c>
      <c r="G176" s="50" t="str">
        <f>IF($A176="","",计算结果!BI165+计算结果!BJ165)</f>
        <v/>
      </c>
      <c r="H176" s="50" t="str">
        <f>IF($A176="","",计算结果!BK165)</f>
        <v/>
      </c>
    </row>
    <row r="177" spans="1:8">
      <c r="A177" s="40" t="str">
        <f>IF(AND(OR(IFERROR(FIND("交行",基本信息!BS166),0)&gt;0,IFERROR(FIND("交通银行",基本信息!BS166),0)&gt;0),计算结果!BT166&gt;0),基本信息!BR166,"")</f>
        <v/>
      </c>
      <c r="B177" s="40" t="str">
        <f>IF($A177="","",基本信息!BQ166)</f>
        <v/>
      </c>
      <c r="C177" s="50" t="str">
        <f>IF($A177="","",计算结果!BT166-G177-H177)</f>
        <v/>
      </c>
      <c r="D177" s="40" t="str">
        <f>IF($A177="","",基本信息!BS166)</f>
        <v/>
      </c>
      <c r="F177" s="40" t="str">
        <f>IF($A177="","",基本信息!A166)</f>
        <v/>
      </c>
      <c r="G177" s="50" t="str">
        <f>IF($A177="","",计算结果!BI166+计算结果!BJ166)</f>
        <v/>
      </c>
      <c r="H177" s="50" t="str">
        <f>IF($A177="","",计算结果!BK166)</f>
        <v/>
      </c>
    </row>
    <row r="178" spans="1:8">
      <c r="A178" s="40" t="str">
        <f>IF(AND(OR(IFERROR(FIND("交行",基本信息!BS167),0)&gt;0,IFERROR(FIND("交通银行",基本信息!BS167),0)&gt;0),计算结果!BT167&gt;0),基本信息!BR167,"")</f>
        <v/>
      </c>
      <c r="B178" s="40" t="str">
        <f>IF($A178="","",基本信息!BQ167)</f>
        <v/>
      </c>
      <c r="C178" s="50" t="str">
        <f>IF($A178="","",计算结果!BT167-G178-H178)</f>
        <v/>
      </c>
      <c r="D178" s="40" t="str">
        <f>IF($A178="","",基本信息!BS167)</f>
        <v/>
      </c>
      <c r="F178" s="40" t="str">
        <f>IF($A178="","",基本信息!A167)</f>
        <v/>
      </c>
      <c r="G178" s="50" t="str">
        <f>IF($A178="","",计算结果!BI167+计算结果!BJ167)</f>
        <v/>
      </c>
      <c r="H178" s="50" t="str">
        <f>IF($A178="","",计算结果!BK167)</f>
        <v/>
      </c>
    </row>
    <row r="179" spans="1:8">
      <c r="A179" s="40" t="str">
        <f>IF(AND(OR(IFERROR(FIND("交行",基本信息!BS168),0)&gt;0,IFERROR(FIND("交通银行",基本信息!BS168),0)&gt;0),计算结果!BT168&gt;0),基本信息!BR168,"")</f>
        <v/>
      </c>
      <c r="B179" s="40" t="str">
        <f>IF($A179="","",基本信息!BQ168)</f>
        <v/>
      </c>
      <c r="C179" s="50" t="str">
        <f>IF($A179="","",计算结果!BT168-G179-H179)</f>
        <v/>
      </c>
      <c r="D179" s="40" t="str">
        <f>IF($A179="","",基本信息!BS168)</f>
        <v/>
      </c>
      <c r="F179" s="40" t="str">
        <f>IF($A179="","",基本信息!A168)</f>
        <v/>
      </c>
      <c r="G179" s="50" t="str">
        <f>IF($A179="","",计算结果!BI168+计算结果!BJ168)</f>
        <v/>
      </c>
      <c r="H179" s="50" t="str">
        <f>IF($A179="","",计算结果!BK168)</f>
        <v/>
      </c>
    </row>
    <row r="180" spans="1:8">
      <c r="A180" s="40" t="str">
        <f>IF(AND(OR(IFERROR(FIND("交行",基本信息!BS169),0)&gt;0,IFERROR(FIND("交通银行",基本信息!BS169),0)&gt;0),计算结果!BT169&gt;0),基本信息!BR169,"")</f>
        <v/>
      </c>
      <c r="B180" s="40" t="str">
        <f>IF($A180="","",基本信息!BQ169)</f>
        <v/>
      </c>
      <c r="C180" s="50" t="str">
        <f>IF($A180="","",计算结果!BT169-G180-H180)</f>
        <v/>
      </c>
      <c r="D180" s="40" t="str">
        <f>IF($A180="","",基本信息!BS169)</f>
        <v/>
      </c>
      <c r="F180" s="40" t="str">
        <f>IF($A180="","",基本信息!A169)</f>
        <v/>
      </c>
      <c r="G180" s="50" t="str">
        <f>IF($A180="","",计算结果!BI169+计算结果!BJ169)</f>
        <v/>
      </c>
      <c r="H180" s="50" t="str">
        <f>IF($A180="","",计算结果!BK169)</f>
        <v/>
      </c>
    </row>
    <row r="181" spans="1:8">
      <c r="A181" s="40" t="str">
        <f>IF(AND(OR(IFERROR(FIND("交行",基本信息!BS170),0)&gt;0,IFERROR(FIND("交通银行",基本信息!BS170),0)&gt;0),计算结果!BT170&gt;0),基本信息!BR170,"")</f>
        <v/>
      </c>
      <c r="B181" s="40" t="str">
        <f>IF($A181="","",基本信息!BQ170)</f>
        <v/>
      </c>
      <c r="C181" s="50" t="str">
        <f>IF($A181="","",计算结果!BT170-G181-H181)</f>
        <v/>
      </c>
      <c r="D181" s="40" t="str">
        <f>IF($A181="","",基本信息!BS170)</f>
        <v/>
      </c>
      <c r="F181" s="40" t="str">
        <f>IF($A181="","",基本信息!A170)</f>
        <v/>
      </c>
      <c r="G181" s="50" t="str">
        <f>IF($A181="","",计算结果!BI170+计算结果!BJ170)</f>
        <v/>
      </c>
      <c r="H181" s="50" t="str">
        <f>IF($A181="","",计算结果!BK170)</f>
        <v/>
      </c>
    </row>
    <row r="182" spans="1:8">
      <c r="A182" s="40" t="str">
        <f>IF(AND(OR(IFERROR(FIND("交行",基本信息!BS171),0)&gt;0,IFERROR(FIND("交通银行",基本信息!BS171),0)&gt;0),计算结果!BT171&gt;0),基本信息!BR171,"")</f>
        <v/>
      </c>
      <c r="B182" s="40" t="str">
        <f>IF($A182="","",基本信息!BQ171)</f>
        <v/>
      </c>
      <c r="C182" s="50" t="str">
        <f>IF($A182="","",计算结果!BT171-G182-H182)</f>
        <v/>
      </c>
      <c r="D182" s="40" t="str">
        <f>IF($A182="","",基本信息!BS171)</f>
        <v/>
      </c>
      <c r="F182" s="40" t="str">
        <f>IF($A182="","",基本信息!A171)</f>
        <v/>
      </c>
      <c r="G182" s="50" t="str">
        <f>IF($A182="","",计算结果!BI171+计算结果!BJ171)</f>
        <v/>
      </c>
      <c r="H182" s="50" t="str">
        <f>IF($A182="","",计算结果!BK171)</f>
        <v/>
      </c>
    </row>
    <row r="183" spans="1:8">
      <c r="A183" s="40" t="str">
        <f>IF(AND(OR(IFERROR(FIND("交行",基本信息!BS172),0)&gt;0,IFERROR(FIND("交通银行",基本信息!BS172),0)&gt;0),计算结果!BT172&gt;0),基本信息!BR172,"")</f>
        <v/>
      </c>
      <c r="B183" s="40" t="str">
        <f>IF($A183="","",基本信息!BQ172)</f>
        <v/>
      </c>
      <c r="C183" s="50" t="str">
        <f>IF($A183="","",计算结果!BT172-G183-H183)</f>
        <v/>
      </c>
      <c r="D183" s="40" t="str">
        <f>IF($A183="","",基本信息!BS172)</f>
        <v/>
      </c>
      <c r="F183" s="40" t="str">
        <f>IF($A183="","",基本信息!A172)</f>
        <v/>
      </c>
      <c r="G183" s="50" t="str">
        <f>IF($A183="","",计算结果!BI172+计算结果!BJ172)</f>
        <v/>
      </c>
      <c r="H183" s="50" t="str">
        <f>IF($A183="","",计算结果!BK172)</f>
        <v/>
      </c>
    </row>
    <row r="184" spans="1:8">
      <c r="A184" s="40" t="str">
        <f>IF(AND(OR(IFERROR(FIND("交行",基本信息!BS173),0)&gt;0,IFERROR(FIND("交通银行",基本信息!BS173),0)&gt;0),计算结果!BT173&gt;0),基本信息!BR173,"")</f>
        <v/>
      </c>
      <c r="B184" s="40" t="str">
        <f>IF($A184="","",基本信息!BQ173)</f>
        <v/>
      </c>
      <c r="C184" s="50" t="str">
        <f>IF($A184="","",计算结果!BT173-G184-H184)</f>
        <v/>
      </c>
      <c r="D184" s="40" t="str">
        <f>IF($A184="","",基本信息!BS173)</f>
        <v/>
      </c>
      <c r="F184" s="40" t="str">
        <f>IF($A184="","",基本信息!A173)</f>
        <v/>
      </c>
      <c r="G184" s="50" t="str">
        <f>IF($A184="","",计算结果!BI173+计算结果!BJ173)</f>
        <v/>
      </c>
      <c r="H184" s="50" t="str">
        <f>IF($A184="","",计算结果!BK173)</f>
        <v/>
      </c>
    </row>
    <row r="185" spans="1:8">
      <c r="A185" s="40" t="str">
        <f>IF(AND(OR(IFERROR(FIND("交行",基本信息!BS174),0)&gt;0,IFERROR(FIND("交通银行",基本信息!BS174),0)&gt;0),计算结果!BT174&gt;0),基本信息!BR174,"")</f>
        <v/>
      </c>
      <c r="B185" s="40" t="str">
        <f>IF($A185="","",基本信息!BQ174)</f>
        <v/>
      </c>
      <c r="C185" s="50" t="str">
        <f>IF($A185="","",计算结果!BT174-G185-H185)</f>
        <v/>
      </c>
      <c r="D185" s="40" t="str">
        <f>IF($A185="","",基本信息!BS174)</f>
        <v/>
      </c>
      <c r="F185" s="40" t="str">
        <f>IF($A185="","",基本信息!A174)</f>
        <v/>
      </c>
      <c r="G185" s="50" t="str">
        <f>IF($A185="","",计算结果!BI174+计算结果!BJ174)</f>
        <v/>
      </c>
      <c r="H185" s="50" t="str">
        <f>IF($A185="","",计算结果!BK174)</f>
        <v/>
      </c>
    </row>
    <row r="186" spans="1:8">
      <c r="A186" s="40" t="str">
        <f>IF(AND(OR(IFERROR(FIND("交行",基本信息!BS175),0)&gt;0,IFERROR(FIND("交通银行",基本信息!BS175),0)&gt;0),计算结果!BT175&gt;0),基本信息!BR175,"")</f>
        <v/>
      </c>
      <c r="B186" s="40" t="str">
        <f>IF($A186="","",基本信息!BQ175)</f>
        <v/>
      </c>
      <c r="C186" s="50" t="str">
        <f>IF($A186="","",计算结果!BT175-G186-H186)</f>
        <v/>
      </c>
      <c r="D186" s="40" t="str">
        <f>IF($A186="","",基本信息!BS175)</f>
        <v/>
      </c>
      <c r="F186" s="40" t="str">
        <f>IF($A186="","",基本信息!A175)</f>
        <v/>
      </c>
      <c r="G186" s="50" t="str">
        <f>IF($A186="","",计算结果!BI175+计算结果!BJ175)</f>
        <v/>
      </c>
      <c r="H186" s="50" t="str">
        <f>IF($A186="","",计算结果!BK175)</f>
        <v/>
      </c>
    </row>
    <row r="187" spans="1:8">
      <c r="A187" s="40" t="str">
        <f>IF(AND(OR(IFERROR(FIND("交行",基本信息!BS176),0)&gt;0,IFERROR(FIND("交通银行",基本信息!BS176),0)&gt;0),计算结果!BT176&gt;0),基本信息!BR176,"")</f>
        <v/>
      </c>
      <c r="B187" s="40" t="str">
        <f>IF($A187="","",基本信息!BQ176)</f>
        <v/>
      </c>
      <c r="C187" s="50" t="str">
        <f>IF($A187="","",计算结果!BT176-G187-H187)</f>
        <v/>
      </c>
      <c r="D187" s="40" t="str">
        <f>IF($A187="","",基本信息!BS176)</f>
        <v/>
      </c>
      <c r="F187" s="40" t="str">
        <f>IF($A187="","",基本信息!A176)</f>
        <v/>
      </c>
      <c r="G187" s="50" t="str">
        <f>IF($A187="","",计算结果!BI176+计算结果!BJ176)</f>
        <v/>
      </c>
      <c r="H187" s="50" t="str">
        <f>IF($A187="","",计算结果!BK176)</f>
        <v/>
      </c>
    </row>
    <row r="188" spans="1:8">
      <c r="A188" s="40" t="str">
        <f>IF(AND(OR(IFERROR(FIND("交行",基本信息!BS177),0)&gt;0,IFERROR(FIND("交通银行",基本信息!BS177),0)&gt;0),计算结果!BT177&gt;0),基本信息!BR177,"")</f>
        <v/>
      </c>
      <c r="B188" s="40" t="str">
        <f>IF($A188="","",基本信息!BQ177)</f>
        <v/>
      </c>
      <c r="C188" s="50" t="str">
        <f>IF($A188="","",计算结果!BT177-G188-H188)</f>
        <v/>
      </c>
      <c r="D188" s="40" t="str">
        <f>IF($A188="","",基本信息!BS177)</f>
        <v/>
      </c>
      <c r="F188" s="40" t="str">
        <f>IF($A188="","",基本信息!A177)</f>
        <v/>
      </c>
      <c r="G188" s="50" t="str">
        <f>IF($A188="","",计算结果!BI177+计算结果!BJ177)</f>
        <v/>
      </c>
      <c r="H188" s="50" t="str">
        <f>IF($A188="","",计算结果!BK177)</f>
        <v/>
      </c>
    </row>
    <row r="189" spans="1:8">
      <c r="A189" s="40" t="str">
        <f>IF(AND(OR(IFERROR(FIND("交行",基本信息!BS178),0)&gt;0,IFERROR(FIND("交通银行",基本信息!BS178),0)&gt;0),计算结果!BT178&gt;0),基本信息!BR178,"")</f>
        <v/>
      </c>
      <c r="B189" s="40" t="str">
        <f>IF($A189="","",基本信息!BQ178)</f>
        <v/>
      </c>
      <c r="C189" s="50" t="str">
        <f>IF($A189="","",计算结果!BT178-G189-H189)</f>
        <v/>
      </c>
      <c r="D189" s="40" t="str">
        <f>IF($A189="","",基本信息!BS178)</f>
        <v/>
      </c>
      <c r="F189" s="40" t="str">
        <f>IF($A189="","",基本信息!A178)</f>
        <v/>
      </c>
      <c r="G189" s="50" t="str">
        <f>IF($A189="","",计算结果!BI178+计算结果!BJ178)</f>
        <v/>
      </c>
      <c r="H189" s="50" t="str">
        <f>IF($A189="","",计算结果!BK178)</f>
        <v/>
      </c>
    </row>
    <row r="190" spans="1:8">
      <c r="A190" s="40" t="str">
        <f>IF(AND(OR(IFERROR(FIND("交行",基本信息!BS179),0)&gt;0,IFERROR(FIND("交通银行",基本信息!BS179),0)&gt;0),计算结果!BT179&gt;0),基本信息!BR179,"")</f>
        <v/>
      </c>
      <c r="B190" s="40" t="str">
        <f>IF($A190="","",基本信息!BQ179)</f>
        <v/>
      </c>
      <c r="C190" s="50" t="str">
        <f>IF($A190="","",计算结果!BT179-G190-H190)</f>
        <v/>
      </c>
      <c r="D190" s="40" t="str">
        <f>IF($A190="","",基本信息!BS179)</f>
        <v/>
      </c>
      <c r="F190" s="40" t="str">
        <f>IF($A190="","",基本信息!A179)</f>
        <v/>
      </c>
      <c r="G190" s="50" t="str">
        <f>IF($A190="","",计算结果!BI179+计算结果!BJ179)</f>
        <v/>
      </c>
      <c r="H190" s="50" t="str">
        <f>IF($A190="","",计算结果!BK179)</f>
        <v/>
      </c>
    </row>
    <row r="191" spans="1:8">
      <c r="A191" s="40" t="str">
        <f>IF(AND(OR(IFERROR(FIND("交行",基本信息!BS180),0)&gt;0,IFERROR(FIND("交通银行",基本信息!BS180),0)&gt;0),计算结果!BT180&gt;0),基本信息!BR180,"")</f>
        <v/>
      </c>
      <c r="B191" s="40" t="str">
        <f>IF($A191="","",基本信息!BQ180)</f>
        <v/>
      </c>
      <c r="C191" s="50" t="str">
        <f>IF($A191="","",计算结果!BT180-G191-H191)</f>
        <v/>
      </c>
      <c r="D191" s="40" t="str">
        <f>IF($A191="","",基本信息!BS180)</f>
        <v/>
      </c>
      <c r="F191" s="40" t="str">
        <f>IF($A191="","",基本信息!A180)</f>
        <v/>
      </c>
      <c r="G191" s="50" t="str">
        <f>IF($A191="","",计算结果!BI180+计算结果!BJ180)</f>
        <v/>
      </c>
      <c r="H191" s="50" t="str">
        <f>IF($A191="","",计算结果!BK180)</f>
        <v/>
      </c>
    </row>
    <row r="192" spans="1:8">
      <c r="A192" s="40" t="str">
        <f>IF(AND(OR(IFERROR(FIND("交行",基本信息!BS181),0)&gt;0,IFERROR(FIND("交通银行",基本信息!BS181),0)&gt;0),计算结果!BT181&gt;0),基本信息!BR181,"")</f>
        <v/>
      </c>
      <c r="B192" s="40" t="str">
        <f>IF($A192="","",基本信息!BQ181)</f>
        <v/>
      </c>
      <c r="C192" s="50" t="str">
        <f>IF($A192="","",计算结果!BT181-G192-H192)</f>
        <v/>
      </c>
      <c r="D192" s="40" t="str">
        <f>IF($A192="","",基本信息!BS181)</f>
        <v/>
      </c>
      <c r="F192" s="40" t="str">
        <f>IF($A192="","",基本信息!A181)</f>
        <v/>
      </c>
      <c r="G192" s="50" t="str">
        <f>IF($A192="","",计算结果!BI181+计算结果!BJ181)</f>
        <v/>
      </c>
      <c r="H192" s="50" t="str">
        <f>IF($A192="","",计算结果!BK181)</f>
        <v/>
      </c>
    </row>
    <row r="193" spans="1:8">
      <c r="A193" s="40" t="str">
        <f>IF(AND(OR(IFERROR(FIND("交行",基本信息!BS182),0)&gt;0,IFERROR(FIND("交通银行",基本信息!BS182),0)&gt;0),计算结果!BT182&gt;0),基本信息!BR182,"")</f>
        <v/>
      </c>
      <c r="B193" s="40" t="str">
        <f>IF($A193="","",基本信息!BQ182)</f>
        <v/>
      </c>
      <c r="C193" s="50" t="str">
        <f>IF($A193="","",计算结果!BT182-G193-H193)</f>
        <v/>
      </c>
      <c r="D193" s="40" t="str">
        <f>IF($A193="","",基本信息!BS182)</f>
        <v/>
      </c>
      <c r="F193" s="40" t="str">
        <f>IF($A193="","",基本信息!A182)</f>
        <v/>
      </c>
      <c r="G193" s="50" t="str">
        <f>IF($A193="","",计算结果!BI182+计算结果!BJ182)</f>
        <v/>
      </c>
      <c r="H193" s="50" t="str">
        <f>IF($A193="","",计算结果!BK182)</f>
        <v/>
      </c>
    </row>
    <row r="194" spans="1:8">
      <c r="A194" s="40" t="str">
        <f>IF(AND(OR(IFERROR(FIND("交行",基本信息!BS183),0)&gt;0,IFERROR(FIND("交通银行",基本信息!BS183),0)&gt;0),计算结果!BT183&gt;0),基本信息!BR183,"")</f>
        <v/>
      </c>
      <c r="B194" s="40" t="str">
        <f>IF($A194="","",基本信息!BQ183)</f>
        <v/>
      </c>
      <c r="C194" s="50" t="str">
        <f>IF($A194="","",计算结果!BT183-G194-H194)</f>
        <v/>
      </c>
      <c r="D194" s="40" t="str">
        <f>IF($A194="","",基本信息!BS183)</f>
        <v/>
      </c>
      <c r="F194" s="40" t="str">
        <f>IF($A194="","",基本信息!A183)</f>
        <v/>
      </c>
      <c r="G194" s="50" t="str">
        <f>IF($A194="","",计算结果!BI183+计算结果!BJ183)</f>
        <v/>
      </c>
      <c r="H194" s="50" t="str">
        <f>IF($A194="","",计算结果!BK183)</f>
        <v/>
      </c>
    </row>
    <row r="195" spans="1:8">
      <c r="A195" s="40" t="str">
        <f>IF(AND(OR(IFERROR(FIND("交行",基本信息!BS184),0)&gt;0,IFERROR(FIND("交通银行",基本信息!BS184),0)&gt;0),计算结果!BT184&gt;0),基本信息!BR184,"")</f>
        <v/>
      </c>
      <c r="B195" s="40" t="str">
        <f>IF($A195="","",基本信息!BQ184)</f>
        <v/>
      </c>
      <c r="C195" s="50" t="str">
        <f>IF($A195="","",计算结果!BT184-G195-H195)</f>
        <v/>
      </c>
      <c r="D195" s="40" t="str">
        <f>IF($A195="","",基本信息!BS184)</f>
        <v/>
      </c>
      <c r="F195" s="40" t="str">
        <f>IF($A195="","",基本信息!A184)</f>
        <v/>
      </c>
      <c r="G195" s="50" t="str">
        <f>IF($A195="","",计算结果!BI184+计算结果!BJ184)</f>
        <v/>
      </c>
      <c r="H195" s="50" t="str">
        <f>IF($A195="","",计算结果!BK184)</f>
        <v/>
      </c>
    </row>
    <row r="196" spans="1:8">
      <c r="A196" s="40" t="str">
        <f>IF(AND(OR(IFERROR(FIND("交行",基本信息!BS185),0)&gt;0,IFERROR(FIND("交通银行",基本信息!BS185),0)&gt;0),计算结果!BT185&gt;0),基本信息!BR185,"")</f>
        <v/>
      </c>
      <c r="B196" s="40" t="str">
        <f>IF($A196="","",基本信息!BQ185)</f>
        <v/>
      </c>
      <c r="C196" s="50" t="str">
        <f>IF($A196="","",计算结果!BT185-G196-H196)</f>
        <v/>
      </c>
      <c r="D196" s="40" t="str">
        <f>IF($A196="","",基本信息!BS185)</f>
        <v/>
      </c>
      <c r="F196" s="40" t="str">
        <f>IF($A196="","",基本信息!A185)</f>
        <v/>
      </c>
      <c r="G196" s="50" t="str">
        <f>IF($A196="","",计算结果!BI185+计算结果!BJ185)</f>
        <v/>
      </c>
      <c r="H196" s="50" t="str">
        <f>IF($A196="","",计算结果!BK185)</f>
        <v/>
      </c>
    </row>
    <row r="197" spans="1:8">
      <c r="A197" s="40" t="str">
        <f>IF(AND(OR(IFERROR(FIND("交行",基本信息!BS186),0)&gt;0,IFERROR(FIND("交通银行",基本信息!BS186),0)&gt;0),计算结果!BT186&gt;0),基本信息!BR186,"")</f>
        <v/>
      </c>
      <c r="B197" s="40" t="str">
        <f>IF($A197="","",基本信息!BQ186)</f>
        <v/>
      </c>
      <c r="C197" s="50" t="str">
        <f>IF($A197="","",计算结果!BT186-G197-H197)</f>
        <v/>
      </c>
      <c r="D197" s="40" t="str">
        <f>IF($A197="","",基本信息!BS186)</f>
        <v/>
      </c>
      <c r="F197" s="40" t="str">
        <f>IF($A197="","",基本信息!A186)</f>
        <v/>
      </c>
      <c r="G197" s="50" t="str">
        <f>IF($A197="","",计算结果!BI186+计算结果!BJ186)</f>
        <v/>
      </c>
      <c r="H197" s="50" t="str">
        <f>IF($A197="","",计算结果!BK186)</f>
        <v/>
      </c>
    </row>
    <row r="198" spans="1:8">
      <c r="A198" s="40" t="str">
        <f>IF(AND(OR(IFERROR(FIND("交行",基本信息!BS187),0)&gt;0,IFERROR(FIND("交通银行",基本信息!BS187),0)&gt;0),计算结果!BT187&gt;0),基本信息!BR187,"")</f>
        <v/>
      </c>
      <c r="B198" s="40" t="str">
        <f>IF($A198="","",基本信息!BQ187)</f>
        <v/>
      </c>
      <c r="C198" s="50" t="str">
        <f>IF($A198="","",计算结果!BT187-G198-H198)</f>
        <v/>
      </c>
      <c r="D198" s="40" t="str">
        <f>IF($A198="","",基本信息!BS187)</f>
        <v/>
      </c>
      <c r="F198" s="40" t="str">
        <f>IF($A198="","",基本信息!A187)</f>
        <v/>
      </c>
      <c r="G198" s="50" t="str">
        <f>IF($A198="","",计算结果!BI187+计算结果!BJ187)</f>
        <v/>
      </c>
      <c r="H198" s="50" t="str">
        <f>IF($A198="","",计算结果!BK187)</f>
        <v/>
      </c>
    </row>
    <row r="199" spans="1:8">
      <c r="A199" s="40" t="str">
        <f>IF(AND(OR(IFERROR(FIND("交行",基本信息!BS188),0)&gt;0,IFERROR(FIND("交通银行",基本信息!BS188),0)&gt;0),计算结果!BT188&gt;0),基本信息!BR188,"")</f>
        <v/>
      </c>
      <c r="B199" s="40" t="str">
        <f>IF($A199="","",基本信息!BQ188)</f>
        <v/>
      </c>
      <c r="C199" s="50" t="str">
        <f>IF($A199="","",计算结果!BT188-G199-H199)</f>
        <v/>
      </c>
      <c r="D199" s="40" t="str">
        <f>IF($A199="","",基本信息!BS188)</f>
        <v/>
      </c>
      <c r="F199" s="40" t="str">
        <f>IF($A199="","",基本信息!A188)</f>
        <v/>
      </c>
      <c r="G199" s="50" t="str">
        <f>IF($A199="","",计算结果!BI188+计算结果!BJ188)</f>
        <v/>
      </c>
      <c r="H199" s="50" t="str">
        <f>IF($A199="","",计算结果!BK188)</f>
        <v/>
      </c>
    </row>
    <row r="200" spans="1:8">
      <c r="A200" s="40" t="str">
        <f>IF(AND(OR(IFERROR(FIND("交行",基本信息!BS189),0)&gt;0,IFERROR(FIND("交通银行",基本信息!BS189),0)&gt;0),计算结果!BT189&gt;0),基本信息!BR189,"")</f>
        <v/>
      </c>
      <c r="B200" s="40" t="str">
        <f>IF($A200="","",基本信息!BQ189)</f>
        <v/>
      </c>
      <c r="C200" s="50" t="str">
        <f>IF($A200="","",计算结果!BT189-G200-H200)</f>
        <v/>
      </c>
      <c r="D200" s="40" t="str">
        <f>IF($A200="","",基本信息!BS189)</f>
        <v/>
      </c>
      <c r="F200" s="40" t="str">
        <f>IF($A200="","",基本信息!A189)</f>
        <v/>
      </c>
      <c r="G200" s="50" t="str">
        <f>IF($A200="","",计算结果!BI189+计算结果!BJ189)</f>
        <v/>
      </c>
      <c r="H200" s="50" t="str">
        <f>IF($A200="","",计算结果!BK189)</f>
        <v/>
      </c>
    </row>
    <row r="201" spans="1:8">
      <c r="A201" s="40" t="str">
        <f>IF(AND(OR(IFERROR(FIND("交行",基本信息!BS190),0)&gt;0,IFERROR(FIND("交通银行",基本信息!BS190),0)&gt;0),计算结果!BT190&gt;0),基本信息!BR190,"")</f>
        <v/>
      </c>
      <c r="B201" s="40" t="str">
        <f>IF($A201="","",基本信息!BQ190)</f>
        <v/>
      </c>
      <c r="C201" s="50" t="str">
        <f>IF($A201="","",计算结果!BT190-G201-H201)</f>
        <v/>
      </c>
      <c r="D201" s="40" t="str">
        <f>IF($A201="","",基本信息!BS190)</f>
        <v/>
      </c>
      <c r="F201" s="40" t="str">
        <f>IF($A201="","",基本信息!A190)</f>
        <v/>
      </c>
      <c r="G201" s="50" t="str">
        <f>IF($A201="","",计算结果!BI190+计算结果!BJ190)</f>
        <v/>
      </c>
      <c r="H201" s="50" t="str">
        <f>IF($A201="","",计算结果!BK190)</f>
        <v/>
      </c>
    </row>
    <row r="202" spans="1:8">
      <c r="A202" s="40" t="str">
        <f>IF(AND(OR(IFERROR(FIND("交行",基本信息!BS191),0)&gt;0,IFERROR(FIND("交通银行",基本信息!BS191),0)&gt;0),计算结果!BT191&gt;0),基本信息!BR191,"")</f>
        <v/>
      </c>
      <c r="B202" s="40" t="str">
        <f>IF($A202="","",基本信息!BQ191)</f>
        <v/>
      </c>
      <c r="C202" s="50" t="str">
        <f>IF($A202="","",计算结果!BT191-G202-H202)</f>
        <v/>
      </c>
      <c r="D202" s="40" t="str">
        <f>IF($A202="","",基本信息!BS191)</f>
        <v/>
      </c>
      <c r="F202" s="40" t="str">
        <f>IF($A202="","",基本信息!A191)</f>
        <v/>
      </c>
      <c r="G202" s="50" t="str">
        <f>IF($A202="","",计算结果!BI191+计算结果!BJ191)</f>
        <v/>
      </c>
      <c r="H202" s="50" t="str">
        <f>IF($A202="","",计算结果!BK191)</f>
        <v/>
      </c>
    </row>
    <row r="203" spans="1:8">
      <c r="A203" s="40" t="str">
        <f>IF(AND(OR(IFERROR(FIND("交行",基本信息!BS192),0)&gt;0,IFERROR(FIND("交通银行",基本信息!BS192),0)&gt;0),计算结果!BT192&gt;0),基本信息!BR192,"")</f>
        <v/>
      </c>
      <c r="B203" s="40" t="str">
        <f>IF($A203="","",基本信息!BQ192)</f>
        <v/>
      </c>
      <c r="C203" s="50" t="str">
        <f>IF($A203="","",计算结果!BT192-G203-H203)</f>
        <v/>
      </c>
      <c r="D203" s="40" t="str">
        <f>IF($A203="","",基本信息!BS192)</f>
        <v/>
      </c>
      <c r="F203" s="40" t="str">
        <f>IF($A203="","",基本信息!A192)</f>
        <v/>
      </c>
      <c r="G203" s="50" t="str">
        <f>IF($A203="","",计算结果!BI192+计算结果!BJ192)</f>
        <v/>
      </c>
      <c r="H203" s="50" t="str">
        <f>IF($A203="","",计算结果!BK192)</f>
        <v/>
      </c>
    </row>
    <row r="204" spans="1:8">
      <c r="A204" s="40" t="str">
        <f>IF(AND(OR(IFERROR(FIND("交行",基本信息!BS193),0)&gt;0,IFERROR(FIND("交通银行",基本信息!BS193),0)&gt;0),计算结果!BT193&gt;0),基本信息!BR193,"")</f>
        <v/>
      </c>
      <c r="B204" s="40" t="str">
        <f>IF($A204="","",基本信息!BQ193)</f>
        <v/>
      </c>
      <c r="C204" s="50" t="str">
        <f>IF($A204="","",计算结果!BT193-G204-H204)</f>
        <v/>
      </c>
      <c r="D204" s="40" t="str">
        <f>IF($A204="","",基本信息!BS193)</f>
        <v/>
      </c>
      <c r="F204" s="40" t="str">
        <f>IF($A204="","",基本信息!A193)</f>
        <v/>
      </c>
      <c r="G204" s="50" t="str">
        <f>IF($A204="","",计算结果!BI193+计算结果!BJ193)</f>
        <v/>
      </c>
      <c r="H204" s="50" t="str">
        <f>IF($A204="","",计算结果!BK193)</f>
        <v/>
      </c>
    </row>
    <row r="205" spans="1:8">
      <c r="A205" s="40" t="str">
        <f>IF(AND(OR(IFERROR(FIND("交行",基本信息!BS194),0)&gt;0,IFERROR(FIND("交通银行",基本信息!BS194),0)&gt;0),计算结果!BT194&gt;0),基本信息!BR194,"")</f>
        <v/>
      </c>
      <c r="B205" s="40" t="str">
        <f>IF($A205="","",基本信息!BQ194)</f>
        <v/>
      </c>
      <c r="C205" s="50" t="str">
        <f>IF($A205="","",计算结果!BT194-G205-H205)</f>
        <v/>
      </c>
      <c r="D205" s="40" t="str">
        <f>IF($A205="","",基本信息!BS194)</f>
        <v/>
      </c>
      <c r="F205" s="40" t="str">
        <f>IF($A205="","",基本信息!A194)</f>
        <v/>
      </c>
      <c r="G205" s="50" t="str">
        <f>IF($A205="","",计算结果!BI194+计算结果!BJ194)</f>
        <v/>
      </c>
      <c r="H205" s="50" t="str">
        <f>IF($A205="","",计算结果!BK194)</f>
        <v/>
      </c>
    </row>
    <row r="206" spans="1:8">
      <c r="A206" s="40" t="str">
        <f>IF(AND(OR(IFERROR(FIND("交行",基本信息!BS195),0)&gt;0,IFERROR(FIND("交通银行",基本信息!BS195),0)&gt;0),计算结果!BT195&gt;0),基本信息!BR195,"")</f>
        <v/>
      </c>
      <c r="B206" s="40" t="str">
        <f>IF($A206="","",基本信息!BQ195)</f>
        <v/>
      </c>
      <c r="C206" s="50" t="str">
        <f>IF($A206="","",计算结果!BT195-G206-H206)</f>
        <v/>
      </c>
      <c r="D206" s="40" t="str">
        <f>IF($A206="","",基本信息!BS195)</f>
        <v/>
      </c>
      <c r="F206" s="40" t="str">
        <f>IF($A206="","",基本信息!A195)</f>
        <v/>
      </c>
      <c r="G206" s="50" t="str">
        <f>IF($A206="","",计算结果!BI195+计算结果!BJ195)</f>
        <v/>
      </c>
      <c r="H206" s="50" t="str">
        <f>IF($A206="","",计算结果!BK195)</f>
        <v/>
      </c>
    </row>
    <row r="207" spans="1:8">
      <c r="A207" s="40" t="str">
        <f>IF(AND(OR(IFERROR(FIND("交行",基本信息!BS196),0)&gt;0,IFERROR(FIND("交通银行",基本信息!BS196),0)&gt;0),计算结果!BT196&gt;0),基本信息!BR196,"")</f>
        <v/>
      </c>
      <c r="B207" s="40" t="str">
        <f>IF($A207="","",基本信息!BQ196)</f>
        <v/>
      </c>
      <c r="C207" s="50" t="str">
        <f>IF($A207="","",计算结果!BT196-G207-H207)</f>
        <v/>
      </c>
      <c r="D207" s="40" t="str">
        <f>IF($A207="","",基本信息!BS196)</f>
        <v/>
      </c>
      <c r="F207" s="40" t="str">
        <f>IF($A207="","",基本信息!A196)</f>
        <v/>
      </c>
      <c r="G207" s="50" t="str">
        <f>IF($A207="","",计算结果!BI196+计算结果!BJ196)</f>
        <v/>
      </c>
      <c r="H207" s="50" t="str">
        <f>IF($A207="","",计算结果!BK196)</f>
        <v/>
      </c>
    </row>
    <row r="208" spans="1:8">
      <c r="A208" s="40" t="str">
        <f>IF(AND(OR(IFERROR(FIND("交行",基本信息!BS197),0)&gt;0,IFERROR(FIND("交通银行",基本信息!BS197),0)&gt;0),计算结果!BT197&gt;0),基本信息!BR197,"")</f>
        <v/>
      </c>
      <c r="B208" s="40" t="str">
        <f>IF($A208="","",基本信息!BQ197)</f>
        <v/>
      </c>
      <c r="C208" s="50" t="str">
        <f>IF($A208="","",计算结果!BT197-G208-H208)</f>
        <v/>
      </c>
      <c r="D208" s="40" t="str">
        <f>IF($A208="","",基本信息!BS197)</f>
        <v/>
      </c>
      <c r="F208" s="40" t="str">
        <f>IF($A208="","",基本信息!A197)</f>
        <v/>
      </c>
      <c r="G208" s="50" t="str">
        <f>IF($A208="","",计算结果!BI197+计算结果!BJ197)</f>
        <v/>
      </c>
      <c r="H208" s="50" t="str">
        <f>IF($A208="","",计算结果!BK197)</f>
        <v/>
      </c>
    </row>
    <row r="209" spans="1:8">
      <c r="A209" s="40" t="str">
        <f>IF(AND(OR(IFERROR(FIND("交行",基本信息!BS198),0)&gt;0,IFERROR(FIND("交通银行",基本信息!BS198),0)&gt;0),计算结果!BT198&gt;0),基本信息!BR198,"")</f>
        <v/>
      </c>
      <c r="B209" s="40" t="str">
        <f>IF($A209="","",基本信息!BQ198)</f>
        <v/>
      </c>
      <c r="C209" s="50" t="str">
        <f>IF($A209="","",计算结果!BT198-G209-H209)</f>
        <v/>
      </c>
      <c r="D209" s="40" t="str">
        <f>IF($A209="","",基本信息!BS198)</f>
        <v/>
      </c>
      <c r="F209" s="40" t="str">
        <f>IF($A209="","",基本信息!A198)</f>
        <v/>
      </c>
      <c r="G209" s="50" t="str">
        <f>IF($A209="","",计算结果!BI198+计算结果!BJ198)</f>
        <v/>
      </c>
      <c r="H209" s="50" t="str">
        <f>IF($A209="","",计算结果!BK198)</f>
        <v/>
      </c>
    </row>
    <row r="210" spans="1:8">
      <c r="A210" s="40" t="str">
        <f>IF(AND(OR(IFERROR(FIND("交行",基本信息!BS199),0)&gt;0,IFERROR(FIND("交通银行",基本信息!BS199),0)&gt;0),计算结果!BT199&gt;0),基本信息!BR199,"")</f>
        <v/>
      </c>
      <c r="B210" s="40" t="str">
        <f>IF($A210="","",基本信息!BQ199)</f>
        <v/>
      </c>
      <c r="C210" s="50" t="str">
        <f>IF($A210="","",计算结果!BT199-G210-H210)</f>
        <v/>
      </c>
      <c r="D210" s="40" t="str">
        <f>IF($A210="","",基本信息!BS199)</f>
        <v/>
      </c>
      <c r="F210" s="40" t="str">
        <f>IF($A210="","",基本信息!A199)</f>
        <v/>
      </c>
      <c r="G210" s="50" t="str">
        <f>IF($A210="","",计算结果!BI199+计算结果!BJ199)</f>
        <v/>
      </c>
      <c r="H210" s="50" t="str">
        <f>IF($A210="","",计算结果!BK199)</f>
        <v/>
      </c>
    </row>
    <row r="211" spans="1:8">
      <c r="A211" s="40" t="str">
        <f>IF(AND(OR(IFERROR(FIND("交行",基本信息!BS200),0)&gt;0,IFERROR(FIND("交通银行",基本信息!BS200),0)&gt;0),计算结果!BT200&gt;0),基本信息!BR200,"")</f>
        <v/>
      </c>
      <c r="B211" s="40" t="str">
        <f>IF($A211="","",基本信息!BQ200)</f>
        <v/>
      </c>
      <c r="C211" s="50" t="str">
        <f>IF($A211="","",计算结果!BT200-G211-H211)</f>
        <v/>
      </c>
      <c r="D211" s="40" t="str">
        <f>IF($A211="","",基本信息!BS200)</f>
        <v/>
      </c>
      <c r="F211" s="40" t="str">
        <f>IF($A211="","",基本信息!A200)</f>
        <v/>
      </c>
      <c r="G211" s="50" t="str">
        <f>IF($A211="","",计算结果!BI200+计算结果!BJ200)</f>
        <v/>
      </c>
      <c r="H211" s="50" t="str">
        <f>IF($A211="","",计算结果!BK200)</f>
        <v/>
      </c>
    </row>
    <row r="212" spans="1:8">
      <c r="A212" s="40" t="str">
        <f>IF(AND(OR(IFERROR(FIND("交行",基本信息!BS201),0)&gt;0,IFERROR(FIND("交通银行",基本信息!BS201),0)&gt;0),计算结果!BT201&gt;0),基本信息!BR201,"")</f>
        <v/>
      </c>
      <c r="B212" s="40" t="str">
        <f>IF($A212="","",基本信息!BQ201)</f>
        <v/>
      </c>
      <c r="C212" s="50" t="str">
        <f>IF($A212="","",计算结果!BT201-G212-H212)</f>
        <v/>
      </c>
      <c r="D212" s="40" t="str">
        <f>IF($A212="","",基本信息!BS201)</f>
        <v/>
      </c>
      <c r="F212" s="40" t="str">
        <f>IF($A212="","",基本信息!A201)</f>
        <v/>
      </c>
      <c r="G212" s="50" t="str">
        <f>IF($A212="","",计算结果!BI201+计算结果!BJ201)</f>
        <v/>
      </c>
      <c r="H212" s="50" t="str">
        <f>IF($A212="","",计算结果!BK201)</f>
        <v/>
      </c>
    </row>
    <row r="213" spans="1:8">
      <c r="A213" s="40" t="str">
        <f>IF(AND(OR(IFERROR(FIND("交行",基本信息!BS202),0)&gt;0,IFERROR(FIND("交通银行",基本信息!BS202),0)&gt;0),计算结果!BT202&gt;0),基本信息!BR202,"")</f>
        <v/>
      </c>
      <c r="B213" s="40" t="str">
        <f>IF($A213="","",基本信息!BQ202)</f>
        <v/>
      </c>
      <c r="C213" s="50" t="str">
        <f>IF($A213="","",计算结果!BT202-G213-H213)</f>
        <v/>
      </c>
      <c r="D213" s="40" t="str">
        <f>IF($A213="","",基本信息!BS202)</f>
        <v/>
      </c>
      <c r="F213" s="40" t="str">
        <f>IF($A213="","",基本信息!A202)</f>
        <v/>
      </c>
      <c r="G213" s="50" t="str">
        <f>IF($A213="","",计算结果!BI202+计算结果!BJ202)</f>
        <v/>
      </c>
      <c r="H213" s="50" t="str">
        <f>IF($A213="","",计算结果!BK202)</f>
        <v/>
      </c>
    </row>
    <row r="214" spans="1:8">
      <c r="A214" s="40" t="str">
        <f>IF(AND(OR(IFERROR(FIND("交行",基本信息!BS203),0)&gt;0,IFERROR(FIND("交通银行",基本信息!BS203),0)&gt;0),计算结果!BT203&gt;0),基本信息!BR203,"")</f>
        <v/>
      </c>
      <c r="B214" s="40" t="str">
        <f>IF($A214="","",基本信息!BQ203)</f>
        <v/>
      </c>
      <c r="C214" s="50" t="str">
        <f>IF($A214="","",计算结果!BT203-G214-H214)</f>
        <v/>
      </c>
      <c r="D214" s="40" t="str">
        <f>IF($A214="","",基本信息!BS203)</f>
        <v/>
      </c>
      <c r="F214" s="40" t="str">
        <f>IF($A214="","",基本信息!A203)</f>
        <v/>
      </c>
      <c r="G214" s="50" t="str">
        <f>IF($A214="","",计算结果!BI203+计算结果!BJ203)</f>
        <v/>
      </c>
      <c r="H214" s="50" t="str">
        <f>IF($A214="","",计算结果!BK203)</f>
        <v/>
      </c>
    </row>
    <row r="215" spans="1:8">
      <c r="A215" s="40" t="str">
        <f>IF(AND(OR(IFERROR(FIND("交行",基本信息!BS204),0)&gt;0,IFERROR(FIND("交通银行",基本信息!BS204),0)&gt;0),计算结果!BT204&gt;0),基本信息!BR204,"")</f>
        <v/>
      </c>
      <c r="B215" s="40" t="str">
        <f>IF($A215="","",基本信息!BQ204)</f>
        <v/>
      </c>
      <c r="C215" s="50" t="str">
        <f>IF($A215="","",计算结果!BT204-G215-H215)</f>
        <v/>
      </c>
      <c r="D215" s="40" t="str">
        <f>IF($A215="","",基本信息!BS204)</f>
        <v/>
      </c>
      <c r="F215" s="40" t="str">
        <f>IF($A215="","",基本信息!A204)</f>
        <v/>
      </c>
      <c r="G215" s="50" t="str">
        <f>IF($A215="","",计算结果!BI204+计算结果!BJ204)</f>
        <v/>
      </c>
      <c r="H215" s="50" t="str">
        <f>IF($A215="","",计算结果!BK204)</f>
        <v/>
      </c>
    </row>
    <row r="216" spans="1:8">
      <c r="A216" s="40" t="str">
        <f>IF(AND(OR(IFERROR(FIND("交行",基本信息!BS205),0)&gt;0,IFERROR(FIND("交通银行",基本信息!BS205),0)&gt;0),计算结果!BT205&gt;0),基本信息!BR205,"")</f>
        <v/>
      </c>
      <c r="B216" s="40" t="str">
        <f>IF($A216="","",基本信息!BQ205)</f>
        <v/>
      </c>
      <c r="C216" s="50" t="str">
        <f>IF($A216="","",计算结果!BT205-G216-H216)</f>
        <v/>
      </c>
      <c r="D216" s="40" t="str">
        <f>IF($A216="","",基本信息!BS205)</f>
        <v/>
      </c>
      <c r="F216" s="40" t="str">
        <f>IF($A216="","",基本信息!A205)</f>
        <v/>
      </c>
      <c r="G216" s="50" t="str">
        <f>IF($A216="","",计算结果!BI205+计算结果!BJ205)</f>
        <v/>
      </c>
      <c r="H216" s="50" t="str">
        <f>IF($A216="","",计算结果!BK205)</f>
        <v/>
      </c>
    </row>
    <row r="217" spans="1:8">
      <c r="A217" s="40" t="str">
        <f>IF(AND(OR(IFERROR(FIND("交行",基本信息!BS206),0)&gt;0,IFERROR(FIND("交通银行",基本信息!BS206),0)&gt;0),计算结果!BT206&gt;0),基本信息!BR206,"")</f>
        <v/>
      </c>
      <c r="B217" s="40" t="str">
        <f>IF($A217="","",基本信息!BQ206)</f>
        <v/>
      </c>
      <c r="C217" s="50" t="str">
        <f>IF($A217="","",计算结果!BT206-G217-H217)</f>
        <v/>
      </c>
      <c r="D217" s="40" t="str">
        <f>IF($A217="","",基本信息!BS206)</f>
        <v/>
      </c>
      <c r="F217" s="40" t="str">
        <f>IF($A217="","",基本信息!A206)</f>
        <v/>
      </c>
      <c r="G217" s="50" t="str">
        <f>IF($A217="","",计算结果!BI206+计算结果!BJ206)</f>
        <v/>
      </c>
      <c r="H217" s="50" t="str">
        <f>IF($A217="","",计算结果!BK206)</f>
        <v/>
      </c>
    </row>
    <row r="218" spans="1:8">
      <c r="A218" s="40" t="str">
        <f>IF(AND(OR(IFERROR(FIND("交行",基本信息!BS207),0)&gt;0,IFERROR(FIND("交通银行",基本信息!BS207),0)&gt;0),计算结果!BT207&gt;0),基本信息!BR207,"")</f>
        <v/>
      </c>
      <c r="B218" s="40" t="str">
        <f>IF($A218="","",基本信息!BQ207)</f>
        <v/>
      </c>
      <c r="C218" s="50" t="str">
        <f>IF($A218="","",计算结果!BT207-G218-H218)</f>
        <v/>
      </c>
      <c r="D218" s="40" t="str">
        <f>IF($A218="","",基本信息!BS207)</f>
        <v/>
      </c>
      <c r="F218" s="40" t="str">
        <f>IF($A218="","",基本信息!A207)</f>
        <v/>
      </c>
      <c r="G218" s="50" t="str">
        <f>IF($A218="","",计算结果!BI207+计算结果!BJ207)</f>
        <v/>
      </c>
      <c r="H218" s="50" t="str">
        <f>IF($A218="","",计算结果!BK207)</f>
        <v/>
      </c>
    </row>
    <row r="219" spans="1:8">
      <c r="A219" s="40" t="str">
        <f>IF(AND(OR(IFERROR(FIND("交行",基本信息!BS208),0)&gt;0,IFERROR(FIND("交通银行",基本信息!BS208),0)&gt;0),计算结果!BT208&gt;0),基本信息!BR208,"")</f>
        <v/>
      </c>
      <c r="B219" s="40" t="str">
        <f>IF($A219="","",基本信息!BQ208)</f>
        <v/>
      </c>
      <c r="C219" s="50" t="str">
        <f>IF($A219="","",计算结果!BT208-G219-H219)</f>
        <v/>
      </c>
      <c r="D219" s="40" t="str">
        <f>IF($A219="","",基本信息!BS208)</f>
        <v/>
      </c>
      <c r="F219" s="40" t="str">
        <f>IF($A219="","",基本信息!A208)</f>
        <v/>
      </c>
      <c r="G219" s="50" t="str">
        <f>IF($A219="","",计算结果!BI208+计算结果!BJ208)</f>
        <v/>
      </c>
      <c r="H219" s="50" t="str">
        <f>IF($A219="","",计算结果!BK208)</f>
        <v/>
      </c>
    </row>
    <row r="220" spans="1:8">
      <c r="A220" s="40" t="str">
        <f>IF(AND(OR(IFERROR(FIND("交行",基本信息!BS209),0)&gt;0,IFERROR(FIND("交通银行",基本信息!BS209),0)&gt;0),计算结果!BT209&gt;0),基本信息!BR209,"")</f>
        <v/>
      </c>
      <c r="B220" s="40" t="str">
        <f>IF($A220="","",基本信息!BQ209)</f>
        <v/>
      </c>
      <c r="C220" s="50" t="str">
        <f>IF($A220="","",计算结果!BT209-G220-H220)</f>
        <v/>
      </c>
      <c r="D220" s="40" t="str">
        <f>IF($A220="","",基本信息!BS209)</f>
        <v/>
      </c>
      <c r="F220" s="40" t="str">
        <f>IF($A220="","",基本信息!A209)</f>
        <v/>
      </c>
      <c r="G220" s="50" t="str">
        <f>IF($A220="","",计算结果!BI209+计算结果!BJ209)</f>
        <v/>
      </c>
      <c r="H220" s="50" t="str">
        <f>IF($A220="","",计算结果!BK209)</f>
        <v/>
      </c>
    </row>
    <row r="221" spans="1:8">
      <c r="A221" s="40" t="str">
        <f>IF(AND(OR(IFERROR(FIND("交行",基本信息!BS210),0)&gt;0,IFERROR(FIND("交通银行",基本信息!BS210),0)&gt;0),计算结果!BT210&gt;0),基本信息!BR210,"")</f>
        <v/>
      </c>
      <c r="B221" s="40" t="str">
        <f>IF($A221="","",基本信息!BQ210)</f>
        <v/>
      </c>
      <c r="C221" s="50" t="str">
        <f>IF($A221="","",计算结果!BT210-G221-H221)</f>
        <v/>
      </c>
      <c r="D221" s="40" t="str">
        <f>IF($A221="","",基本信息!BS210)</f>
        <v/>
      </c>
      <c r="F221" s="40" t="str">
        <f>IF($A221="","",基本信息!A210)</f>
        <v/>
      </c>
      <c r="G221" s="50" t="str">
        <f>IF($A221="","",计算结果!BI210+计算结果!BJ210)</f>
        <v/>
      </c>
      <c r="H221" s="50" t="str">
        <f>IF($A221="","",计算结果!BK210)</f>
        <v/>
      </c>
    </row>
    <row r="222" spans="1:8">
      <c r="A222" s="40" t="str">
        <f>IF(AND(OR(IFERROR(FIND("交行",基本信息!BS211),0)&gt;0,IFERROR(FIND("交通银行",基本信息!BS211),0)&gt;0),计算结果!BT211&gt;0),基本信息!BR211,"")</f>
        <v/>
      </c>
      <c r="B222" s="40" t="str">
        <f>IF($A222="","",基本信息!BQ211)</f>
        <v/>
      </c>
      <c r="C222" s="50" t="str">
        <f>IF($A222="","",计算结果!BT211-G222-H222)</f>
        <v/>
      </c>
      <c r="D222" s="40" t="str">
        <f>IF($A222="","",基本信息!BS211)</f>
        <v/>
      </c>
      <c r="F222" s="40" t="str">
        <f>IF($A222="","",基本信息!A211)</f>
        <v/>
      </c>
      <c r="G222" s="50" t="str">
        <f>IF($A222="","",计算结果!BI211+计算结果!BJ211)</f>
        <v/>
      </c>
      <c r="H222" s="50" t="str">
        <f>IF($A222="","",计算结果!BK211)</f>
        <v/>
      </c>
    </row>
    <row r="223" spans="1:8">
      <c r="A223" s="40" t="str">
        <f>IF(AND(OR(IFERROR(FIND("交行",基本信息!BS212),0)&gt;0,IFERROR(FIND("交通银行",基本信息!BS212),0)&gt;0),计算结果!BT212&gt;0),基本信息!BR212,"")</f>
        <v/>
      </c>
      <c r="B223" s="40" t="str">
        <f>IF($A223="","",基本信息!BQ212)</f>
        <v/>
      </c>
      <c r="C223" s="50" t="str">
        <f>IF($A223="","",计算结果!BT212-G223-H223)</f>
        <v/>
      </c>
      <c r="D223" s="40" t="str">
        <f>IF($A223="","",基本信息!BS212)</f>
        <v/>
      </c>
      <c r="F223" s="40" t="str">
        <f>IF($A223="","",基本信息!A212)</f>
        <v/>
      </c>
      <c r="G223" s="50" t="str">
        <f>IF($A223="","",计算结果!BI212+计算结果!BJ212)</f>
        <v/>
      </c>
      <c r="H223" s="50" t="str">
        <f>IF($A223="","",计算结果!BK212)</f>
        <v/>
      </c>
    </row>
    <row r="224" spans="1:8">
      <c r="A224" s="40" t="str">
        <f>IF(AND(OR(IFERROR(FIND("交行",基本信息!BS213),0)&gt;0,IFERROR(FIND("交通银行",基本信息!BS213),0)&gt;0),计算结果!BT213&gt;0),基本信息!BR213,"")</f>
        <v/>
      </c>
      <c r="B224" s="40" t="str">
        <f>IF($A224="","",基本信息!BQ213)</f>
        <v/>
      </c>
      <c r="C224" s="50" t="str">
        <f>IF($A224="","",计算结果!BT213-G224-H224)</f>
        <v/>
      </c>
      <c r="D224" s="40" t="str">
        <f>IF($A224="","",基本信息!BS213)</f>
        <v/>
      </c>
      <c r="F224" s="40" t="str">
        <f>IF($A224="","",基本信息!A213)</f>
        <v/>
      </c>
      <c r="G224" s="50" t="str">
        <f>IF($A224="","",计算结果!BI213+计算结果!BJ213)</f>
        <v/>
      </c>
      <c r="H224" s="50" t="str">
        <f>IF($A224="","",计算结果!BK213)</f>
        <v/>
      </c>
    </row>
    <row r="225" spans="1:8">
      <c r="A225" s="40" t="str">
        <f>IF(AND(OR(IFERROR(FIND("交行",基本信息!BS214),0)&gt;0,IFERROR(FIND("交通银行",基本信息!BS214),0)&gt;0),计算结果!BT214&gt;0),基本信息!BR214,"")</f>
        <v/>
      </c>
      <c r="B225" s="40" t="str">
        <f>IF($A225="","",基本信息!BQ214)</f>
        <v/>
      </c>
      <c r="C225" s="50" t="str">
        <f>IF($A225="","",计算结果!BT214-G225-H225)</f>
        <v/>
      </c>
      <c r="D225" s="40" t="str">
        <f>IF($A225="","",基本信息!BS214)</f>
        <v/>
      </c>
      <c r="F225" s="40" t="str">
        <f>IF($A225="","",基本信息!A214)</f>
        <v/>
      </c>
      <c r="G225" s="50" t="str">
        <f>IF($A225="","",计算结果!BI214+计算结果!BJ214)</f>
        <v/>
      </c>
      <c r="H225" s="50" t="str">
        <f>IF($A225="","",计算结果!BK214)</f>
        <v/>
      </c>
    </row>
    <row r="226" spans="1:8">
      <c r="A226" s="40" t="str">
        <f>IF(AND(OR(IFERROR(FIND("交行",基本信息!BS215),0)&gt;0,IFERROR(FIND("交通银行",基本信息!BS215),0)&gt;0),计算结果!BT215&gt;0),基本信息!BR215,"")</f>
        <v/>
      </c>
      <c r="B226" s="40" t="str">
        <f>IF($A226="","",基本信息!BQ215)</f>
        <v/>
      </c>
      <c r="C226" s="50" t="str">
        <f>IF($A226="","",计算结果!BT215-G226-H226)</f>
        <v/>
      </c>
      <c r="D226" s="40" t="str">
        <f>IF($A226="","",基本信息!BS215)</f>
        <v/>
      </c>
      <c r="F226" s="40" t="str">
        <f>IF($A226="","",基本信息!A215)</f>
        <v/>
      </c>
      <c r="G226" s="50" t="str">
        <f>IF($A226="","",计算结果!BI215+计算结果!BJ215)</f>
        <v/>
      </c>
      <c r="H226" s="50" t="str">
        <f>IF($A226="","",计算结果!BK215)</f>
        <v/>
      </c>
    </row>
    <row r="227" spans="1:8">
      <c r="A227" s="40" t="str">
        <f>IF(AND(OR(IFERROR(FIND("交行",基本信息!BS216),0)&gt;0,IFERROR(FIND("交通银行",基本信息!BS216),0)&gt;0),计算结果!BT216&gt;0),基本信息!BR216,"")</f>
        <v/>
      </c>
      <c r="B227" s="40" t="str">
        <f>IF($A227="","",基本信息!BQ216)</f>
        <v/>
      </c>
      <c r="C227" s="50" t="str">
        <f>IF($A227="","",计算结果!BT216-G227-H227)</f>
        <v/>
      </c>
      <c r="D227" s="40" t="str">
        <f>IF($A227="","",基本信息!BS216)</f>
        <v/>
      </c>
      <c r="F227" s="40" t="str">
        <f>IF($A227="","",基本信息!A216)</f>
        <v/>
      </c>
      <c r="G227" s="50" t="str">
        <f>IF($A227="","",计算结果!BI216+计算结果!BJ216)</f>
        <v/>
      </c>
      <c r="H227" s="50" t="str">
        <f>IF($A227="","",计算结果!BK216)</f>
        <v/>
      </c>
    </row>
    <row r="228" spans="1:8">
      <c r="A228" s="40" t="str">
        <f>IF(AND(OR(IFERROR(FIND("交行",基本信息!BS217),0)&gt;0,IFERROR(FIND("交通银行",基本信息!BS217),0)&gt;0),计算结果!BT217&gt;0),基本信息!BR217,"")</f>
        <v/>
      </c>
      <c r="B228" s="40" t="str">
        <f>IF($A228="","",基本信息!BQ217)</f>
        <v/>
      </c>
      <c r="C228" s="50" t="str">
        <f>IF($A228="","",计算结果!BT217-G228-H228)</f>
        <v/>
      </c>
      <c r="D228" s="40" t="str">
        <f>IF($A228="","",基本信息!BS217)</f>
        <v/>
      </c>
      <c r="F228" s="40" t="str">
        <f>IF($A228="","",基本信息!A217)</f>
        <v/>
      </c>
      <c r="G228" s="50" t="str">
        <f>IF($A228="","",计算结果!BI217+计算结果!BJ217)</f>
        <v/>
      </c>
      <c r="H228" s="50" t="str">
        <f>IF($A228="","",计算结果!BK217)</f>
        <v/>
      </c>
    </row>
    <row r="229" spans="1:8">
      <c r="A229" s="40" t="str">
        <f>IF(AND(OR(IFERROR(FIND("交行",基本信息!BS218),0)&gt;0,IFERROR(FIND("交通银行",基本信息!BS218),0)&gt;0),计算结果!BT218&gt;0),基本信息!BR218,"")</f>
        <v/>
      </c>
      <c r="B229" s="40" t="str">
        <f>IF($A229="","",基本信息!BQ218)</f>
        <v/>
      </c>
      <c r="C229" s="50" t="str">
        <f>IF($A229="","",计算结果!BT218-G229-H229)</f>
        <v/>
      </c>
      <c r="D229" s="40" t="str">
        <f>IF($A229="","",基本信息!BS218)</f>
        <v/>
      </c>
      <c r="F229" s="40" t="str">
        <f>IF($A229="","",基本信息!A218)</f>
        <v/>
      </c>
      <c r="G229" s="50" t="str">
        <f>IF($A229="","",计算结果!BI218+计算结果!BJ218)</f>
        <v/>
      </c>
      <c r="H229" s="50" t="str">
        <f>IF($A229="","",计算结果!BK218)</f>
        <v/>
      </c>
    </row>
    <row r="230" spans="1:8">
      <c r="A230" s="40" t="str">
        <f>IF(AND(OR(IFERROR(FIND("交行",基本信息!BS219),0)&gt;0,IFERROR(FIND("交通银行",基本信息!BS219),0)&gt;0),计算结果!BT219&gt;0),基本信息!BR219,"")</f>
        <v/>
      </c>
      <c r="B230" s="40" t="str">
        <f>IF($A230="","",基本信息!BQ219)</f>
        <v/>
      </c>
      <c r="C230" s="50" t="str">
        <f>IF($A230="","",计算结果!BT219-G230-H230)</f>
        <v/>
      </c>
      <c r="D230" s="40" t="str">
        <f>IF($A230="","",基本信息!BS219)</f>
        <v/>
      </c>
      <c r="F230" s="40" t="str">
        <f>IF($A230="","",基本信息!A219)</f>
        <v/>
      </c>
      <c r="G230" s="50" t="str">
        <f>IF($A230="","",计算结果!BI219+计算结果!BJ219)</f>
        <v/>
      </c>
      <c r="H230" s="50" t="str">
        <f>IF($A230="","",计算结果!BK219)</f>
        <v/>
      </c>
    </row>
    <row r="231" spans="1:8">
      <c r="A231" s="40" t="str">
        <f>IF(AND(OR(IFERROR(FIND("交行",基本信息!BS220),0)&gt;0,IFERROR(FIND("交通银行",基本信息!BS220),0)&gt;0),计算结果!BT220&gt;0),基本信息!BR220,"")</f>
        <v/>
      </c>
      <c r="B231" s="40" t="str">
        <f>IF($A231="","",基本信息!BQ220)</f>
        <v/>
      </c>
      <c r="C231" s="50" t="str">
        <f>IF($A231="","",计算结果!BT220-G231-H231)</f>
        <v/>
      </c>
      <c r="D231" s="40" t="str">
        <f>IF($A231="","",基本信息!BS220)</f>
        <v/>
      </c>
      <c r="F231" s="40" t="str">
        <f>IF($A231="","",基本信息!A220)</f>
        <v/>
      </c>
      <c r="G231" s="50" t="str">
        <f>IF($A231="","",计算结果!BI220+计算结果!BJ220)</f>
        <v/>
      </c>
      <c r="H231" s="50" t="str">
        <f>IF($A231="","",计算结果!BK220)</f>
        <v/>
      </c>
    </row>
    <row r="232" spans="1:8">
      <c r="A232" s="40" t="str">
        <f>IF(AND(OR(IFERROR(FIND("交行",基本信息!BS221),0)&gt;0,IFERROR(FIND("交通银行",基本信息!BS221),0)&gt;0),计算结果!BT221&gt;0),基本信息!BR221,"")</f>
        <v/>
      </c>
      <c r="B232" s="40" t="str">
        <f>IF($A232="","",基本信息!BQ221)</f>
        <v/>
      </c>
      <c r="C232" s="50" t="str">
        <f>IF($A232="","",计算结果!BT221-G232-H232)</f>
        <v/>
      </c>
      <c r="D232" s="40" t="str">
        <f>IF($A232="","",基本信息!BS221)</f>
        <v/>
      </c>
      <c r="F232" s="40" t="str">
        <f>IF($A232="","",基本信息!A221)</f>
        <v/>
      </c>
      <c r="G232" s="50" t="str">
        <f>IF($A232="","",计算结果!BI221+计算结果!BJ221)</f>
        <v/>
      </c>
      <c r="H232" s="50" t="str">
        <f>IF($A232="","",计算结果!BK221)</f>
        <v/>
      </c>
    </row>
    <row r="233" spans="1:8">
      <c r="A233" s="40" t="str">
        <f>IF(AND(OR(IFERROR(FIND("交行",基本信息!BS222),0)&gt;0,IFERROR(FIND("交通银行",基本信息!BS222),0)&gt;0),计算结果!BT222&gt;0),基本信息!BR222,"")</f>
        <v/>
      </c>
      <c r="B233" s="40" t="str">
        <f>IF($A233="","",基本信息!BQ222)</f>
        <v/>
      </c>
      <c r="C233" s="50" t="str">
        <f>IF($A233="","",计算结果!BT222-G233-H233)</f>
        <v/>
      </c>
      <c r="D233" s="40" t="str">
        <f>IF($A233="","",基本信息!BS222)</f>
        <v/>
      </c>
      <c r="F233" s="40" t="str">
        <f>IF($A233="","",基本信息!A222)</f>
        <v/>
      </c>
      <c r="G233" s="50" t="str">
        <f>IF($A233="","",计算结果!BI222+计算结果!BJ222)</f>
        <v/>
      </c>
      <c r="H233" s="50" t="str">
        <f>IF($A233="","",计算结果!BK222)</f>
        <v/>
      </c>
    </row>
    <row r="234" spans="1:8">
      <c r="A234" s="40" t="str">
        <f>IF(AND(OR(IFERROR(FIND("交行",基本信息!BS223),0)&gt;0,IFERROR(FIND("交通银行",基本信息!BS223),0)&gt;0),计算结果!BT223&gt;0),基本信息!BR223,"")</f>
        <v/>
      </c>
      <c r="B234" s="40" t="str">
        <f>IF($A234="","",基本信息!BQ223)</f>
        <v/>
      </c>
      <c r="C234" s="50" t="str">
        <f>IF($A234="","",计算结果!BT223-G234-H234)</f>
        <v/>
      </c>
      <c r="D234" s="40" t="str">
        <f>IF($A234="","",基本信息!BS223)</f>
        <v/>
      </c>
      <c r="F234" s="40" t="str">
        <f>IF($A234="","",基本信息!A223)</f>
        <v/>
      </c>
      <c r="G234" s="50" t="str">
        <f>IF($A234="","",计算结果!BI223+计算结果!BJ223)</f>
        <v/>
      </c>
      <c r="H234" s="50" t="str">
        <f>IF($A234="","",计算结果!BK223)</f>
        <v/>
      </c>
    </row>
    <row r="235" spans="1:8">
      <c r="A235" s="40" t="str">
        <f>IF(AND(OR(IFERROR(FIND("交行",基本信息!BS224),0)&gt;0,IFERROR(FIND("交通银行",基本信息!BS224),0)&gt;0),计算结果!BT224&gt;0),基本信息!BR224,"")</f>
        <v/>
      </c>
      <c r="B235" s="40" t="str">
        <f>IF($A235="","",基本信息!BQ224)</f>
        <v/>
      </c>
      <c r="C235" s="50" t="str">
        <f>IF($A235="","",计算结果!BT224-G235-H235)</f>
        <v/>
      </c>
      <c r="D235" s="40" t="str">
        <f>IF($A235="","",基本信息!BS224)</f>
        <v/>
      </c>
      <c r="F235" s="40" t="str">
        <f>IF($A235="","",基本信息!A224)</f>
        <v/>
      </c>
      <c r="G235" s="50" t="str">
        <f>IF($A235="","",计算结果!BI224+计算结果!BJ224)</f>
        <v/>
      </c>
      <c r="H235" s="50" t="str">
        <f>IF($A235="","",计算结果!BK224)</f>
        <v/>
      </c>
    </row>
    <row r="236" spans="1:8">
      <c r="A236" s="40" t="str">
        <f>IF(AND(OR(IFERROR(FIND("交行",基本信息!BS225),0)&gt;0,IFERROR(FIND("交通银行",基本信息!BS225),0)&gt;0),计算结果!BT225&gt;0),基本信息!BR225,"")</f>
        <v/>
      </c>
      <c r="B236" s="40" t="str">
        <f>IF($A236="","",基本信息!BQ225)</f>
        <v/>
      </c>
      <c r="C236" s="50" t="str">
        <f>IF($A236="","",计算结果!BT225-G236-H236)</f>
        <v/>
      </c>
      <c r="D236" s="40" t="str">
        <f>IF($A236="","",基本信息!BS225)</f>
        <v/>
      </c>
      <c r="F236" s="40" t="str">
        <f>IF($A236="","",基本信息!A225)</f>
        <v/>
      </c>
      <c r="G236" s="50" t="str">
        <f>IF($A236="","",计算结果!BI225+计算结果!BJ225)</f>
        <v/>
      </c>
      <c r="H236" s="50" t="str">
        <f>IF($A236="","",计算结果!BK225)</f>
        <v/>
      </c>
    </row>
    <row r="237" spans="1:8">
      <c r="A237" s="40" t="str">
        <f>IF(AND(OR(IFERROR(FIND("交行",基本信息!BS226),0)&gt;0,IFERROR(FIND("交通银行",基本信息!BS226),0)&gt;0),计算结果!BT226&gt;0),基本信息!BR226,"")</f>
        <v/>
      </c>
      <c r="B237" s="40" t="str">
        <f>IF($A237="","",基本信息!BQ226)</f>
        <v/>
      </c>
      <c r="C237" s="50" t="str">
        <f>IF($A237="","",计算结果!BT226-G237-H237)</f>
        <v/>
      </c>
      <c r="D237" s="40" t="str">
        <f>IF($A237="","",基本信息!BS226)</f>
        <v/>
      </c>
      <c r="F237" s="40" t="str">
        <f>IF($A237="","",基本信息!A226)</f>
        <v/>
      </c>
      <c r="G237" s="50" t="str">
        <f>IF($A237="","",计算结果!BI226+计算结果!BJ226)</f>
        <v/>
      </c>
      <c r="H237" s="50" t="str">
        <f>IF($A237="","",计算结果!BK226)</f>
        <v/>
      </c>
    </row>
    <row r="238" spans="1:8">
      <c r="A238" s="40" t="str">
        <f>IF(AND(OR(IFERROR(FIND("交行",基本信息!BS227),0)&gt;0,IFERROR(FIND("交通银行",基本信息!BS227),0)&gt;0),计算结果!BT227&gt;0),基本信息!BR227,"")</f>
        <v/>
      </c>
      <c r="B238" s="40" t="str">
        <f>IF($A238="","",基本信息!BQ227)</f>
        <v/>
      </c>
      <c r="C238" s="50" t="str">
        <f>IF($A238="","",计算结果!BT227-G238-H238)</f>
        <v/>
      </c>
      <c r="D238" s="40" t="str">
        <f>IF($A238="","",基本信息!BS227)</f>
        <v/>
      </c>
      <c r="F238" s="40" t="str">
        <f>IF($A238="","",基本信息!A227)</f>
        <v/>
      </c>
      <c r="G238" s="50" t="str">
        <f>IF($A238="","",计算结果!BI227+计算结果!BJ227)</f>
        <v/>
      </c>
      <c r="H238" s="50" t="str">
        <f>IF($A238="","",计算结果!BK227)</f>
        <v/>
      </c>
    </row>
    <row r="239" spans="1:8">
      <c r="A239" s="40" t="str">
        <f>IF(AND(OR(IFERROR(FIND("交行",基本信息!BS228),0)&gt;0,IFERROR(FIND("交通银行",基本信息!BS228),0)&gt;0),计算结果!BT228&gt;0),基本信息!BR228,"")</f>
        <v/>
      </c>
      <c r="B239" s="40" t="str">
        <f>IF($A239="","",基本信息!BQ228)</f>
        <v/>
      </c>
      <c r="C239" s="50" t="str">
        <f>IF($A239="","",计算结果!BT228-G239-H239)</f>
        <v/>
      </c>
      <c r="D239" s="40" t="str">
        <f>IF($A239="","",基本信息!BS228)</f>
        <v/>
      </c>
      <c r="F239" s="40" t="str">
        <f>IF($A239="","",基本信息!A228)</f>
        <v/>
      </c>
      <c r="G239" s="50" t="str">
        <f>IF($A239="","",计算结果!BI228+计算结果!BJ228)</f>
        <v/>
      </c>
      <c r="H239" s="50" t="str">
        <f>IF($A239="","",计算结果!BK228)</f>
        <v/>
      </c>
    </row>
    <row r="240" spans="1:8">
      <c r="A240" s="40" t="str">
        <f>IF(AND(OR(IFERROR(FIND("交行",基本信息!BS229),0)&gt;0,IFERROR(FIND("交通银行",基本信息!BS229),0)&gt;0),计算结果!BT229&gt;0),基本信息!BR229,"")</f>
        <v/>
      </c>
      <c r="B240" s="40" t="str">
        <f>IF($A240="","",基本信息!BQ229)</f>
        <v/>
      </c>
      <c r="C240" s="50" t="str">
        <f>IF($A240="","",计算结果!BT229-G240-H240)</f>
        <v/>
      </c>
      <c r="D240" s="40" t="str">
        <f>IF($A240="","",基本信息!BS229)</f>
        <v/>
      </c>
      <c r="F240" s="40" t="str">
        <f>IF($A240="","",基本信息!A229)</f>
        <v/>
      </c>
      <c r="G240" s="50" t="str">
        <f>IF($A240="","",计算结果!BI229+计算结果!BJ229)</f>
        <v/>
      </c>
      <c r="H240" s="50" t="str">
        <f>IF($A240="","",计算结果!BK229)</f>
        <v/>
      </c>
    </row>
    <row r="241" spans="1:8">
      <c r="A241" s="40" t="str">
        <f>IF(AND(OR(IFERROR(FIND("交行",基本信息!BS230),0)&gt;0,IFERROR(FIND("交通银行",基本信息!BS230),0)&gt;0),计算结果!BT230&gt;0),基本信息!BR230,"")</f>
        <v/>
      </c>
      <c r="B241" s="40" t="str">
        <f>IF($A241="","",基本信息!BQ230)</f>
        <v/>
      </c>
      <c r="C241" s="50" t="str">
        <f>IF($A241="","",计算结果!BT230-G241-H241)</f>
        <v/>
      </c>
      <c r="D241" s="40" t="str">
        <f>IF($A241="","",基本信息!BS230)</f>
        <v/>
      </c>
      <c r="F241" s="40" t="str">
        <f>IF($A241="","",基本信息!A230)</f>
        <v/>
      </c>
      <c r="G241" s="50" t="str">
        <f>IF($A241="","",计算结果!BI230+计算结果!BJ230)</f>
        <v/>
      </c>
      <c r="H241" s="50" t="str">
        <f>IF($A241="","",计算结果!BK230)</f>
        <v/>
      </c>
    </row>
    <row r="242" spans="1:8">
      <c r="A242" s="40" t="str">
        <f>IF(AND(OR(IFERROR(FIND("交行",基本信息!BS231),0)&gt;0,IFERROR(FIND("交通银行",基本信息!BS231),0)&gt;0),计算结果!BT231&gt;0),基本信息!BR231,"")</f>
        <v/>
      </c>
      <c r="B242" s="40" t="str">
        <f>IF($A242="","",基本信息!BQ231)</f>
        <v/>
      </c>
      <c r="C242" s="50" t="str">
        <f>IF($A242="","",计算结果!BT231-G242-H242)</f>
        <v/>
      </c>
      <c r="D242" s="40" t="str">
        <f>IF($A242="","",基本信息!BS231)</f>
        <v/>
      </c>
      <c r="F242" s="40" t="str">
        <f>IF($A242="","",基本信息!A231)</f>
        <v/>
      </c>
      <c r="G242" s="50" t="str">
        <f>IF($A242="","",计算结果!BI231+计算结果!BJ231)</f>
        <v/>
      </c>
      <c r="H242" s="50" t="str">
        <f>IF($A242="","",计算结果!BK231)</f>
        <v/>
      </c>
    </row>
    <row r="243" spans="1:8">
      <c r="A243" s="40" t="str">
        <f>IF(AND(OR(IFERROR(FIND("交行",基本信息!BS232),0)&gt;0,IFERROR(FIND("交通银行",基本信息!BS232),0)&gt;0),计算结果!BT232&gt;0),基本信息!BR232,"")</f>
        <v/>
      </c>
      <c r="B243" s="40" t="str">
        <f>IF($A243="","",基本信息!BQ232)</f>
        <v/>
      </c>
      <c r="C243" s="50" t="str">
        <f>IF($A243="","",计算结果!BT232-G243-H243)</f>
        <v/>
      </c>
      <c r="D243" s="40" t="str">
        <f>IF($A243="","",基本信息!BS232)</f>
        <v/>
      </c>
      <c r="F243" s="40" t="str">
        <f>IF($A243="","",基本信息!A232)</f>
        <v/>
      </c>
      <c r="G243" s="50" t="str">
        <f>IF($A243="","",计算结果!BI232+计算结果!BJ232)</f>
        <v/>
      </c>
      <c r="H243" s="50" t="str">
        <f>IF($A243="","",计算结果!BK232)</f>
        <v/>
      </c>
    </row>
    <row r="244" spans="1:8">
      <c r="A244" s="40" t="str">
        <f>IF(AND(OR(IFERROR(FIND("交行",基本信息!BS233),0)&gt;0,IFERROR(FIND("交通银行",基本信息!BS233),0)&gt;0),计算结果!BT233&gt;0),基本信息!BR233,"")</f>
        <v/>
      </c>
      <c r="B244" s="40" t="str">
        <f>IF($A244="","",基本信息!BQ233)</f>
        <v/>
      </c>
      <c r="C244" s="50" t="str">
        <f>IF($A244="","",计算结果!BT233-G244-H244)</f>
        <v/>
      </c>
      <c r="D244" s="40" t="str">
        <f>IF($A244="","",基本信息!BS233)</f>
        <v/>
      </c>
      <c r="F244" s="40" t="str">
        <f>IF($A244="","",基本信息!A233)</f>
        <v/>
      </c>
      <c r="G244" s="50" t="str">
        <f>IF($A244="","",计算结果!BI233+计算结果!BJ233)</f>
        <v/>
      </c>
      <c r="H244" s="50" t="str">
        <f>IF($A244="","",计算结果!BK233)</f>
        <v/>
      </c>
    </row>
    <row r="245" spans="1:8">
      <c r="A245" s="40" t="str">
        <f>IF(AND(OR(IFERROR(FIND("交行",基本信息!BS234),0)&gt;0,IFERROR(FIND("交通银行",基本信息!BS234),0)&gt;0),计算结果!BT234&gt;0),基本信息!BR234,"")</f>
        <v/>
      </c>
      <c r="B245" s="40" t="str">
        <f>IF($A245="","",基本信息!BQ234)</f>
        <v/>
      </c>
      <c r="C245" s="50" t="str">
        <f>IF($A245="","",计算结果!BT234-G245-H245)</f>
        <v/>
      </c>
      <c r="D245" s="40" t="str">
        <f>IF($A245="","",基本信息!BS234)</f>
        <v/>
      </c>
      <c r="F245" s="40" t="str">
        <f>IF($A245="","",基本信息!A234)</f>
        <v/>
      </c>
      <c r="G245" s="50" t="str">
        <f>IF($A245="","",计算结果!BI234+计算结果!BJ234)</f>
        <v/>
      </c>
      <c r="H245" s="50" t="str">
        <f>IF($A245="","",计算结果!BK234)</f>
        <v/>
      </c>
    </row>
    <row r="246" spans="1:8">
      <c r="A246" s="40" t="str">
        <f>IF(AND(OR(IFERROR(FIND("交行",基本信息!BS235),0)&gt;0,IFERROR(FIND("交通银行",基本信息!BS235),0)&gt;0),计算结果!BT235&gt;0),基本信息!BR235,"")</f>
        <v/>
      </c>
      <c r="B246" s="40" t="str">
        <f>IF($A246="","",基本信息!BQ235)</f>
        <v/>
      </c>
      <c r="C246" s="50" t="str">
        <f>IF($A246="","",计算结果!BT235-G246-H246)</f>
        <v/>
      </c>
      <c r="D246" s="40" t="str">
        <f>IF($A246="","",基本信息!BS235)</f>
        <v/>
      </c>
      <c r="F246" s="40" t="str">
        <f>IF($A246="","",基本信息!A235)</f>
        <v/>
      </c>
      <c r="G246" s="50" t="str">
        <f>IF($A246="","",计算结果!BI235+计算结果!BJ235)</f>
        <v/>
      </c>
      <c r="H246" s="50" t="str">
        <f>IF($A246="","",计算结果!BK235)</f>
        <v/>
      </c>
    </row>
    <row r="247" spans="1:8">
      <c r="A247" s="40" t="str">
        <f>IF(AND(OR(IFERROR(FIND("交行",基本信息!BS236),0)&gt;0,IFERROR(FIND("交通银行",基本信息!BS236),0)&gt;0),计算结果!BT236&gt;0),基本信息!BR236,"")</f>
        <v/>
      </c>
      <c r="B247" s="40" t="str">
        <f>IF($A247="","",基本信息!BQ236)</f>
        <v/>
      </c>
      <c r="C247" s="50" t="str">
        <f>IF($A247="","",计算结果!BT236-G247-H247)</f>
        <v/>
      </c>
      <c r="D247" s="40" t="str">
        <f>IF($A247="","",基本信息!BS236)</f>
        <v/>
      </c>
      <c r="F247" s="40" t="str">
        <f>IF($A247="","",基本信息!A236)</f>
        <v/>
      </c>
      <c r="G247" s="50" t="str">
        <f>IF($A247="","",计算结果!BI236+计算结果!BJ236)</f>
        <v/>
      </c>
      <c r="H247" s="50" t="str">
        <f>IF($A247="","",计算结果!BK236)</f>
        <v/>
      </c>
    </row>
    <row r="248" spans="1:8">
      <c r="A248" s="40" t="str">
        <f>IF(AND(OR(IFERROR(FIND("交行",基本信息!BS237),0)&gt;0,IFERROR(FIND("交通银行",基本信息!BS237),0)&gt;0),计算结果!BT237&gt;0),基本信息!BR237,"")</f>
        <v/>
      </c>
      <c r="B248" s="40" t="str">
        <f>IF($A248="","",基本信息!BQ237)</f>
        <v/>
      </c>
      <c r="C248" s="50" t="str">
        <f>IF($A248="","",计算结果!BT237-G248-H248)</f>
        <v/>
      </c>
      <c r="D248" s="40" t="str">
        <f>IF($A248="","",基本信息!BS237)</f>
        <v/>
      </c>
      <c r="F248" s="40" t="str">
        <f>IF($A248="","",基本信息!A237)</f>
        <v/>
      </c>
      <c r="G248" s="50" t="str">
        <f>IF($A248="","",计算结果!BI237+计算结果!BJ237)</f>
        <v/>
      </c>
      <c r="H248" s="50" t="str">
        <f>IF($A248="","",计算结果!BK237)</f>
        <v/>
      </c>
    </row>
    <row r="249" spans="1:8">
      <c r="A249" s="40" t="str">
        <f>IF(AND(OR(IFERROR(FIND("交行",基本信息!BS238),0)&gt;0,IFERROR(FIND("交通银行",基本信息!BS238),0)&gt;0),计算结果!BT238&gt;0),基本信息!BR238,"")</f>
        <v/>
      </c>
      <c r="B249" s="40" t="str">
        <f>IF($A249="","",基本信息!BQ238)</f>
        <v/>
      </c>
      <c r="C249" s="50" t="str">
        <f>IF($A249="","",计算结果!BT238-G249-H249)</f>
        <v/>
      </c>
      <c r="D249" s="40" t="str">
        <f>IF($A249="","",基本信息!BS238)</f>
        <v/>
      </c>
      <c r="F249" s="40" t="str">
        <f>IF($A249="","",基本信息!A238)</f>
        <v/>
      </c>
      <c r="G249" s="50" t="str">
        <f>IF($A249="","",计算结果!BI238+计算结果!BJ238)</f>
        <v/>
      </c>
      <c r="H249" s="50" t="str">
        <f>IF($A249="","",计算结果!BK238)</f>
        <v/>
      </c>
    </row>
    <row r="250" spans="1:8">
      <c r="A250" s="40" t="str">
        <f>IF(AND(OR(IFERROR(FIND("交行",基本信息!BS239),0)&gt;0,IFERROR(FIND("交通银行",基本信息!BS239),0)&gt;0),计算结果!BT239&gt;0),基本信息!BR239,"")</f>
        <v/>
      </c>
      <c r="B250" s="40" t="str">
        <f>IF($A250="","",基本信息!BQ239)</f>
        <v/>
      </c>
      <c r="C250" s="50" t="str">
        <f>IF($A250="","",计算结果!BT239-G250-H250)</f>
        <v/>
      </c>
      <c r="D250" s="40" t="str">
        <f>IF($A250="","",基本信息!BS239)</f>
        <v/>
      </c>
      <c r="F250" s="40" t="str">
        <f>IF($A250="","",基本信息!A239)</f>
        <v/>
      </c>
      <c r="G250" s="50" t="str">
        <f>IF($A250="","",计算结果!BI239+计算结果!BJ239)</f>
        <v/>
      </c>
      <c r="H250" s="50" t="str">
        <f>IF($A250="","",计算结果!BK239)</f>
        <v/>
      </c>
    </row>
    <row r="251" spans="1:8">
      <c r="A251" s="40" t="str">
        <f>IF(AND(OR(IFERROR(FIND("交行",基本信息!BS240),0)&gt;0,IFERROR(FIND("交通银行",基本信息!BS240),0)&gt;0),计算结果!BT240&gt;0),基本信息!BR240,"")</f>
        <v/>
      </c>
      <c r="B251" s="40" t="str">
        <f>IF($A251="","",基本信息!BQ240)</f>
        <v/>
      </c>
      <c r="C251" s="50" t="str">
        <f>IF($A251="","",计算结果!BT240-G251-H251)</f>
        <v/>
      </c>
      <c r="D251" s="40" t="str">
        <f>IF($A251="","",基本信息!BS240)</f>
        <v/>
      </c>
      <c r="F251" s="40" t="str">
        <f>IF($A251="","",基本信息!A240)</f>
        <v/>
      </c>
      <c r="G251" s="50" t="str">
        <f>IF($A251="","",计算结果!BI240+计算结果!BJ240)</f>
        <v/>
      </c>
      <c r="H251" s="50" t="str">
        <f>IF($A251="","",计算结果!BK240)</f>
        <v/>
      </c>
    </row>
    <row r="252" spans="1:8">
      <c r="A252" s="40" t="str">
        <f>IF(AND(OR(IFERROR(FIND("交行",基本信息!BS241),0)&gt;0,IFERROR(FIND("交通银行",基本信息!BS241),0)&gt;0),计算结果!BT241&gt;0),基本信息!BR241,"")</f>
        <v/>
      </c>
      <c r="B252" s="40" t="str">
        <f>IF($A252="","",基本信息!BQ241)</f>
        <v/>
      </c>
      <c r="C252" s="50" t="str">
        <f>IF($A252="","",计算结果!BT241-G252-H252)</f>
        <v/>
      </c>
      <c r="D252" s="40" t="str">
        <f>IF($A252="","",基本信息!BS241)</f>
        <v/>
      </c>
      <c r="F252" s="40" t="str">
        <f>IF($A252="","",基本信息!A241)</f>
        <v/>
      </c>
      <c r="G252" s="50" t="str">
        <f>IF($A252="","",计算结果!BI241+计算结果!BJ241)</f>
        <v/>
      </c>
      <c r="H252" s="50" t="str">
        <f>IF($A252="","",计算结果!BK241)</f>
        <v/>
      </c>
    </row>
    <row r="253" spans="1:8">
      <c r="A253" s="40" t="str">
        <f>IF(AND(OR(IFERROR(FIND("交行",基本信息!BS242),0)&gt;0,IFERROR(FIND("交通银行",基本信息!BS242),0)&gt;0),计算结果!BT242&gt;0),基本信息!BR242,"")</f>
        <v/>
      </c>
      <c r="B253" s="40" t="str">
        <f>IF($A253="","",基本信息!BQ242)</f>
        <v/>
      </c>
      <c r="C253" s="50" t="str">
        <f>IF($A253="","",计算结果!BT242-G253-H253)</f>
        <v/>
      </c>
      <c r="D253" s="40" t="str">
        <f>IF($A253="","",基本信息!BS242)</f>
        <v/>
      </c>
      <c r="F253" s="40" t="str">
        <f>IF($A253="","",基本信息!A242)</f>
        <v/>
      </c>
      <c r="G253" s="50" t="str">
        <f>IF($A253="","",计算结果!BI242+计算结果!BJ242)</f>
        <v/>
      </c>
      <c r="H253" s="50" t="str">
        <f>IF($A253="","",计算结果!BK242)</f>
        <v/>
      </c>
    </row>
    <row r="254" spans="1:8">
      <c r="A254" s="40" t="str">
        <f>IF(AND(OR(IFERROR(FIND("交行",基本信息!BS243),0)&gt;0,IFERROR(FIND("交通银行",基本信息!BS243),0)&gt;0),计算结果!BT243&gt;0),基本信息!BR243,"")</f>
        <v/>
      </c>
      <c r="B254" s="40" t="str">
        <f>IF($A254="","",基本信息!BQ243)</f>
        <v/>
      </c>
      <c r="C254" s="50" t="str">
        <f>IF($A254="","",计算结果!BT243-G254-H254)</f>
        <v/>
      </c>
      <c r="D254" s="40" t="str">
        <f>IF($A254="","",基本信息!BS243)</f>
        <v/>
      </c>
      <c r="F254" s="40" t="str">
        <f>IF($A254="","",基本信息!A243)</f>
        <v/>
      </c>
      <c r="G254" s="50" t="str">
        <f>IF($A254="","",计算结果!BI243+计算结果!BJ243)</f>
        <v/>
      </c>
      <c r="H254" s="50" t="str">
        <f>IF($A254="","",计算结果!BK243)</f>
        <v/>
      </c>
    </row>
    <row r="255" spans="1:8">
      <c r="A255" s="40" t="str">
        <f>IF(AND(OR(IFERROR(FIND("交行",基本信息!BS244),0)&gt;0,IFERROR(FIND("交通银行",基本信息!BS244),0)&gt;0),计算结果!BT244&gt;0),基本信息!BR244,"")</f>
        <v/>
      </c>
      <c r="B255" s="40" t="str">
        <f>IF($A255="","",基本信息!BQ244)</f>
        <v/>
      </c>
      <c r="C255" s="50" t="str">
        <f>IF($A255="","",计算结果!BT244-G255-H255)</f>
        <v/>
      </c>
      <c r="D255" s="40" t="str">
        <f>IF($A255="","",基本信息!BS244)</f>
        <v/>
      </c>
      <c r="F255" s="40" t="str">
        <f>IF($A255="","",基本信息!A244)</f>
        <v/>
      </c>
      <c r="G255" s="50" t="str">
        <f>IF($A255="","",计算结果!BI244+计算结果!BJ244)</f>
        <v/>
      </c>
      <c r="H255" s="50" t="str">
        <f>IF($A255="","",计算结果!BK244)</f>
        <v/>
      </c>
    </row>
    <row r="256" spans="1:8">
      <c r="A256" s="40" t="str">
        <f>IF(AND(OR(IFERROR(FIND("交行",基本信息!BS245),0)&gt;0,IFERROR(FIND("交通银行",基本信息!BS245),0)&gt;0),计算结果!BT245&gt;0),基本信息!BR245,"")</f>
        <v/>
      </c>
      <c r="B256" s="40" t="str">
        <f>IF($A256="","",基本信息!BQ245)</f>
        <v/>
      </c>
      <c r="C256" s="50" t="str">
        <f>IF($A256="","",计算结果!BT245-G256-H256)</f>
        <v/>
      </c>
      <c r="D256" s="40" t="str">
        <f>IF($A256="","",基本信息!BS245)</f>
        <v/>
      </c>
      <c r="F256" s="40" t="str">
        <f>IF($A256="","",基本信息!A245)</f>
        <v/>
      </c>
      <c r="G256" s="50" t="str">
        <f>IF($A256="","",计算结果!BI245+计算结果!BJ245)</f>
        <v/>
      </c>
      <c r="H256" s="50" t="str">
        <f>IF($A256="","",计算结果!BK245)</f>
        <v/>
      </c>
    </row>
    <row r="257" spans="1:8">
      <c r="A257" s="40" t="str">
        <f>IF(AND(OR(IFERROR(FIND("交行",基本信息!BS246),0)&gt;0,IFERROR(FIND("交通银行",基本信息!BS246),0)&gt;0),计算结果!BT246&gt;0),基本信息!BR246,"")</f>
        <v/>
      </c>
      <c r="B257" s="40" t="str">
        <f>IF($A257="","",基本信息!BQ246)</f>
        <v/>
      </c>
      <c r="C257" s="50" t="str">
        <f>IF($A257="","",计算结果!BT246-G257-H257)</f>
        <v/>
      </c>
      <c r="D257" s="40" t="str">
        <f>IF($A257="","",基本信息!BS246)</f>
        <v/>
      </c>
      <c r="F257" s="40" t="str">
        <f>IF($A257="","",基本信息!A246)</f>
        <v/>
      </c>
      <c r="G257" s="50" t="str">
        <f>IF($A257="","",计算结果!BI246+计算结果!BJ246)</f>
        <v/>
      </c>
      <c r="H257" s="50" t="str">
        <f>IF($A257="","",计算结果!BK246)</f>
        <v/>
      </c>
    </row>
    <row r="258" spans="1:8">
      <c r="A258" s="40" t="str">
        <f>IF(AND(OR(IFERROR(FIND("交行",基本信息!BS247),0)&gt;0,IFERROR(FIND("交通银行",基本信息!BS247),0)&gt;0),计算结果!BT247&gt;0),基本信息!BR247,"")</f>
        <v/>
      </c>
      <c r="B258" s="40" t="str">
        <f>IF($A258="","",基本信息!BQ247)</f>
        <v/>
      </c>
      <c r="C258" s="50" t="str">
        <f>IF($A258="","",计算结果!BT247-G258-H258)</f>
        <v/>
      </c>
      <c r="D258" s="40" t="str">
        <f>IF($A258="","",基本信息!BS247)</f>
        <v/>
      </c>
      <c r="F258" s="40" t="str">
        <f>IF($A258="","",基本信息!A247)</f>
        <v/>
      </c>
      <c r="G258" s="50" t="str">
        <f>IF($A258="","",计算结果!BI247+计算结果!BJ247)</f>
        <v/>
      </c>
      <c r="H258" s="50" t="str">
        <f>IF($A258="","",计算结果!BK247)</f>
        <v/>
      </c>
    </row>
    <row r="259" spans="1:8">
      <c r="A259" s="40" t="str">
        <f>IF(AND(OR(IFERROR(FIND("交行",基本信息!BS248),0)&gt;0,IFERROR(FIND("交通银行",基本信息!BS248),0)&gt;0),计算结果!BT248&gt;0),基本信息!BR248,"")</f>
        <v/>
      </c>
      <c r="B259" s="40" t="str">
        <f>IF($A259="","",基本信息!BQ248)</f>
        <v/>
      </c>
      <c r="C259" s="50" t="str">
        <f>IF($A259="","",计算结果!BT248-G259-H259)</f>
        <v/>
      </c>
      <c r="D259" s="40" t="str">
        <f>IF($A259="","",基本信息!BS248)</f>
        <v/>
      </c>
      <c r="F259" s="40" t="str">
        <f>IF($A259="","",基本信息!A248)</f>
        <v/>
      </c>
      <c r="G259" s="50" t="str">
        <f>IF($A259="","",计算结果!BI248+计算结果!BJ248)</f>
        <v/>
      </c>
      <c r="H259" s="50" t="str">
        <f>IF($A259="","",计算结果!BK248)</f>
        <v/>
      </c>
    </row>
    <row r="260" spans="1:8">
      <c r="A260" s="40" t="str">
        <f>IF(AND(OR(IFERROR(FIND("交行",基本信息!BS249),0)&gt;0,IFERROR(FIND("交通银行",基本信息!BS249),0)&gt;0),计算结果!BT249&gt;0),基本信息!BR249,"")</f>
        <v/>
      </c>
      <c r="B260" s="40" t="str">
        <f>IF($A260="","",基本信息!BQ249)</f>
        <v/>
      </c>
      <c r="C260" s="50" t="str">
        <f>IF($A260="","",计算结果!BT249-G260-H260)</f>
        <v/>
      </c>
      <c r="D260" s="40" t="str">
        <f>IF($A260="","",基本信息!BS249)</f>
        <v/>
      </c>
      <c r="F260" s="40" t="str">
        <f>IF($A260="","",基本信息!A249)</f>
        <v/>
      </c>
      <c r="G260" s="50" t="str">
        <f>IF($A260="","",计算结果!BI249+计算结果!BJ249)</f>
        <v/>
      </c>
      <c r="H260" s="50" t="str">
        <f>IF($A260="","",计算结果!BK249)</f>
        <v/>
      </c>
    </row>
    <row r="261" spans="1:8">
      <c r="A261" s="40" t="str">
        <f>IF(AND(OR(IFERROR(FIND("交行",基本信息!BS250),0)&gt;0,IFERROR(FIND("交通银行",基本信息!BS250),0)&gt;0),计算结果!BT250&gt;0),基本信息!BR250,"")</f>
        <v/>
      </c>
      <c r="B261" s="40" t="str">
        <f>IF($A261="","",基本信息!BQ250)</f>
        <v/>
      </c>
      <c r="C261" s="50" t="str">
        <f>IF($A261="","",计算结果!BT250-G261-H261)</f>
        <v/>
      </c>
      <c r="D261" s="40" t="str">
        <f>IF($A261="","",基本信息!BS250)</f>
        <v/>
      </c>
      <c r="F261" s="40" t="str">
        <f>IF($A261="","",基本信息!A250)</f>
        <v/>
      </c>
      <c r="G261" s="50" t="str">
        <f>IF($A261="","",计算结果!BI250+计算结果!BJ250)</f>
        <v/>
      </c>
      <c r="H261" s="50" t="str">
        <f>IF($A261="","",计算结果!BK250)</f>
        <v/>
      </c>
    </row>
    <row r="262" spans="1:8">
      <c r="A262" s="40" t="str">
        <f>IF(AND(OR(IFERROR(FIND("交行",基本信息!BS251),0)&gt;0,IFERROR(FIND("交通银行",基本信息!BS251),0)&gt;0),计算结果!BT251&gt;0),基本信息!BR251,"")</f>
        <v/>
      </c>
      <c r="B262" s="40" t="str">
        <f>IF($A262="","",基本信息!BQ251)</f>
        <v/>
      </c>
      <c r="C262" s="50" t="str">
        <f>IF($A262="","",计算结果!BT251-G262-H262)</f>
        <v/>
      </c>
      <c r="D262" s="40" t="str">
        <f>IF($A262="","",基本信息!BS251)</f>
        <v/>
      </c>
      <c r="F262" s="40" t="str">
        <f>IF($A262="","",基本信息!A251)</f>
        <v/>
      </c>
      <c r="G262" s="50" t="str">
        <f>IF($A262="","",计算结果!BI251+计算结果!BJ251)</f>
        <v/>
      </c>
      <c r="H262" s="50" t="str">
        <f>IF($A262="","",计算结果!BK251)</f>
        <v/>
      </c>
    </row>
    <row r="263" spans="1:8">
      <c r="A263" s="40" t="str">
        <f>IF(AND(OR(IFERROR(FIND("交行",基本信息!BS252),0)&gt;0,IFERROR(FIND("交通银行",基本信息!BS252),0)&gt;0),计算结果!BT252&gt;0),基本信息!BR252,"")</f>
        <v/>
      </c>
      <c r="B263" s="40" t="str">
        <f>IF($A263="","",基本信息!BQ252)</f>
        <v/>
      </c>
      <c r="C263" s="50" t="str">
        <f>IF($A263="","",计算结果!BT252-G263-H263)</f>
        <v/>
      </c>
      <c r="D263" s="40" t="str">
        <f>IF($A263="","",基本信息!BS252)</f>
        <v/>
      </c>
      <c r="F263" s="40" t="str">
        <f>IF($A263="","",基本信息!A252)</f>
        <v/>
      </c>
      <c r="G263" s="50" t="str">
        <f>IF($A263="","",计算结果!BI252+计算结果!BJ252)</f>
        <v/>
      </c>
      <c r="H263" s="50" t="str">
        <f>IF($A263="","",计算结果!BK252)</f>
        <v/>
      </c>
    </row>
    <row r="264" spans="1:8">
      <c r="A264" s="40" t="str">
        <f>IF(AND(OR(IFERROR(FIND("交行",基本信息!BS253),0)&gt;0,IFERROR(FIND("交通银行",基本信息!BS253),0)&gt;0),计算结果!BT253&gt;0),基本信息!BR253,"")</f>
        <v/>
      </c>
      <c r="B264" s="40" t="str">
        <f>IF($A264="","",基本信息!BQ253)</f>
        <v/>
      </c>
      <c r="C264" s="50" t="str">
        <f>IF($A264="","",计算结果!BT253-G264-H264)</f>
        <v/>
      </c>
      <c r="D264" s="40" t="str">
        <f>IF($A264="","",基本信息!BS253)</f>
        <v/>
      </c>
      <c r="F264" s="40" t="str">
        <f>IF($A264="","",基本信息!A253)</f>
        <v/>
      </c>
      <c r="G264" s="50" t="str">
        <f>IF($A264="","",计算结果!BI253+计算结果!BJ253)</f>
        <v/>
      </c>
      <c r="H264" s="50" t="str">
        <f>IF($A264="","",计算结果!BK253)</f>
        <v/>
      </c>
    </row>
    <row r="265" spans="1:8">
      <c r="A265" s="40" t="str">
        <f>IF(AND(OR(IFERROR(FIND("交行",基本信息!BS254),0)&gt;0,IFERROR(FIND("交通银行",基本信息!BS254),0)&gt;0),计算结果!BT254&gt;0),基本信息!BR254,"")</f>
        <v/>
      </c>
      <c r="B265" s="40" t="str">
        <f>IF($A265="","",基本信息!BQ254)</f>
        <v/>
      </c>
      <c r="C265" s="50" t="str">
        <f>IF($A265="","",计算结果!BT254-G265-H265)</f>
        <v/>
      </c>
      <c r="D265" s="40" t="str">
        <f>IF($A265="","",基本信息!BS254)</f>
        <v/>
      </c>
      <c r="F265" s="40" t="str">
        <f>IF($A265="","",基本信息!A254)</f>
        <v/>
      </c>
      <c r="G265" s="50" t="str">
        <f>IF($A265="","",计算结果!BI254+计算结果!BJ254)</f>
        <v/>
      </c>
      <c r="H265" s="50" t="str">
        <f>IF($A265="","",计算结果!BK254)</f>
        <v/>
      </c>
    </row>
    <row r="266" spans="1:8">
      <c r="A266" s="40" t="str">
        <f>IF(AND(OR(IFERROR(FIND("交行",基本信息!BS255),0)&gt;0,IFERROR(FIND("交通银行",基本信息!BS255),0)&gt;0),计算结果!BT255&gt;0),基本信息!BR255,"")</f>
        <v/>
      </c>
      <c r="B266" s="40" t="str">
        <f>IF($A266="","",基本信息!BQ255)</f>
        <v/>
      </c>
      <c r="C266" s="50" t="str">
        <f>IF($A266="","",计算结果!BT255-G266-H266)</f>
        <v/>
      </c>
      <c r="D266" s="40" t="str">
        <f>IF($A266="","",基本信息!BS255)</f>
        <v/>
      </c>
      <c r="F266" s="40" t="str">
        <f>IF($A266="","",基本信息!A255)</f>
        <v/>
      </c>
      <c r="G266" s="50" t="str">
        <f>IF($A266="","",计算结果!BI255+计算结果!BJ255)</f>
        <v/>
      </c>
      <c r="H266" s="50" t="str">
        <f>IF($A266="","",计算结果!BK255)</f>
        <v/>
      </c>
    </row>
    <row r="267" spans="1:8">
      <c r="A267" s="40" t="str">
        <f>IF(AND(OR(IFERROR(FIND("交行",基本信息!BS256),0)&gt;0,IFERROR(FIND("交通银行",基本信息!BS256),0)&gt;0),计算结果!BT256&gt;0),基本信息!BR256,"")</f>
        <v/>
      </c>
      <c r="B267" s="40" t="str">
        <f>IF($A267="","",基本信息!BQ256)</f>
        <v/>
      </c>
      <c r="C267" s="50" t="str">
        <f>IF($A267="","",计算结果!BT256-G267-H267)</f>
        <v/>
      </c>
      <c r="D267" s="40" t="str">
        <f>IF($A267="","",基本信息!BS256)</f>
        <v/>
      </c>
      <c r="F267" s="40" t="str">
        <f>IF($A267="","",基本信息!A256)</f>
        <v/>
      </c>
      <c r="G267" s="50" t="str">
        <f>IF($A267="","",计算结果!BI256+计算结果!BJ256)</f>
        <v/>
      </c>
      <c r="H267" s="50" t="str">
        <f>IF($A267="","",计算结果!BK256)</f>
        <v/>
      </c>
    </row>
    <row r="268" spans="1:8">
      <c r="A268" s="40" t="str">
        <f>IF(AND(OR(IFERROR(FIND("交行",基本信息!BS257),0)&gt;0,IFERROR(FIND("交通银行",基本信息!BS257),0)&gt;0),计算结果!BT257&gt;0),基本信息!BR257,"")</f>
        <v/>
      </c>
      <c r="B268" s="40" t="str">
        <f>IF($A268="","",基本信息!BQ257)</f>
        <v/>
      </c>
      <c r="C268" s="50" t="str">
        <f>IF($A268="","",计算结果!BT257-G268-H268)</f>
        <v/>
      </c>
      <c r="D268" s="40" t="str">
        <f>IF($A268="","",基本信息!BS257)</f>
        <v/>
      </c>
      <c r="F268" s="40" t="str">
        <f>IF($A268="","",基本信息!A257)</f>
        <v/>
      </c>
      <c r="G268" s="50" t="str">
        <f>IF($A268="","",计算结果!BI257+计算结果!BJ257)</f>
        <v/>
      </c>
      <c r="H268" s="50" t="str">
        <f>IF($A268="","",计算结果!BK257)</f>
        <v/>
      </c>
    </row>
    <row r="269" spans="1:8">
      <c r="A269" s="40" t="str">
        <f>IF(AND(OR(IFERROR(FIND("交行",基本信息!BS258),0)&gt;0,IFERROR(FIND("交通银行",基本信息!BS258),0)&gt;0),计算结果!BT258&gt;0),基本信息!BR258,"")</f>
        <v/>
      </c>
      <c r="B269" s="40" t="str">
        <f>IF($A269="","",基本信息!BQ258)</f>
        <v/>
      </c>
      <c r="C269" s="50" t="str">
        <f>IF($A269="","",计算结果!BT258-G269-H269)</f>
        <v/>
      </c>
      <c r="D269" s="40" t="str">
        <f>IF($A269="","",基本信息!BS258)</f>
        <v/>
      </c>
      <c r="F269" s="40" t="str">
        <f>IF($A269="","",基本信息!A258)</f>
        <v/>
      </c>
      <c r="G269" s="50" t="str">
        <f>IF($A269="","",计算结果!BI258+计算结果!BJ258)</f>
        <v/>
      </c>
      <c r="H269" s="50" t="str">
        <f>IF($A269="","",计算结果!BK258)</f>
        <v/>
      </c>
    </row>
    <row r="270" spans="1:8">
      <c r="A270" s="40" t="str">
        <f>IF(AND(OR(IFERROR(FIND("交行",基本信息!BS259),0)&gt;0,IFERROR(FIND("交通银行",基本信息!BS259),0)&gt;0),计算结果!BT259&gt;0),基本信息!BR259,"")</f>
        <v/>
      </c>
      <c r="B270" s="40" t="str">
        <f>IF($A270="","",基本信息!BQ259)</f>
        <v/>
      </c>
      <c r="C270" s="50" t="str">
        <f>IF($A270="","",计算结果!BT259-G270-H270)</f>
        <v/>
      </c>
      <c r="D270" s="40" t="str">
        <f>IF($A270="","",基本信息!BS259)</f>
        <v/>
      </c>
      <c r="F270" s="40" t="str">
        <f>IF($A270="","",基本信息!A259)</f>
        <v/>
      </c>
      <c r="G270" s="50" t="str">
        <f>IF($A270="","",计算结果!BI259+计算结果!BJ259)</f>
        <v/>
      </c>
      <c r="H270" s="50" t="str">
        <f>IF($A270="","",计算结果!BK259)</f>
        <v/>
      </c>
    </row>
    <row r="271" spans="1:8">
      <c r="A271" s="40" t="str">
        <f>IF(AND(OR(IFERROR(FIND("交行",基本信息!BS260),0)&gt;0,IFERROR(FIND("交通银行",基本信息!BS260),0)&gt;0),计算结果!BT260&gt;0),基本信息!BR260,"")</f>
        <v/>
      </c>
      <c r="B271" s="40" t="str">
        <f>IF($A271="","",基本信息!BQ260)</f>
        <v/>
      </c>
      <c r="C271" s="50" t="str">
        <f>IF($A271="","",计算结果!BT260-G271-H271)</f>
        <v/>
      </c>
      <c r="D271" s="40" t="str">
        <f>IF($A271="","",基本信息!BS260)</f>
        <v/>
      </c>
      <c r="F271" s="40" t="str">
        <f>IF($A271="","",基本信息!A260)</f>
        <v/>
      </c>
      <c r="G271" s="50" t="str">
        <f>IF($A271="","",计算结果!BI260+计算结果!BJ260)</f>
        <v/>
      </c>
      <c r="H271" s="50" t="str">
        <f>IF($A271="","",计算结果!BK260)</f>
        <v/>
      </c>
    </row>
    <row r="272" spans="1:8">
      <c r="A272" s="40" t="str">
        <f>IF(AND(OR(IFERROR(FIND("交行",基本信息!BS261),0)&gt;0,IFERROR(FIND("交通银行",基本信息!BS261),0)&gt;0),计算结果!BT261&gt;0),基本信息!BR261,"")</f>
        <v/>
      </c>
      <c r="B272" s="40" t="str">
        <f>IF($A272="","",基本信息!BQ261)</f>
        <v/>
      </c>
      <c r="C272" s="50" t="str">
        <f>IF($A272="","",计算结果!BT261-G272-H272)</f>
        <v/>
      </c>
      <c r="D272" s="40" t="str">
        <f>IF($A272="","",基本信息!BS261)</f>
        <v/>
      </c>
      <c r="F272" s="40" t="str">
        <f>IF($A272="","",基本信息!A261)</f>
        <v/>
      </c>
      <c r="G272" s="50" t="str">
        <f>IF($A272="","",计算结果!BI261+计算结果!BJ261)</f>
        <v/>
      </c>
      <c r="H272" s="50" t="str">
        <f>IF($A272="","",计算结果!BK261)</f>
        <v/>
      </c>
    </row>
    <row r="273" spans="1:8">
      <c r="A273" s="40" t="str">
        <f>IF(AND(OR(IFERROR(FIND("交行",基本信息!BS262),0)&gt;0,IFERROR(FIND("交通银行",基本信息!BS262),0)&gt;0),计算结果!BT262&gt;0),基本信息!BR262,"")</f>
        <v/>
      </c>
      <c r="B273" s="40" t="str">
        <f>IF($A273="","",基本信息!BQ262)</f>
        <v/>
      </c>
      <c r="C273" s="50" t="str">
        <f>IF($A273="","",计算结果!BT262-G273-H273)</f>
        <v/>
      </c>
      <c r="D273" s="40" t="str">
        <f>IF($A273="","",基本信息!BS262)</f>
        <v/>
      </c>
      <c r="F273" s="40" t="str">
        <f>IF($A273="","",基本信息!A262)</f>
        <v/>
      </c>
      <c r="G273" s="50" t="str">
        <f>IF($A273="","",计算结果!BI262+计算结果!BJ262)</f>
        <v/>
      </c>
      <c r="H273" s="50" t="str">
        <f>IF($A273="","",计算结果!BK262)</f>
        <v/>
      </c>
    </row>
    <row r="274" spans="1:8">
      <c r="A274" s="40" t="str">
        <f>IF(AND(OR(IFERROR(FIND("交行",基本信息!BS263),0)&gt;0,IFERROR(FIND("交通银行",基本信息!BS263),0)&gt;0),计算结果!BT263&gt;0),基本信息!BR263,"")</f>
        <v/>
      </c>
      <c r="B274" s="40" t="str">
        <f>IF($A274="","",基本信息!BQ263)</f>
        <v/>
      </c>
      <c r="C274" s="50" t="str">
        <f>IF($A274="","",计算结果!BT263-G274-H274)</f>
        <v/>
      </c>
      <c r="D274" s="40" t="str">
        <f>IF($A274="","",基本信息!BS263)</f>
        <v/>
      </c>
      <c r="F274" s="40" t="str">
        <f>IF($A274="","",基本信息!A263)</f>
        <v/>
      </c>
      <c r="G274" s="50" t="str">
        <f>IF($A274="","",计算结果!BI263+计算结果!BJ263)</f>
        <v/>
      </c>
      <c r="H274" s="50" t="str">
        <f>IF($A274="","",计算结果!BK263)</f>
        <v/>
      </c>
    </row>
    <row r="275" spans="1:8">
      <c r="A275" s="40" t="str">
        <f>IF(AND(OR(IFERROR(FIND("交行",基本信息!BS264),0)&gt;0,IFERROR(FIND("交通银行",基本信息!BS264),0)&gt;0),计算结果!BT264&gt;0),基本信息!BR264,"")</f>
        <v/>
      </c>
      <c r="B275" s="40" t="str">
        <f>IF($A275="","",基本信息!BQ264)</f>
        <v/>
      </c>
      <c r="C275" s="50" t="str">
        <f>IF($A275="","",计算结果!BT264-G275-H275)</f>
        <v/>
      </c>
      <c r="D275" s="40" t="str">
        <f>IF($A275="","",基本信息!BS264)</f>
        <v/>
      </c>
      <c r="F275" s="40" t="str">
        <f>IF($A275="","",基本信息!A264)</f>
        <v/>
      </c>
      <c r="G275" s="50" t="str">
        <f>IF($A275="","",计算结果!BI264+计算结果!BJ264)</f>
        <v/>
      </c>
      <c r="H275" s="50" t="str">
        <f>IF($A275="","",计算结果!BK264)</f>
        <v/>
      </c>
    </row>
    <row r="276" spans="1:8">
      <c r="A276" s="40" t="str">
        <f>IF(AND(OR(IFERROR(FIND("交行",基本信息!BS265),0)&gt;0,IFERROR(FIND("交通银行",基本信息!BS265),0)&gt;0),计算结果!BT265&gt;0),基本信息!BR265,"")</f>
        <v/>
      </c>
      <c r="B276" s="40" t="str">
        <f>IF($A276="","",基本信息!BQ265)</f>
        <v/>
      </c>
      <c r="C276" s="50" t="str">
        <f>IF($A276="","",计算结果!BT265-G276-H276)</f>
        <v/>
      </c>
      <c r="D276" s="40" t="str">
        <f>IF($A276="","",基本信息!BS265)</f>
        <v/>
      </c>
      <c r="F276" s="40" t="str">
        <f>IF($A276="","",基本信息!A265)</f>
        <v/>
      </c>
      <c r="G276" s="50" t="str">
        <f>IF($A276="","",计算结果!BI265+计算结果!BJ265)</f>
        <v/>
      </c>
      <c r="H276" s="50" t="str">
        <f>IF($A276="","",计算结果!BK265)</f>
        <v/>
      </c>
    </row>
    <row r="277" spans="1:8">
      <c r="A277" s="40" t="str">
        <f>IF(AND(OR(IFERROR(FIND("交行",基本信息!BS266),0)&gt;0,IFERROR(FIND("交通银行",基本信息!BS266),0)&gt;0),计算结果!BT266&gt;0),基本信息!BR266,"")</f>
        <v/>
      </c>
      <c r="B277" s="40" t="str">
        <f>IF($A277="","",基本信息!BQ266)</f>
        <v/>
      </c>
      <c r="C277" s="50" t="str">
        <f>IF($A277="","",计算结果!BT266-G277-H277)</f>
        <v/>
      </c>
      <c r="D277" s="40" t="str">
        <f>IF($A277="","",基本信息!BS266)</f>
        <v/>
      </c>
      <c r="F277" s="40" t="str">
        <f>IF($A277="","",基本信息!A266)</f>
        <v/>
      </c>
      <c r="G277" s="50" t="str">
        <f>IF($A277="","",计算结果!BI266+计算结果!BJ266)</f>
        <v/>
      </c>
      <c r="H277" s="50" t="str">
        <f>IF($A277="","",计算结果!BK266)</f>
        <v/>
      </c>
    </row>
    <row r="278" spans="1:8">
      <c r="A278" s="40" t="str">
        <f>IF(AND(OR(IFERROR(FIND("交行",基本信息!BS267),0)&gt;0,IFERROR(FIND("交通银行",基本信息!BS267),0)&gt;0),计算结果!BT267&gt;0),基本信息!BR267,"")</f>
        <v/>
      </c>
      <c r="B278" s="40" t="str">
        <f>IF($A278="","",基本信息!BQ267)</f>
        <v/>
      </c>
      <c r="C278" s="50" t="str">
        <f>IF($A278="","",计算结果!BT267-G278-H278)</f>
        <v/>
      </c>
      <c r="D278" s="40" t="str">
        <f>IF($A278="","",基本信息!BS267)</f>
        <v/>
      </c>
      <c r="F278" s="40" t="str">
        <f>IF($A278="","",基本信息!A267)</f>
        <v/>
      </c>
      <c r="G278" s="50" t="str">
        <f>IF($A278="","",计算结果!BI267+计算结果!BJ267)</f>
        <v/>
      </c>
      <c r="H278" s="50" t="str">
        <f>IF($A278="","",计算结果!BK267)</f>
        <v/>
      </c>
    </row>
    <row r="279" spans="1:8">
      <c r="A279" s="40" t="str">
        <f>IF(AND(OR(IFERROR(FIND("交行",基本信息!BS268),0)&gt;0,IFERROR(FIND("交通银行",基本信息!BS268),0)&gt;0),计算结果!BT268&gt;0),基本信息!BR268,"")</f>
        <v/>
      </c>
      <c r="B279" s="40" t="str">
        <f>IF($A279="","",基本信息!BQ268)</f>
        <v/>
      </c>
      <c r="C279" s="50" t="str">
        <f>IF($A279="","",计算结果!BT268-G279-H279)</f>
        <v/>
      </c>
      <c r="D279" s="40" t="str">
        <f>IF($A279="","",基本信息!BS268)</f>
        <v/>
      </c>
      <c r="F279" s="40" t="str">
        <f>IF($A279="","",基本信息!A268)</f>
        <v/>
      </c>
      <c r="G279" s="50" t="str">
        <f>IF($A279="","",计算结果!BI268+计算结果!BJ268)</f>
        <v/>
      </c>
      <c r="H279" s="50" t="str">
        <f>IF($A279="","",计算结果!BK268)</f>
        <v/>
      </c>
    </row>
    <row r="280" spans="1:8">
      <c r="A280" s="40" t="str">
        <f>IF(AND(OR(IFERROR(FIND("交行",基本信息!BS269),0)&gt;0,IFERROR(FIND("交通银行",基本信息!BS269),0)&gt;0),计算结果!BT269&gt;0),基本信息!BR269,"")</f>
        <v/>
      </c>
      <c r="B280" s="40" t="str">
        <f>IF($A280="","",基本信息!BQ269)</f>
        <v/>
      </c>
      <c r="C280" s="50" t="str">
        <f>IF($A280="","",计算结果!BT269-G280-H280)</f>
        <v/>
      </c>
      <c r="D280" s="40" t="str">
        <f>IF($A280="","",基本信息!BS269)</f>
        <v/>
      </c>
      <c r="F280" s="40" t="str">
        <f>IF($A280="","",基本信息!A269)</f>
        <v/>
      </c>
      <c r="G280" s="50" t="str">
        <f>IF($A280="","",计算结果!BI269+计算结果!BJ269)</f>
        <v/>
      </c>
      <c r="H280" s="50" t="str">
        <f>IF($A280="","",计算结果!BK269)</f>
        <v/>
      </c>
    </row>
    <row r="281" spans="1:8">
      <c r="A281" s="40" t="str">
        <f>IF(AND(OR(IFERROR(FIND("交行",基本信息!BS270),0)&gt;0,IFERROR(FIND("交通银行",基本信息!BS270),0)&gt;0),计算结果!BT270&gt;0),基本信息!BR270,"")</f>
        <v/>
      </c>
      <c r="B281" s="40" t="str">
        <f>IF($A281="","",基本信息!BQ270)</f>
        <v/>
      </c>
      <c r="C281" s="50" t="str">
        <f>IF($A281="","",计算结果!BT270-G281-H281)</f>
        <v/>
      </c>
      <c r="D281" s="40" t="str">
        <f>IF($A281="","",基本信息!BS270)</f>
        <v/>
      </c>
      <c r="F281" s="40" t="str">
        <f>IF($A281="","",基本信息!A270)</f>
        <v/>
      </c>
      <c r="G281" s="50" t="str">
        <f>IF($A281="","",计算结果!BI270+计算结果!BJ270)</f>
        <v/>
      </c>
      <c r="H281" s="50" t="str">
        <f>IF($A281="","",计算结果!BK270)</f>
        <v/>
      </c>
    </row>
    <row r="282" spans="1:8">
      <c r="A282" s="40" t="str">
        <f>IF(AND(OR(IFERROR(FIND("交行",基本信息!BS271),0)&gt;0,IFERROR(FIND("交通银行",基本信息!BS271),0)&gt;0),计算结果!BT271&gt;0),基本信息!BR271,"")</f>
        <v/>
      </c>
      <c r="B282" s="40" t="str">
        <f>IF($A282="","",基本信息!BQ271)</f>
        <v/>
      </c>
      <c r="C282" s="50" t="str">
        <f>IF($A282="","",计算结果!BT271-G282-H282)</f>
        <v/>
      </c>
      <c r="D282" s="40" t="str">
        <f>IF($A282="","",基本信息!BS271)</f>
        <v/>
      </c>
      <c r="F282" s="40" t="str">
        <f>IF($A282="","",基本信息!A271)</f>
        <v/>
      </c>
      <c r="G282" s="50" t="str">
        <f>IF($A282="","",计算结果!BI271+计算结果!BJ271)</f>
        <v/>
      </c>
      <c r="H282" s="50" t="str">
        <f>IF($A282="","",计算结果!BK271)</f>
        <v/>
      </c>
    </row>
    <row r="283" spans="1:8">
      <c r="A283" s="40" t="str">
        <f>IF(AND(OR(IFERROR(FIND("交行",基本信息!BS272),0)&gt;0,IFERROR(FIND("交通银行",基本信息!BS272),0)&gt;0),计算结果!BT272&gt;0),基本信息!BR272,"")</f>
        <v/>
      </c>
      <c r="B283" s="40" t="str">
        <f>IF($A283="","",基本信息!BQ272)</f>
        <v/>
      </c>
      <c r="C283" s="50" t="str">
        <f>IF($A283="","",计算结果!BT272-G283-H283)</f>
        <v/>
      </c>
      <c r="D283" s="40" t="str">
        <f>IF($A283="","",基本信息!BS272)</f>
        <v/>
      </c>
      <c r="F283" s="40" t="str">
        <f>IF($A283="","",基本信息!A272)</f>
        <v/>
      </c>
      <c r="G283" s="50" t="str">
        <f>IF($A283="","",计算结果!BI272+计算结果!BJ272)</f>
        <v/>
      </c>
      <c r="H283" s="50" t="str">
        <f>IF($A283="","",计算结果!BK272)</f>
        <v/>
      </c>
    </row>
    <row r="284" spans="1:8">
      <c r="A284" s="40" t="str">
        <f>IF(AND(OR(IFERROR(FIND("交行",基本信息!BS273),0)&gt;0,IFERROR(FIND("交通银行",基本信息!BS273),0)&gt;0),计算结果!BT273&gt;0),基本信息!BR273,"")</f>
        <v/>
      </c>
      <c r="B284" s="40" t="str">
        <f>IF($A284="","",基本信息!BQ273)</f>
        <v/>
      </c>
      <c r="C284" s="50" t="str">
        <f>IF($A284="","",计算结果!BT273-G284-H284)</f>
        <v/>
      </c>
      <c r="D284" s="40" t="str">
        <f>IF($A284="","",基本信息!BS273)</f>
        <v/>
      </c>
      <c r="F284" s="40" t="str">
        <f>IF($A284="","",基本信息!A273)</f>
        <v/>
      </c>
      <c r="G284" s="50" t="str">
        <f>IF($A284="","",计算结果!BI273+计算结果!BJ273)</f>
        <v/>
      </c>
      <c r="H284" s="50" t="str">
        <f>IF($A284="","",计算结果!BK273)</f>
        <v/>
      </c>
    </row>
    <row r="285" spans="1:8">
      <c r="A285" s="40" t="str">
        <f>IF(AND(OR(IFERROR(FIND("交行",基本信息!BS274),0)&gt;0,IFERROR(FIND("交通银行",基本信息!BS274),0)&gt;0),计算结果!BT274&gt;0),基本信息!BR274,"")</f>
        <v/>
      </c>
      <c r="B285" s="40" t="str">
        <f>IF($A285="","",基本信息!BQ274)</f>
        <v/>
      </c>
      <c r="C285" s="50" t="str">
        <f>IF($A285="","",计算结果!BT274-G285-H285)</f>
        <v/>
      </c>
      <c r="D285" s="40" t="str">
        <f>IF($A285="","",基本信息!BS274)</f>
        <v/>
      </c>
      <c r="F285" s="40" t="str">
        <f>IF($A285="","",基本信息!A274)</f>
        <v/>
      </c>
      <c r="G285" s="50" t="str">
        <f>IF($A285="","",计算结果!BI274+计算结果!BJ274)</f>
        <v/>
      </c>
      <c r="H285" s="50" t="str">
        <f>IF($A285="","",计算结果!BK274)</f>
        <v/>
      </c>
    </row>
    <row r="286" spans="1:8">
      <c r="A286" s="40" t="str">
        <f>IF(AND(OR(IFERROR(FIND("交行",基本信息!BS275),0)&gt;0,IFERROR(FIND("交通银行",基本信息!BS275),0)&gt;0),计算结果!BT275&gt;0),基本信息!BR275,"")</f>
        <v/>
      </c>
      <c r="B286" s="40" t="str">
        <f>IF($A286="","",基本信息!BQ275)</f>
        <v/>
      </c>
      <c r="C286" s="50" t="str">
        <f>IF($A286="","",计算结果!BT275-G286-H286)</f>
        <v/>
      </c>
      <c r="D286" s="40" t="str">
        <f>IF($A286="","",基本信息!BS275)</f>
        <v/>
      </c>
      <c r="F286" s="40" t="str">
        <f>IF($A286="","",基本信息!A275)</f>
        <v/>
      </c>
      <c r="G286" s="50" t="str">
        <f>IF($A286="","",计算结果!BI275+计算结果!BJ275)</f>
        <v/>
      </c>
      <c r="H286" s="50" t="str">
        <f>IF($A286="","",计算结果!BK275)</f>
        <v/>
      </c>
    </row>
    <row r="287" spans="1:8">
      <c r="A287" s="40" t="str">
        <f>IF(AND(OR(IFERROR(FIND("交行",基本信息!BS276),0)&gt;0,IFERROR(FIND("交通银行",基本信息!BS276),0)&gt;0),计算结果!BT276&gt;0),基本信息!BR276,"")</f>
        <v/>
      </c>
      <c r="B287" s="40" t="str">
        <f>IF($A287="","",基本信息!BQ276)</f>
        <v/>
      </c>
      <c r="C287" s="50" t="str">
        <f>IF($A287="","",计算结果!BT276-G287-H287)</f>
        <v/>
      </c>
      <c r="D287" s="40" t="str">
        <f>IF($A287="","",基本信息!BS276)</f>
        <v/>
      </c>
      <c r="F287" s="40" t="str">
        <f>IF($A287="","",基本信息!A276)</f>
        <v/>
      </c>
      <c r="G287" s="50" t="str">
        <f>IF($A287="","",计算结果!BI276+计算结果!BJ276)</f>
        <v/>
      </c>
      <c r="H287" s="50" t="str">
        <f>IF($A287="","",计算结果!BK276)</f>
        <v/>
      </c>
    </row>
    <row r="288" spans="1:8">
      <c r="A288" s="40" t="str">
        <f>IF(AND(OR(IFERROR(FIND("交行",基本信息!BS277),0)&gt;0,IFERROR(FIND("交通银行",基本信息!BS277),0)&gt;0),计算结果!BT277&gt;0),基本信息!BR277,"")</f>
        <v/>
      </c>
      <c r="B288" s="40" t="str">
        <f>IF($A288="","",基本信息!BQ277)</f>
        <v/>
      </c>
      <c r="C288" s="50" t="str">
        <f>IF($A288="","",计算结果!BT277-G288-H288)</f>
        <v/>
      </c>
      <c r="D288" s="40" t="str">
        <f>IF($A288="","",基本信息!BS277)</f>
        <v/>
      </c>
      <c r="F288" s="40" t="str">
        <f>IF($A288="","",基本信息!A277)</f>
        <v/>
      </c>
      <c r="G288" s="50" t="str">
        <f>IF($A288="","",计算结果!BI277+计算结果!BJ277)</f>
        <v/>
      </c>
      <c r="H288" s="50" t="str">
        <f>IF($A288="","",计算结果!BK277)</f>
        <v/>
      </c>
    </row>
    <row r="289" spans="1:8">
      <c r="A289" s="40" t="str">
        <f>IF(AND(OR(IFERROR(FIND("交行",基本信息!BS278),0)&gt;0,IFERROR(FIND("交通银行",基本信息!BS278),0)&gt;0),计算结果!BT278&gt;0),基本信息!BR278,"")</f>
        <v/>
      </c>
      <c r="B289" s="40" t="str">
        <f>IF($A289="","",基本信息!BQ278)</f>
        <v/>
      </c>
      <c r="C289" s="50" t="str">
        <f>IF($A289="","",计算结果!BT278-G289-H289)</f>
        <v/>
      </c>
      <c r="D289" s="40" t="str">
        <f>IF($A289="","",基本信息!BS278)</f>
        <v/>
      </c>
      <c r="F289" s="40" t="str">
        <f>IF($A289="","",基本信息!A278)</f>
        <v/>
      </c>
      <c r="G289" s="50" t="str">
        <f>IF($A289="","",计算结果!BI278+计算结果!BJ278)</f>
        <v/>
      </c>
      <c r="H289" s="50" t="str">
        <f>IF($A289="","",计算结果!BK278)</f>
        <v/>
      </c>
    </row>
    <row r="290" spans="1:8">
      <c r="A290" s="40" t="str">
        <f>IF(AND(OR(IFERROR(FIND("交行",基本信息!BS279),0)&gt;0,IFERROR(FIND("交通银行",基本信息!BS279),0)&gt;0),计算结果!BT279&gt;0),基本信息!BR279,"")</f>
        <v/>
      </c>
      <c r="B290" s="40" t="str">
        <f>IF($A290="","",基本信息!BQ279)</f>
        <v/>
      </c>
      <c r="C290" s="50" t="str">
        <f>IF($A290="","",计算结果!BT279-G290-H290)</f>
        <v/>
      </c>
      <c r="D290" s="40" t="str">
        <f>IF($A290="","",基本信息!BS279)</f>
        <v/>
      </c>
      <c r="F290" s="40" t="str">
        <f>IF($A290="","",基本信息!A279)</f>
        <v/>
      </c>
      <c r="G290" s="50" t="str">
        <f>IF($A290="","",计算结果!BI279+计算结果!BJ279)</f>
        <v/>
      </c>
      <c r="H290" s="50" t="str">
        <f>IF($A290="","",计算结果!BK279)</f>
        <v/>
      </c>
    </row>
    <row r="291" spans="1:8">
      <c r="A291" s="40" t="str">
        <f>IF(AND(OR(IFERROR(FIND("交行",基本信息!BS280),0)&gt;0,IFERROR(FIND("交通银行",基本信息!BS280),0)&gt;0),计算结果!BT280&gt;0),基本信息!BR280,"")</f>
        <v/>
      </c>
      <c r="B291" s="40" t="str">
        <f>IF($A291="","",基本信息!BQ280)</f>
        <v/>
      </c>
      <c r="C291" s="50" t="str">
        <f>IF($A291="","",计算结果!BT280-G291-H291)</f>
        <v/>
      </c>
      <c r="D291" s="40" t="str">
        <f>IF($A291="","",基本信息!BS280)</f>
        <v/>
      </c>
      <c r="F291" s="40" t="str">
        <f>IF($A291="","",基本信息!A280)</f>
        <v/>
      </c>
      <c r="G291" s="50" t="str">
        <f>IF($A291="","",计算结果!BI280+计算结果!BJ280)</f>
        <v/>
      </c>
      <c r="H291" s="50" t="str">
        <f>IF($A291="","",计算结果!BK280)</f>
        <v/>
      </c>
    </row>
    <row r="292" spans="1:8">
      <c r="A292" s="40" t="str">
        <f>IF(AND(OR(IFERROR(FIND("交行",基本信息!BS281),0)&gt;0,IFERROR(FIND("交通银行",基本信息!BS281),0)&gt;0),计算结果!BT281&gt;0),基本信息!BR281,"")</f>
        <v/>
      </c>
      <c r="B292" s="40" t="str">
        <f>IF($A292="","",基本信息!BQ281)</f>
        <v/>
      </c>
      <c r="C292" s="50" t="str">
        <f>IF($A292="","",计算结果!BT281-G292-H292)</f>
        <v/>
      </c>
      <c r="D292" s="40" t="str">
        <f>IF($A292="","",基本信息!BS281)</f>
        <v/>
      </c>
      <c r="F292" s="40" t="str">
        <f>IF($A292="","",基本信息!A281)</f>
        <v/>
      </c>
      <c r="G292" s="50" t="str">
        <f>IF($A292="","",计算结果!BI281+计算结果!BJ281)</f>
        <v/>
      </c>
      <c r="H292" s="50" t="str">
        <f>IF($A292="","",计算结果!BK281)</f>
        <v/>
      </c>
    </row>
    <row r="293" spans="1:8">
      <c r="A293" s="40" t="str">
        <f>IF(AND(OR(IFERROR(FIND("交行",基本信息!BS282),0)&gt;0,IFERROR(FIND("交通银行",基本信息!BS282),0)&gt;0),计算结果!BT282&gt;0),基本信息!BR282,"")</f>
        <v/>
      </c>
      <c r="B293" s="40" t="str">
        <f>IF($A293="","",基本信息!BQ282)</f>
        <v/>
      </c>
      <c r="C293" s="50" t="str">
        <f>IF($A293="","",计算结果!BT282-G293-H293)</f>
        <v/>
      </c>
      <c r="D293" s="40" t="str">
        <f>IF($A293="","",基本信息!BS282)</f>
        <v/>
      </c>
      <c r="F293" s="40" t="str">
        <f>IF($A293="","",基本信息!A282)</f>
        <v/>
      </c>
      <c r="G293" s="50" t="str">
        <f>IF($A293="","",计算结果!BI282+计算结果!BJ282)</f>
        <v/>
      </c>
      <c r="H293" s="50" t="str">
        <f>IF($A293="","",计算结果!BK282)</f>
        <v/>
      </c>
    </row>
    <row r="294" spans="1:8">
      <c r="A294" s="40" t="str">
        <f>IF(AND(OR(IFERROR(FIND("交行",基本信息!BS283),0)&gt;0,IFERROR(FIND("交通银行",基本信息!BS283),0)&gt;0),计算结果!BT283&gt;0),基本信息!BR283,"")</f>
        <v/>
      </c>
      <c r="B294" s="40" t="str">
        <f>IF($A294="","",基本信息!BQ283)</f>
        <v/>
      </c>
      <c r="C294" s="50" t="str">
        <f>IF($A294="","",计算结果!BT283-G294-H294)</f>
        <v/>
      </c>
      <c r="D294" s="40" t="str">
        <f>IF($A294="","",基本信息!BS283)</f>
        <v/>
      </c>
      <c r="F294" s="40" t="str">
        <f>IF($A294="","",基本信息!A283)</f>
        <v/>
      </c>
      <c r="G294" s="50" t="str">
        <f>IF($A294="","",计算结果!BI283+计算结果!BJ283)</f>
        <v/>
      </c>
      <c r="H294" s="50" t="str">
        <f>IF($A294="","",计算结果!BK283)</f>
        <v/>
      </c>
    </row>
    <row r="295" spans="1:8">
      <c r="A295" s="40" t="str">
        <f>IF(AND(OR(IFERROR(FIND("交行",基本信息!BS284),0)&gt;0,IFERROR(FIND("交通银行",基本信息!BS284),0)&gt;0),计算结果!BT284&gt;0),基本信息!BR284,"")</f>
        <v/>
      </c>
      <c r="B295" s="40" t="str">
        <f>IF($A295="","",基本信息!BQ284)</f>
        <v/>
      </c>
      <c r="C295" s="50" t="str">
        <f>IF($A295="","",计算结果!BT284-G295-H295)</f>
        <v/>
      </c>
      <c r="D295" s="40" t="str">
        <f>IF($A295="","",基本信息!BS284)</f>
        <v/>
      </c>
      <c r="F295" s="40" t="str">
        <f>IF($A295="","",基本信息!A284)</f>
        <v/>
      </c>
      <c r="G295" s="50" t="str">
        <f>IF($A295="","",计算结果!BI284+计算结果!BJ284)</f>
        <v/>
      </c>
      <c r="H295" s="50" t="str">
        <f>IF($A295="","",计算结果!BK284)</f>
        <v/>
      </c>
    </row>
    <row r="296" spans="1:8">
      <c r="A296" s="40" t="str">
        <f>IF(AND(OR(IFERROR(FIND("交行",基本信息!BS285),0)&gt;0,IFERROR(FIND("交通银行",基本信息!BS285),0)&gt;0),计算结果!BT285&gt;0),基本信息!BR285,"")</f>
        <v/>
      </c>
      <c r="B296" s="40" t="str">
        <f>IF($A296="","",基本信息!BQ285)</f>
        <v/>
      </c>
      <c r="C296" s="50" t="str">
        <f>IF($A296="","",计算结果!BT285-G296-H296)</f>
        <v/>
      </c>
      <c r="D296" s="40" t="str">
        <f>IF($A296="","",基本信息!BS285)</f>
        <v/>
      </c>
      <c r="F296" s="40" t="str">
        <f>IF($A296="","",基本信息!A285)</f>
        <v/>
      </c>
      <c r="G296" s="50" t="str">
        <f>IF($A296="","",计算结果!BI285+计算结果!BJ285)</f>
        <v/>
      </c>
      <c r="H296" s="50" t="str">
        <f>IF($A296="","",计算结果!BK285)</f>
        <v/>
      </c>
    </row>
    <row r="297" spans="1:8">
      <c r="A297" s="40" t="str">
        <f>IF(AND(OR(IFERROR(FIND("交行",基本信息!BS286),0)&gt;0,IFERROR(FIND("交通银行",基本信息!BS286),0)&gt;0),计算结果!BT286&gt;0),基本信息!BR286,"")</f>
        <v/>
      </c>
      <c r="B297" s="40" t="str">
        <f>IF($A297="","",基本信息!BQ286)</f>
        <v/>
      </c>
      <c r="C297" s="50" t="str">
        <f>IF($A297="","",计算结果!BT286-G297-H297)</f>
        <v/>
      </c>
      <c r="D297" s="40" t="str">
        <f>IF($A297="","",基本信息!BS286)</f>
        <v/>
      </c>
      <c r="F297" s="40" t="str">
        <f>IF($A297="","",基本信息!A286)</f>
        <v/>
      </c>
      <c r="G297" s="50" t="str">
        <f>IF($A297="","",计算结果!BI286+计算结果!BJ286)</f>
        <v/>
      </c>
      <c r="H297" s="50" t="str">
        <f>IF($A297="","",计算结果!BK286)</f>
        <v/>
      </c>
    </row>
    <row r="298" spans="1:8">
      <c r="A298" s="40" t="str">
        <f>IF(AND(OR(IFERROR(FIND("交行",基本信息!BS287),0)&gt;0,IFERROR(FIND("交通银行",基本信息!BS287),0)&gt;0),计算结果!BT287&gt;0),基本信息!BR287,"")</f>
        <v/>
      </c>
      <c r="B298" s="40" t="str">
        <f>IF($A298="","",基本信息!BQ287)</f>
        <v/>
      </c>
      <c r="C298" s="50" t="str">
        <f>IF($A298="","",计算结果!BT287-G298-H298)</f>
        <v/>
      </c>
      <c r="D298" s="40" t="str">
        <f>IF($A298="","",基本信息!BS287)</f>
        <v/>
      </c>
      <c r="F298" s="40" t="str">
        <f>IF($A298="","",基本信息!A287)</f>
        <v/>
      </c>
      <c r="G298" s="50" t="str">
        <f>IF($A298="","",计算结果!BI287+计算结果!BJ287)</f>
        <v/>
      </c>
      <c r="H298" s="50" t="str">
        <f>IF($A298="","",计算结果!BK287)</f>
        <v/>
      </c>
    </row>
    <row r="299" spans="1:8">
      <c r="A299" s="40" t="str">
        <f>IF(AND(OR(IFERROR(FIND("交行",基本信息!BS288),0)&gt;0,IFERROR(FIND("交通银行",基本信息!BS288),0)&gt;0),计算结果!BT288&gt;0),基本信息!BR288,"")</f>
        <v/>
      </c>
      <c r="B299" s="40" t="str">
        <f>IF($A299="","",基本信息!BQ288)</f>
        <v/>
      </c>
      <c r="C299" s="50" t="str">
        <f>IF($A299="","",计算结果!BT288-G299-H299)</f>
        <v/>
      </c>
      <c r="D299" s="40" t="str">
        <f>IF($A299="","",基本信息!BS288)</f>
        <v/>
      </c>
      <c r="F299" s="40" t="str">
        <f>IF($A299="","",基本信息!A288)</f>
        <v/>
      </c>
      <c r="G299" s="50" t="str">
        <f>IF($A299="","",计算结果!BI288+计算结果!BJ288)</f>
        <v/>
      </c>
      <c r="H299" s="50" t="str">
        <f>IF($A299="","",计算结果!BK288)</f>
        <v/>
      </c>
    </row>
    <row r="300" spans="1:8">
      <c r="A300" s="40" t="str">
        <f>IF(AND(OR(IFERROR(FIND("交行",基本信息!BS289),0)&gt;0,IFERROR(FIND("交通银行",基本信息!BS289),0)&gt;0),计算结果!BT289&gt;0),基本信息!BR289,"")</f>
        <v/>
      </c>
      <c r="B300" s="40" t="str">
        <f>IF($A300="","",基本信息!BQ289)</f>
        <v/>
      </c>
      <c r="C300" s="50" t="str">
        <f>IF($A300="","",计算结果!BT289-G300-H300)</f>
        <v/>
      </c>
      <c r="D300" s="40" t="str">
        <f>IF($A300="","",基本信息!BS289)</f>
        <v/>
      </c>
      <c r="F300" s="40" t="str">
        <f>IF($A300="","",基本信息!A289)</f>
        <v/>
      </c>
      <c r="G300" s="50" t="str">
        <f>IF($A300="","",计算结果!BI289+计算结果!BJ289)</f>
        <v/>
      </c>
      <c r="H300" s="50" t="str">
        <f>IF($A300="","",计算结果!BK289)</f>
        <v/>
      </c>
    </row>
    <row r="301" spans="1:8">
      <c r="A301" s="40" t="str">
        <f>IF(AND(OR(IFERROR(FIND("交行",基本信息!BS290),0)&gt;0,IFERROR(FIND("交通银行",基本信息!BS290),0)&gt;0),计算结果!BT290&gt;0),基本信息!BR290,"")</f>
        <v/>
      </c>
      <c r="B301" s="40" t="str">
        <f>IF($A301="","",基本信息!BQ290)</f>
        <v/>
      </c>
      <c r="C301" s="50" t="str">
        <f>IF($A301="","",计算结果!BT290-G301-H301)</f>
        <v/>
      </c>
      <c r="D301" s="40" t="str">
        <f>IF($A301="","",基本信息!BS290)</f>
        <v/>
      </c>
      <c r="F301" s="40" t="str">
        <f>IF($A301="","",基本信息!A290)</f>
        <v/>
      </c>
      <c r="G301" s="50" t="str">
        <f>IF($A301="","",计算结果!BI290+计算结果!BJ290)</f>
        <v/>
      </c>
      <c r="H301" s="50" t="str">
        <f>IF($A301="","",计算结果!BK290)</f>
        <v/>
      </c>
    </row>
    <row r="302" spans="1:8">
      <c r="A302" s="40" t="str">
        <f>IF(AND(OR(IFERROR(FIND("交行",基本信息!BS291),0)&gt;0,IFERROR(FIND("交通银行",基本信息!BS291),0)&gt;0),计算结果!BT291&gt;0),基本信息!BR291,"")</f>
        <v/>
      </c>
      <c r="B302" s="40" t="str">
        <f>IF($A302="","",基本信息!BQ291)</f>
        <v/>
      </c>
      <c r="C302" s="50" t="str">
        <f>IF($A302="","",计算结果!BT291-G302-H302)</f>
        <v/>
      </c>
      <c r="D302" s="40" t="str">
        <f>IF($A302="","",基本信息!BS291)</f>
        <v/>
      </c>
      <c r="F302" s="40" t="str">
        <f>IF($A302="","",基本信息!A291)</f>
        <v/>
      </c>
      <c r="G302" s="50" t="str">
        <f>IF($A302="","",计算结果!BI291+计算结果!BJ291)</f>
        <v/>
      </c>
      <c r="H302" s="50" t="str">
        <f>IF($A302="","",计算结果!BK291)</f>
        <v/>
      </c>
    </row>
    <row r="303" spans="1:8">
      <c r="A303" s="40" t="str">
        <f>IF(AND(OR(IFERROR(FIND("交行",基本信息!BS292),0)&gt;0,IFERROR(FIND("交通银行",基本信息!BS292),0)&gt;0),计算结果!BT292&gt;0),基本信息!BR292,"")</f>
        <v/>
      </c>
      <c r="B303" s="40" t="str">
        <f>IF($A303="","",基本信息!BQ292)</f>
        <v/>
      </c>
      <c r="C303" s="50" t="str">
        <f>IF($A303="","",计算结果!BT292-G303-H303)</f>
        <v/>
      </c>
      <c r="D303" s="40" t="str">
        <f>IF($A303="","",基本信息!BS292)</f>
        <v/>
      </c>
      <c r="F303" s="40" t="str">
        <f>IF($A303="","",基本信息!A292)</f>
        <v/>
      </c>
      <c r="G303" s="50" t="str">
        <f>IF($A303="","",计算结果!BI292+计算结果!BJ292)</f>
        <v/>
      </c>
      <c r="H303" s="50" t="str">
        <f>IF($A303="","",计算结果!BK292)</f>
        <v/>
      </c>
    </row>
    <row r="304" spans="1:8">
      <c r="A304" s="40" t="str">
        <f>IF(AND(OR(IFERROR(FIND("交行",基本信息!BS293),0)&gt;0,IFERROR(FIND("交通银行",基本信息!BS293),0)&gt;0),计算结果!BT293&gt;0),基本信息!BR293,"")</f>
        <v/>
      </c>
      <c r="B304" s="40" t="str">
        <f>IF($A304="","",基本信息!BQ293)</f>
        <v/>
      </c>
      <c r="C304" s="50" t="str">
        <f>IF($A304="","",计算结果!BT293-G304-H304)</f>
        <v/>
      </c>
      <c r="D304" s="40" t="str">
        <f>IF($A304="","",基本信息!BS293)</f>
        <v/>
      </c>
      <c r="F304" s="40" t="str">
        <f>IF($A304="","",基本信息!A293)</f>
        <v/>
      </c>
      <c r="G304" s="50" t="str">
        <f>IF($A304="","",计算结果!BI293+计算结果!BJ293)</f>
        <v/>
      </c>
      <c r="H304" s="50" t="str">
        <f>IF($A304="","",计算结果!BK293)</f>
        <v/>
      </c>
    </row>
    <row r="305" spans="1:8">
      <c r="A305" s="40" t="str">
        <f>IF(AND(OR(IFERROR(FIND("交行",基本信息!BS294),0)&gt;0,IFERROR(FIND("交通银行",基本信息!BS294),0)&gt;0),计算结果!BT294&gt;0),基本信息!BR294,"")</f>
        <v/>
      </c>
      <c r="B305" s="40" t="str">
        <f>IF($A305="","",基本信息!BQ294)</f>
        <v/>
      </c>
      <c r="C305" s="50" t="str">
        <f>IF($A305="","",计算结果!BT294-G305-H305)</f>
        <v/>
      </c>
      <c r="D305" s="40" t="str">
        <f>IF($A305="","",基本信息!BS294)</f>
        <v/>
      </c>
      <c r="F305" s="40" t="str">
        <f>IF($A305="","",基本信息!A294)</f>
        <v/>
      </c>
      <c r="G305" s="50" t="str">
        <f>IF($A305="","",计算结果!BI294+计算结果!BJ294)</f>
        <v/>
      </c>
      <c r="H305" s="50" t="str">
        <f>IF($A305="","",计算结果!BK294)</f>
        <v/>
      </c>
    </row>
    <row r="306" spans="1:8">
      <c r="A306" s="40" t="str">
        <f>IF(AND(OR(IFERROR(FIND("交行",基本信息!BS295),0)&gt;0,IFERROR(FIND("交通银行",基本信息!BS295),0)&gt;0),计算结果!BT295&gt;0),基本信息!BR295,"")</f>
        <v/>
      </c>
      <c r="B306" s="40" t="str">
        <f>IF($A306="","",基本信息!BQ295)</f>
        <v/>
      </c>
      <c r="C306" s="50" t="str">
        <f>IF($A306="","",计算结果!BT295-G306-H306)</f>
        <v/>
      </c>
      <c r="D306" s="40" t="str">
        <f>IF($A306="","",基本信息!BS295)</f>
        <v/>
      </c>
      <c r="F306" s="40" t="str">
        <f>IF($A306="","",基本信息!A295)</f>
        <v/>
      </c>
      <c r="G306" s="50" t="str">
        <f>IF($A306="","",计算结果!BI295+计算结果!BJ295)</f>
        <v/>
      </c>
      <c r="H306" s="50" t="str">
        <f>IF($A306="","",计算结果!BK295)</f>
        <v/>
      </c>
    </row>
    <row r="307" spans="1:8">
      <c r="A307" s="40" t="str">
        <f>IF(AND(OR(IFERROR(FIND("交行",基本信息!BS296),0)&gt;0,IFERROR(FIND("交通银行",基本信息!BS296),0)&gt;0),计算结果!BT296&gt;0),基本信息!BR296,"")</f>
        <v/>
      </c>
      <c r="B307" s="40" t="str">
        <f>IF($A307="","",基本信息!BQ296)</f>
        <v/>
      </c>
      <c r="C307" s="50" t="str">
        <f>IF($A307="","",计算结果!BT296-G307-H307)</f>
        <v/>
      </c>
      <c r="D307" s="40" t="str">
        <f>IF($A307="","",基本信息!BS296)</f>
        <v/>
      </c>
      <c r="F307" s="40" t="str">
        <f>IF($A307="","",基本信息!A296)</f>
        <v/>
      </c>
      <c r="G307" s="50" t="str">
        <f>IF($A307="","",计算结果!BI296+计算结果!BJ296)</f>
        <v/>
      </c>
      <c r="H307" s="50" t="str">
        <f>IF($A307="","",计算结果!BK296)</f>
        <v/>
      </c>
    </row>
    <row r="308" spans="1:8">
      <c r="A308" s="40" t="str">
        <f>IF(AND(OR(IFERROR(FIND("交行",基本信息!BS297),0)&gt;0,IFERROR(FIND("交通银行",基本信息!BS297),0)&gt;0),计算结果!BT297&gt;0),基本信息!BR297,"")</f>
        <v/>
      </c>
      <c r="B308" s="40" t="str">
        <f>IF($A308="","",基本信息!BQ297)</f>
        <v/>
      </c>
      <c r="C308" s="50" t="str">
        <f>IF($A308="","",计算结果!BT297-G308-H308)</f>
        <v/>
      </c>
      <c r="D308" s="40" t="str">
        <f>IF($A308="","",基本信息!BS297)</f>
        <v/>
      </c>
      <c r="F308" s="40" t="str">
        <f>IF($A308="","",基本信息!A297)</f>
        <v/>
      </c>
      <c r="G308" s="50" t="str">
        <f>IF($A308="","",计算结果!BI297+计算结果!BJ297)</f>
        <v/>
      </c>
      <c r="H308" s="50" t="str">
        <f>IF($A308="","",计算结果!BK297)</f>
        <v/>
      </c>
    </row>
    <row r="309" spans="1:8">
      <c r="A309" s="40" t="str">
        <f>IF(AND(OR(IFERROR(FIND("交行",基本信息!BS298),0)&gt;0,IFERROR(FIND("交通银行",基本信息!BS298),0)&gt;0),计算结果!BT298&gt;0),基本信息!BR298,"")</f>
        <v/>
      </c>
      <c r="B309" s="40" t="str">
        <f>IF($A309="","",基本信息!BQ298)</f>
        <v/>
      </c>
      <c r="C309" s="50" t="str">
        <f>IF($A309="","",计算结果!BT298-G309-H309)</f>
        <v/>
      </c>
      <c r="D309" s="40" t="str">
        <f>IF($A309="","",基本信息!BS298)</f>
        <v/>
      </c>
      <c r="F309" s="40" t="str">
        <f>IF($A309="","",基本信息!A298)</f>
        <v/>
      </c>
      <c r="G309" s="50" t="str">
        <f>IF($A309="","",计算结果!BI298+计算结果!BJ298)</f>
        <v/>
      </c>
      <c r="H309" s="50" t="str">
        <f>IF($A309="","",计算结果!BK298)</f>
        <v/>
      </c>
    </row>
    <row r="310" spans="1:8">
      <c r="A310" s="40" t="str">
        <f>IF(AND(OR(IFERROR(FIND("交行",基本信息!BS299),0)&gt;0,IFERROR(FIND("交通银行",基本信息!BS299),0)&gt;0),计算结果!BT299&gt;0),基本信息!BR299,"")</f>
        <v/>
      </c>
      <c r="B310" s="40" t="str">
        <f>IF($A310="","",基本信息!BQ299)</f>
        <v/>
      </c>
      <c r="C310" s="50" t="str">
        <f>IF($A310="","",计算结果!BT299-G310-H310)</f>
        <v/>
      </c>
      <c r="D310" s="40" t="str">
        <f>IF($A310="","",基本信息!BS299)</f>
        <v/>
      </c>
      <c r="F310" s="40" t="str">
        <f>IF($A310="","",基本信息!A299)</f>
        <v/>
      </c>
      <c r="G310" s="50" t="str">
        <f>IF($A310="","",计算结果!BI299+计算结果!BJ299)</f>
        <v/>
      </c>
      <c r="H310" s="50" t="str">
        <f>IF($A310="","",计算结果!BK299)</f>
        <v/>
      </c>
    </row>
    <row r="311" spans="1:8">
      <c r="A311" s="40" t="str">
        <f>IF(AND(OR(IFERROR(FIND("交行",基本信息!BS300),0)&gt;0,IFERROR(FIND("交通银行",基本信息!BS300),0)&gt;0),计算结果!BT300&gt;0),基本信息!BR300,"")</f>
        <v/>
      </c>
      <c r="B311" s="40" t="str">
        <f>IF($A311="","",基本信息!BQ300)</f>
        <v/>
      </c>
      <c r="C311" s="50" t="str">
        <f>IF($A311="","",计算结果!BT300-G311-H311)</f>
        <v/>
      </c>
      <c r="D311" s="40" t="str">
        <f>IF($A311="","",基本信息!BS300)</f>
        <v/>
      </c>
      <c r="F311" s="40" t="str">
        <f>IF($A311="","",基本信息!A300)</f>
        <v/>
      </c>
      <c r="G311" s="50" t="str">
        <f>IF($A311="","",计算结果!BI300+计算结果!BJ300)</f>
        <v/>
      </c>
      <c r="H311" s="50" t="str">
        <f>IF($A311="","",计算结果!BK300)</f>
        <v/>
      </c>
    </row>
    <row r="312" spans="1:8">
      <c r="A312" s="40" t="str">
        <f>IF(AND(OR(IFERROR(FIND("交行",基本信息!BS301),0)&gt;0,IFERROR(FIND("交通银行",基本信息!BS301),0)&gt;0),计算结果!BT301&gt;0),基本信息!BR301,"")</f>
        <v/>
      </c>
      <c r="B312" s="40" t="str">
        <f>IF($A312="","",基本信息!BQ301)</f>
        <v/>
      </c>
      <c r="C312" s="50" t="str">
        <f>IF($A312="","",计算结果!BT301-G312-H312)</f>
        <v/>
      </c>
      <c r="D312" s="40" t="str">
        <f>IF($A312="","",基本信息!BS301)</f>
        <v/>
      </c>
      <c r="F312" s="40" t="str">
        <f>IF($A312="","",基本信息!A301)</f>
        <v/>
      </c>
      <c r="G312" s="50" t="str">
        <f>IF($A312="","",计算结果!BI301+计算结果!BJ301)</f>
        <v/>
      </c>
      <c r="H312" s="50" t="str">
        <f>IF($A312="","",计算结果!BK301)</f>
        <v/>
      </c>
    </row>
    <row r="313" spans="1:8">
      <c r="A313" s="40" t="str">
        <f>IF(AND(OR(IFERROR(FIND("交行",基本信息!BS302),0)&gt;0,IFERROR(FIND("交通银行",基本信息!BS302),0)&gt;0),计算结果!BT302&gt;0),基本信息!BR302,"")</f>
        <v/>
      </c>
      <c r="B313" s="40" t="str">
        <f>IF($A313="","",基本信息!BQ302)</f>
        <v/>
      </c>
      <c r="C313" s="50" t="str">
        <f>IF($A313="","",计算结果!BT302-G313-H313)</f>
        <v/>
      </c>
      <c r="D313" s="40" t="str">
        <f>IF($A313="","",基本信息!BS302)</f>
        <v/>
      </c>
      <c r="F313" s="40" t="str">
        <f>IF($A313="","",基本信息!A302)</f>
        <v/>
      </c>
      <c r="G313" s="50" t="str">
        <f>IF($A313="","",计算结果!BI302+计算结果!BJ302)</f>
        <v/>
      </c>
      <c r="H313" s="50" t="str">
        <f>IF($A313="","",计算结果!BK302)</f>
        <v/>
      </c>
    </row>
    <row r="314" spans="1:8">
      <c r="A314" s="40" t="str">
        <f>IF(AND(OR(IFERROR(FIND("交行",基本信息!BS303),0)&gt;0,IFERROR(FIND("交通银行",基本信息!BS303),0)&gt;0),计算结果!BT303&gt;0),基本信息!BR303,"")</f>
        <v/>
      </c>
      <c r="B314" s="40" t="str">
        <f>IF($A314="","",基本信息!BQ303)</f>
        <v/>
      </c>
      <c r="C314" s="50" t="str">
        <f>IF($A314="","",计算结果!BT303-G314-H314)</f>
        <v/>
      </c>
      <c r="D314" s="40" t="str">
        <f>IF($A314="","",基本信息!BS303)</f>
        <v/>
      </c>
      <c r="F314" s="40" t="str">
        <f>IF($A314="","",基本信息!A303)</f>
        <v/>
      </c>
      <c r="G314" s="50" t="str">
        <f>IF($A314="","",计算结果!BI303+计算结果!BJ303)</f>
        <v/>
      </c>
      <c r="H314" s="50" t="str">
        <f>IF($A314="","",计算结果!BK303)</f>
        <v/>
      </c>
    </row>
    <row r="315" spans="1:8">
      <c r="A315" s="40" t="str">
        <f>IF(AND(OR(IFERROR(FIND("交行",基本信息!BS304),0)&gt;0,IFERROR(FIND("交通银行",基本信息!BS304),0)&gt;0),计算结果!BT304&gt;0),基本信息!BR304,"")</f>
        <v/>
      </c>
      <c r="B315" s="40" t="str">
        <f>IF($A315="","",基本信息!BQ304)</f>
        <v/>
      </c>
      <c r="C315" s="50" t="str">
        <f>IF($A315="","",计算结果!BT304-G315-H315)</f>
        <v/>
      </c>
      <c r="D315" s="40" t="str">
        <f>IF($A315="","",基本信息!BS304)</f>
        <v/>
      </c>
      <c r="F315" s="40" t="str">
        <f>IF($A315="","",基本信息!A304)</f>
        <v/>
      </c>
      <c r="G315" s="50" t="str">
        <f>IF($A315="","",计算结果!BI304+计算结果!BJ304)</f>
        <v/>
      </c>
      <c r="H315" s="50" t="str">
        <f>IF($A315="","",计算结果!BK304)</f>
        <v/>
      </c>
    </row>
    <row r="316" spans="1:8">
      <c r="A316" s="40" t="str">
        <f>IF(AND(OR(IFERROR(FIND("交行",基本信息!BS305),0)&gt;0,IFERROR(FIND("交通银行",基本信息!BS305),0)&gt;0),计算结果!BT305&gt;0),基本信息!BR305,"")</f>
        <v/>
      </c>
      <c r="B316" s="40" t="str">
        <f>IF($A316="","",基本信息!BQ305)</f>
        <v/>
      </c>
      <c r="C316" s="50" t="str">
        <f>IF($A316="","",计算结果!BT305-G316-H316)</f>
        <v/>
      </c>
      <c r="D316" s="40" t="str">
        <f>IF($A316="","",基本信息!BS305)</f>
        <v/>
      </c>
      <c r="F316" s="40" t="str">
        <f>IF($A316="","",基本信息!A305)</f>
        <v/>
      </c>
      <c r="G316" s="50" t="str">
        <f>IF($A316="","",计算结果!BI305+计算结果!BJ305)</f>
        <v/>
      </c>
      <c r="H316" s="50" t="str">
        <f>IF($A316="","",计算结果!BK305)</f>
        <v/>
      </c>
    </row>
    <row r="317" spans="1:8">
      <c r="A317" s="40" t="str">
        <f>IF(AND(OR(IFERROR(FIND("交行",基本信息!BS306),0)&gt;0,IFERROR(FIND("交通银行",基本信息!BS306),0)&gt;0),计算结果!BT306&gt;0),基本信息!BR306,"")</f>
        <v/>
      </c>
      <c r="B317" s="40" t="str">
        <f>IF($A317="","",基本信息!BQ306)</f>
        <v/>
      </c>
      <c r="C317" s="50" t="str">
        <f>IF($A317="","",计算结果!BT306-G317-H317)</f>
        <v/>
      </c>
      <c r="D317" s="40" t="str">
        <f>IF($A317="","",基本信息!BS306)</f>
        <v/>
      </c>
      <c r="F317" s="40" t="str">
        <f>IF($A317="","",基本信息!A306)</f>
        <v/>
      </c>
      <c r="G317" s="50" t="str">
        <f>IF($A317="","",计算结果!BI306+计算结果!BJ306)</f>
        <v/>
      </c>
      <c r="H317" s="50" t="str">
        <f>IF($A317="","",计算结果!BK306)</f>
        <v/>
      </c>
    </row>
    <row r="318" spans="1:8">
      <c r="A318" s="40" t="str">
        <f>IF(AND(OR(IFERROR(FIND("交行",基本信息!BS307),0)&gt;0,IFERROR(FIND("交通银行",基本信息!BS307),0)&gt;0),计算结果!BT307&gt;0),基本信息!BR307,"")</f>
        <v/>
      </c>
      <c r="B318" s="40" t="str">
        <f>IF($A318="","",基本信息!BQ307)</f>
        <v/>
      </c>
      <c r="C318" s="50" t="str">
        <f>IF($A318="","",计算结果!BT307-G318-H318)</f>
        <v/>
      </c>
      <c r="D318" s="40" t="str">
        <f>IF($A318="","",基本信息!BS307)</f>
        <v/>
      </c>
      <c r="F318" s="40" t="str">
        <f>IF($A318="","",基本信息!A307)</f>
        <v/>
      </c>
      <c r="G318" s="50" t="str">
        <f>IF($A318="","",计算结果!BI307+计算结果!BJ307)</f>
        <v/>
      </c>
      <c r="H318" s="50" t="str">
        <f>IF($A318="","",计算结果!BK307)</f>
        <v/>
      </c>
    </row>
    <row r="319" spans="1:8">
      <c r="A319" s="40" t="str">
        <f>IF(AND(OR(IFERROR(FIND("交行",基本信息!BS308),0)&gt;0,IFERROR(FIND("交通银行",基本信息!BS308),0)&gt;0),计算结果!BT308&gt;0),基本信息!BR308,"")</f>
        <v/>
      </c>
      <c r="B319" s="40" t="str">
        <f>IF($A319="","",基本信息!BQ308)</f>
        <v/>
      </c>
      <c r="C319" s="50" t="str">
        <f>IF($A319="","",计算结果!BT308-G319-H319)</f>
        <v/>
      </c>
      <c r="D319" s="40" t="str">
        <f>IF($A319="","",基本信息!BS308)</f>
        <v/>
      </c>
      <c r="F319" s="40" t="str">
        <f>IF($A319="","",基本信息!A308)</f>
        <v/>
      </c>
      <c r="G319" s="50" t="str">
        <f>IF($A319="","",计算结果!BI308+计算结果!BJ308)</f>
        <v/>
      </c>
      <c r="H319" s="50" t="str">
        <f>IF($A319="","",计算结果!BK308)</f>
        <v/>
      </c>
    </row>
    <row r="320" spans="1:8">
      <c r="A320" s="40" t="str">
        <f>IF(AND(OR(IFERROR(FIND("交行",基本信息!BS309),0)&gt;0,IFERROR(FIND("交通银行",基本信息!BS309),0)&gt;0),计算结果!BT309&gt;0),基本信息!BR309,"")</f>
        <v/>
      </c>
      <c r="B320" s="40" t="str">
        <f>IF($A320="","",基本信息!BQ309)</f>
        <v/>
      </c>
      <c r="C320" s="50" t="str">
        <f>IF($A320="","",计算结果!BT309-G320-H320)</f>
        <v/>
      </c>
      <c r="D320" s="40" t="str">
        <f>IF($A320="","",基本信息!BS309)</f>
        <v/>
      </c>
      <c r="F320" s="40" t="str">
        <f>IF($A320="","",基本信息!A309)</f>
        <v/>
      </c>
      <c r="G320" s="50" t="str">
        <f>IF($A320="","",计算结果!BI309+计算结果!BJ309)</f>
        <v/>
      </c>
      <c r="H320" s="50" t="str">
        <f>IF($A320="","",计算结果!BK309)</f>
        <v/>
      </c>
    </row>
    <row r="321" spans="1:8">
      <c r="A321" s="40" t="str">
        <f>IF(AND(OR(IFERROR(FIND("交行",基本信息!BS310),0)&gt;0,IFERROR(FIND("交通银行",基本信息!BS310),0)&gt;0),计算结果!BT310&gt;0),基本信息!BR310,"")</f>
        <v/>
      </c>
      <c r="B321" s="40" t="str">
        <f>IF($A321="","",基本信息!BQ310)</f>
        <v/>
      </c>
      <c r="C321" s="50" t="str">
        <f>IF($A321="","",计算结果!BT310-G321-H321)</f>
        <v/>
      </c>
      <c r="D321" s="40" t="str">
        <f>IF($A321="","",基本信息!BS310)</f>
        <v/>
      </c>
      <c r="F321" s="40" t="str">
        <f>IF($A321="","",基本信息!A310)</f>
        <v/>
      </c>
      <c r="G321" s="50" t="str">
        <f>IF($A321="","",计算结果!BI310+计算结果!BJ310)</f>
        <v/>
      </c>
      <c r="H321" s="50" t="str">
        <f>IF($A321="","",计算结果!BK310)</f>
        <v/>
      </c>
    </row>
    <row r="322" spans="1:8">
      <c r="A322" s="40" t="str">
        <f>IF(AND(OR(IFERROR(FIND("交行",基本信息!BS311),0)&gt;0,IFERROR(FIND("交通银行",基本信息!BS311),0)&gt;0),计算结果!BT311&gt;0),基本信息!BR311,"")</f>
        <v/>
      </c>
      <c r="B322" s="40" t="str">
        <f>IF($A322="","",基本信息!BQ311)</f>
        <v/>
      </c>
      <c r="C322" s="50" t="str">
        <f>IF($A322="","",计算结果!BT311-G322-H322)</f>
        <v/>
      </c>
      <c r="D322" s="40" t="str">
        <f>IF($A322="","",基本信息!BS311)</f>
        <v/>
      </c>
      <c r="F322" s="40" t="str">
        <f>IF($A322="","",基本信息!A311)</f>
        <v/>
      </c>
      <c r="G322" s="50" t="str">
        <f>IF($A322="","",计算结果!BI311+计算结果!BJ311)</f>
        <v/>
      </c>
      <c r="H322" s="50" t="str">
        <f>IF($A322="","",计算结果!BK311)</f>
        <v/>
      </c>
    </row>
    <row r="323" spans="1:8">
      <c r="A323" s="40" t="str">
        <f>IF(AND(OR(IFERROR(FIND("交行",基本信息!BS312),0)&gt;0,IFERROR(FIND("交通银行",基本信息!BS312),0)&gt;0),计算结果!BT312&gt;0),基本信息!BR312,"")</f>
        <v/>
      </c>
      <c r="B323" s="40" t="str">
        <f>IF($A323="","",基本信息!BQ312)</f>
        <v/>
      </c>
      <c r="C323" s="50" t="str">
        <f>IF($A323="","",计算结果!BT312-G323-H323)</f>
        <v/>
      </c>
      <c r="D323" s="40" t="str">
        <f>IF($A323="","",基本信息!BS312)</f>
        <v/>
      </c>
      <c r="F323" s="40" t="str">
        <f>IF($A323="","",基本信息!A312)</f>
        <v/>
      </c>
      <c r="G323" s="50" t="str">
        <f>IF($A323="","",计算结果!BI312+计算结果!BJ312)</f>
        <v/>
      </c>
      <c r="H323" s="50" t="str">
        <f>IF($A323="","",计算结果!BK312)</f>
        <v/>
      </c>
    </row>
    <row r="324" spans="1:8">
      <c r="A324" s="40" t="str">
        <f>IF(AND(OR(IFERROR(FIND("交行",基本信息!BS313),0)&gt;0,IFERROR(FIND("交通银行",基本信息!BS313),0)&gt;0),计算结果!BT313&gt;0),基本信息!BR313,"")</f>
        <v/>
      </c>
      <c r="B324" s="40" t="str">
        <f>IF($A324="","",基本信息!BQ313)</f>
        <v/>
      </c>
      <c r="C324" s="50" t="str">
        <f>IF($A324="","",计算结果!BT313-G324-H324)</f>
        <v/>
      </c>
      <c r="D324" s="40" t="str">
        <f>IF($A324="","",基本信息!BS313)</f>
        <v/>
      </c>
      <c r="F324" s="40" t="str">
        <f>IF($A324="","",基本信息!A313)</f>
        <v/>
      </c>
      <c r="G324" s="50" t="str">
        <f>IF($A324="","",计算结果!BI313+计算结果!BJ313)</f>
        <v/>
      </c>
      <c r="H324" s="50" t="str">
        <f>IF($A324="","",计算结果!BK313)</f>
        <v/>
      </c>
    </row>
    <row r="325" spans="1:8">
      <c r="A325" s="40" t="str">
        <f>IF(AND(OR(IFERROR(FIND("交行",基本信息!BS314),0)&gt;0,IFERROR(FIND("交通银行",基本信息!BS314),0)&gt;0),计算结果!BT314&gt;0),基本信息!BR314,"")</f>
        <v/>
      </c>
      <c r="B325" s="40" t="str">
        <f>IF($A325="","",基本信息!BQ314)</f>
        <v/>
      </c>
      <c r="C325" s="50" t="str">
        <f>IF($A325="","",计算结果!BT314-G325-H325)</f>
        <v/>
      </c>
      <c r="D325" s="40" t="str">
        <f>IF($A325="","",基本信息!BS314)</f>
        <v/>
      </c>
      <c r="F325" s="40" t="str">
        <f>IF($A325="","",基本信息!A314)</f>
        <v/>
      </c>
      <c r="G325" s="50" t="str">
        <f>IF($A325="","",计算结果!BI314+计算结果!BJ314)</f>
        <v/>
      </c>
      <c r="H325" s="50" t="str">
        <f>IF($A325="","",计算结果!BK314)</f>
        <v/>
      </c>
    </row>
    <row r="326" spans="1:8">
      <c r="A326" s="40" t="str">
        <f>IF(AND(OR(IFERROR(FIND("交行",基本信息!BS315),0)&gt;0,IFERROR(FIND("交通银行",基本信息!BS315),0)&gt;0),计算结果!BT315&gt;0),基本信息!BR315,"")</f>
        <v/>
      </c>
      <c r="B326" s="40" t="str">
        <f>IF($A326="","",基本信息!BQ315)</f>
        <v/>
      </c>
      <c r="C326" s="50" t="str">
        <f>IF($A326="","",计算结果!BT315-G326-H326)</f>
        <v/>
      </c>
      <c r="D326" s="40" t="str">
        <f>IF($A326="","",基本信息!BS315)</f>
        <v/>
      </c>
      <c r="F326" s="40" t="str">
        <f>IF($A326="","",基本信息!A315)</f>
        <v/>
      </c>
      <c r="G326" s="50" t="str">
        <f>IF($A326="","",计算结果!BI315+计算结果!BJ315)</f>
        <v/>
      </c>
      <c r="H326" s="50" t="str">
        <f>IF($A326="","",计算结果!BK315)</f>
        <v/>
      </c>
    </row>
    <row r="327" spans="1:8">
      <c r="A327" s="40" t="str">
        <f>IF(AND(OR(IFERROR(FIND("交行",基本信息!BS316),0)&gt;0,IFERROR(FIND("交通银行",基本信息!BS316),0)&gt;0),计算结果!BT316&gt;0),基本信息!BR316,"")</f>
        <v/>
      </c>
      <c r="B327" s="40" t="str">
        <f>IF($A327="","",基本信息!BQ316)</f>
        <v/>
      </c>
      <c r="C327" s="50" t="str">
        <f>IF($A327="","",计算结果!BT316-G327-H327)</f>
        <v/>
      </c>
      <c r="D327" s="40" t="str">
        <f>IF($A327="","",基本信息!BS316)</f>
        <v/>
      </c>
      <c r="F327" s="40" t="str">
        <f>IF($A327="","",基本信息!A316)</f>
        <v/>
      </c>
      <c r="G327" s="50" t="str">
        <f>IF($A327="","",计算结果!BI316+计算结果!BJ316)</f>
        <v/>
      </c>
      <c r="H327" s="50" t="str">
        <f>IF($A327="","",计算结果!BK316)</f>
        <v/>
      </c>
    </row>
    <row r="328" spans="1:8">
      <c r="A328" s="40" t="str">
        <f>IF(AND(OR(IFERROR(FIND("交行",基本信息!BS317),0)&gt;0,IFERROR(FIND("交通银行",基本信息!BS317),0)&gt;0),计算结果!BT317&gt;0),基本信息!BR317,"")</f>
        <v/>
      </c>
      <c r="B328" s="40" t="str">
        <f>IF($A328="","",基本信息!BQ317)</f>
        <v/>
      </c>
      <c r="C328" s="50" t="str">
        <f>IF($A328="","",计算结果!BT317-G328-H328)</f>
        <v/>
      </c>
      <c r="D328" s="40" t="str">
        <f>IF($A328="","",基本信息!BS317)</f>
        <v/>
      </c>
      <c r="F328" s="40" t="str">
        <f>IF($A328="","",基本信息!A317)</f>
        <v/>
      </c>
      <c r="G328" s="50" t="str">
        <f>IF($A328="","",计算结果!BI317+计算结果!BJ317)</f>
        <v/>
      </c>
      <c r="H328" s="50" t="str">
        <f>IF($A328="","",计算结果!BK317)</f>
        <v/>
      </c>
    </row>
    <row r="329" spans="1:8">
      <c r="A329" s="40" t="str">
        <f>IF(AND(OR(IFERROR(FIND("交行",基本信息!BS318),0)&gt;0,IFERROR(FIND("交通银行",基本信息!BS318),0)&gt;0),计算结果!BT318&gt;0),基本信息!BR318,"")</f>
        <v/>
      </c>
      <c r="B329" s="40" t="str">
        <f>IF($A329="","",基本信息!BQ318)</f>
        <v/>
      </c>
      <c r="C329" s="50" t="str">
        <f>IF($A329="","",计算结果!BT318-G329-H329)</f>
        <v/>
      </c>
      <c r="D329" s="40" t="str">
        <f>IF($A329="","",基本信息!BS318)</f>
        <v/>
      </c>
      <c r="F329" s="40" t="str">
        <f>IF($A329="","",基本信息!A318)</f>
        <v/>
      </c>
      <c r="G329" s="50" t="str">
        <f>IF($A329="","",计算结果!BI318+计算结果!BJ318)</f>
        <v/>
      </c>
      <c r="H329" s="50" t="str">
        <f>IF($A329="","",计算结果!BK318)</f>
        <v/>
      </c>
    </row>
    <row r="330" spans="1:8">
      <c r="A330" s="40" t="str">
        <f>IF(AND(OR(IFERROR(FIND("交行",基本信息!BS319),0)&gt;0,IFERROR(FIND("交通银行",基本信息!BS319),0)&gt;0),计算结果!BT319&gt;0),基本信息!BR319,"")</f>
        <v/>
      </c>
      <c r="B330" s="40" t="str">
        <f>IF($A330="","",基本信息!BQ319)</f>
        <v/>
      </c>
      <c r="C330" s="50" t="str">
        <f>IF($A330="","",计算结果!BT319-G330-H330)</f>
        <v/>
      </c>
      <c r="D330" s="40" t="str">
        <f>IF($A330="","",基本信息!BS319)</f>
        <v/>
      </c>
      <c r="F330" s="40" t="str">
        <f>IF($A330="","",基本信息!A319)</f>
        <v/>
      </c>
      <c r="G330" s="50" t="str">
        <f>IF($A330="","",计算结果!BI319+计算结果!BJ319)</f>
        <v/>
      </c>
      <c r="H330" s="50" t="str">
        <f>IF($A330="","",计算结果!BK319)</f>
        <v/>
      </c>
    </row>
    <row r="331" spans="1:8">
      <c r="A331" s="40" t="str">
        <f>IF(AND(OR(IFERROR(FIND("交行",基本信息!BS320),0)&gt;0,IFERROR(FIND("交通银行",基本信息!BS320),0)&gt;0),计算结果!BT320&gt;0),基本信息!BR320,"")</f>
        <v/>
      </c>
      <c r="B331" s="40" t="str">
        <f>IF($A331="","",基本信息!BQ320)</f>
        <v/>
      </c>
      <c r="C331" s="50" t="str">
        <f>IF($A331="","",计算结果!BT320-G331-H331)</f>
        <v/>
      </c>
      <c r="D331" s="40" t="str">
        <f>IF($A331="","",基本信息!BS320)</f>
        <v/>
      </c>
      <c r="F331" s="40" t="str">
        <f>IF($A331="","",基本信息!A320)</f>
        <v/>
      </c>
      <c r="G331" s="50" t="str">
        <f>IF($A331="","",计算结果!BI320+计算结果!BJ320)</f>
        <v/>
      </c>
      <c r="H331" s="50" t="str">
        <f>IF($A331="","",计算结果!BK320)</f>
        <v/>
      </c>
    </row>
    <row r="332" spans="1:8">
      <c r="A332" s="40" t="str">
        <f>IF(AND(OR(IFERROR(FIND("交行",基本信息!BS321),0)&gt;0,IFERROR(FIND("交通银行",基本信息!BS321),0)&gt;0),计算结果!BT321&gt;0),基本信息!BR321,"")</f>
        <v/>
      </c>
      <c r="B332" s="40" t="str">
        <f>IF($A332="","",基本信息!BQ321)</f>
        <v/>
      </c>
      <c r="C332" s="50" t="str">
        <f>IF($A332="","",计算结果!BT321-G332-H332)</f>
        <v/>
      </c>
      <c r="D332" s="40" t="str">
        <f>IF($A332="","",基本信息!BS321)</f>
        <v/>
      </c>
      <c r="F332" s="40" t="str">
        <f>IF($A332="","",基本信息!A321)</f>
        <v/>
      </c>
      <c r="G332" s="50" t="str">
        <f>IF($A332="","",计算结果!BI321+计算结果!BJ321)</f>
        <v/>
      </c>
      <c r="H332" s="50" t="str">
        <f>IF($A332="","",计算结果!BK321)</f>
        <v/>
      </c>
    </row>
    <row r="333" spans="1:8">
      <c r="A333" s="40" t="str">
        <f>IF(AND(OR(IFERROR(FIND("交行",基本信息!BS322),0)&gt;0,IFERROR(FIND("交通银行",基本信息!BS322),0)&gt;0),计算结果!BT322&gt;0),基本信息!BR322,"")</f>
        <v/>
      </c>
      <c r="B333" s="40" t="str">
        <f>IF($A333="","",基本信息!BQ322)</f>
        <v/>
      </c>
      <c r="C333" s="50" t="str">
        <f>IF($A333="","",计算结果!BT322-G333-H333)</f>
        <v/>
      </c>
      <c r="D333" s="40" t="str">
        <f>IF($A333="","",基本信息!BS322)</f>
        <v/>
      </c>
      <c r="F333" s="40" t="str">
        <f>IF($A333="","",基本信息!A322)</f>
        <v/>
      </c>
      <c r="G333" s="50" t="str">
        <f>IF($A333="","",计算结果!BI322+计算结果!BJ322)</f>
        <v/>
      </c>
      <c r="H333" s="50" t="str">
        <f>IF($A333="","",计算结果!BK322)</f>
        <v/>
      </c>
    </row>
    <row r="334" spans="1:8">
      <c r="A334" s="40" t="str">
        <f>IF(AND(OR(IFERROR(FIND("交行",基本信息!BS323),0)&gt;0,IFERROR(FIND("交通银行",基本信息!BS323),0)&gt;0),计算结果!BT323&gt;0),基本信息!BR323,"")</f>
        <v/>
      </c>
      <c r="B334" s="40" t="str">
        <f>IF($A334="","",基本信息!BQ323)</f>
        <v/>
      </c>
      <c r="C334" s="50" t="str">
        <f>IF($A334="","",计算结果!BT323-G334-H334)</f>
        <v/>
      </c>
      <c r="D334" s="40" t="str">
        <f>IF($A334="","",基本信息!BS323)</f>
        <v/>
      </c>
      <c r="F334" s="40" t="str">
        <f>IF($A334="","",基本信息!A323)</f>
        <v/>
      </c>
      <c r="G334" s="50" t="str">
        <f>IF($A334="","",计算结果!BI323+计算结果!BJ323)</f>
        <v/>
      </c>
      <c r="H334" s="50" t="str">
        <f>IF($A334="","",计算结果!BK323)</f>
        <v/>
      </c>
    </row>
    <row r="335" spans="1:8">
      <c r="A335" s="40" t="str">
        <f>IF(AND(OR(IFERROR(FIND("交行",基本信息!BS324),0)&gt;0,IFERROR(FIND("交通银行",基本信息!BS324),0)&gt;0),计算结果!BT324&gt;0),基本信息!BR324,"")</f>
        <v/>
      </c>
      <c r="B335" s="40" t="str">
        <f>IF($A335="","",基本信息!BQ324)</f>
        <v/>
      </c>
      <c r="C335" s="50" t="str">
        <f>IF($A335="","",计算结果!BT324-G335-H335)</f>
        <v/>
      </c>
      <c r="D335" s="40" t="str">
        <f>IF($A335="","",基本信息!BS324)</f>
        <v/>
      </c>
      <c r="F335" s="40" t="str">
        <f>IF($A335="","",基本信息!A324)</f>
        <v/>
      </c>
      <c r="G335" s="50" t="str">
        <f>IF($A335="","",计算结果!BI324+计算结果!BJ324)</f>
        <v/>
      </c>
      <c r="H335" s="50" t="str">
        <f>IF($A335="","",计算结果!BK324)</f>
        <v/>
      </c>
    </row>
    <row r="336" spans="1:8">
      <c r="A336" s="40" t="str">
        <f>IF(AND(OR(IFERROR(FIND("交行",基本信息!BS325),0)&gt;0,IFERROR(FIND("交通银行",基本信息!BS325),0)&gt;0),计算结果!BT325&gt;0),基本信息!BR325,"")</f>
        <v/>
      </c>
      <c r="B336" s="40" t="str">
        <f>IF($A336="","",基本信息!BQ325)</f>
        <v/>
      </c>
      <c r="C336" s="50" t="str">
        <f>IF($A336="","",计算结果!BT325-G336-H336)</f>
        <v/>
      </c>
      <c r="D336" s="40" t="str">
        <f>IF($A336="","",基本信息!BS325)</f>
        <v/>
      </c>
      <c r="F336" s="40" t="str">
        <f>IF($A336="","",基本信息!A325)</f>
        <v/>
      </c>
      <c r="G336" s="50" t="str">
        <f>IF($A336="","",计算结果!BI325+计算结果!BJ325)</f>
        <v/>
      </c>
      <c r="H336" s="50" t="str">
        <f>IF($A336="","",计算结果!BK325)</f>
        <v/>
      </c>
    </row>
    <row r="337" spans="1:8">
      <c r="A337" s="40" t="str">
        <f>IF(AND(OR(IFERROR(FIND("交行",基本信息!BS326),0)&gt;0,IFERROR(FIND("交通银行",基本信息!BS326),0)&gt;0),计算结果!BT326&gt;0),基本信息!BR326,"")</f>
        <v/>
      </c>
      <c r="B337" s="40" t="str">
        <f>IF($A337="","",基本信息!BQ326)</f>
        <v/>
      </c>
      <c r="C337" s="50" t="str">
        <f>IF($A337="","",计算结果!BT326-G337-H337)</f>
        <v/>
      </c>
      <c r="D337" s="40" t="str">
        <f>IF($A337="","",基本信息!BS326)</f>
        <v/>
      </c>
      <c r="F337" s="40" t="str">
        <f>IF($A337="","",基本信息!A326)</f>
        <v/>
      </c>
      <c r="G337" s="50" t="str">
        <f>IF($A337="","",计算结果!BI326+计算结果!BJ326)</f>
        <v/>
      </c>
      <c r="H337" s="50" t="str">
        <f>IF($A337="","",计算结果!BK326)</f>
        <v/>
      </c>
    </row>
    <row r="338" spans="1:8">
      <c r="A338" s="40" t="str">
        <f>IF(AND(OR(IFERROR(FIND("交行",基本信息!BS327),0)&gt;0,IFERROR(FIND("交通银行",基本信息!BS327),0)&gt;0),计算结果!BT327&gt;0),基本信息!BR327,"")</f>
        <v/>
      </c>
      <c r="B338" s="40" t="str">
        <f>IF($A338="","",基本信息!BQ327)</f>
        <v/>
      </c>
      <c r="C338" s="50" t="str">
        <f>IF($A338="","",计算结果!BT327-G338-H338)</f>
        <v/>
      </c>
      <c r="D338" s="40" t="str">
        <f>IF($A338="","",基本信息!BS327)</f>
        <v/>
      </c>
      <c r="F338" s="40" t="str">
        <f>IF($A338="","",基本信息!A327)</f>
        <v/>
      </c>
      <c r="G338" s="50" t="str">
        <f>IF($A338="","",计算结果!BI327+计算结果!BJ327)</f>
        <v/>
      </c>
      <c r="H338" s="50" t="str">
        <f>IF($A338="","",计算结果!BK327)</f>
        <v/>
      </c>
    </row>
    <row r="339" spans="1:8">
      <c r="A339" s="40" t="str">
        <f>IF(AND(OR(IFERROR(FIND("交行",基本信息!BS328),0)&gt;0,IFERROR(FIND("交通银行",基本信息!BS328),0)&gt;0),计算结果!BT328&gt;0),基本信息!BR328,"")</f>
        <v/>
      </c>
      <c r="B339" s="40" t="str">
        <f>IF($A339="","",基本信息!BQ328)</f>
        <v/>
      </c>
      <c r="C339" s="50" t="str">
        <f>IF($A339="","",计算结果!BT328-G339-H339)</f>
        <v/>
      </c>
      <c r="D339" s="40" t="str">
        <f>IF($A339="","",基本信息!BS328)</f>
        <v/>
      </c>
      <c r="F339" s="40" t="str">
        <f>IF($A339="","",基本信息!A328)</f>
        <v/>
      </c>
      <c r="G339" s="50" t="str">
        <f>IF($A339="","",计算结果!BI328+计算结果!BJ328)</f>
        <v/>
      </c>
      <c r="H339" s="50" t="str">
        <f>IF($A339="","",计算结果!BK328)</f>
        <v/>
      </c>
    </row>
    <row r="340" spans="1:8">
      <c r="A340" s="40" t="str">
        <f>IF(AND(OR(IFERROR(FIND("交行",基本信息!BS329),0)&gt;0,IFERROR(FIND("交通银行",基本信息!BS329),0)&gt;0),计算结果!BT329&gt;0),基本信息!BR329,"")</f>
        <v/>
      </c>
      <c r="B340" s="40" t="str">
        <f>IF($A340="","",基本信息!BQ329)</f>
        <v/>
      </c>
      <c r="C340" s="50" t="str">
        <f>IF($A340="","",计算结果!BT329-G340-H340)</f>
        <v/>
      </c>
      <c r="D340" s="40" t="str">
        <f>IF($A340="","",基本信息!BS329)</f>
        <v/>
      </c>
      <c r="F340" s="40" t="str">
        <f>IF($A340="","",基本信息!A329)</f>
        <v/>
      </c>
      <c r="G340" s="50" t="str">
        <f>IF($A340="","",计算结果!BI329+计算结果!BJ329)</f>
        <v/>
      </c>
      <c r="H340" s="50" t="str">
        <f>IF($A340="","",计算结果!BK329)</f>
        <v/>
      </c>
    </row>
    <row r="341" spans="1:8">
      <c r="A341" s="40" t="str">
        <f>IF(AND(OR(IFERROR(FIND("交行",基本信息!BS330),0)&gt;0,IFERROR(FIND("交通银行",基本信息!BS330),0)&gt;0),计算结果!BT330&gt;0),基本信息!BR330,"")</f>
        <v/>
      </c>
      <c r="B341" s="40" t="str">
        <f>IF($A341="","",基本信息!BQ330)</f>
        <v/>
      </c>
      <c r="C341" s="50" t="str">
        <f>IF($A341="","",计算结果!BT330-G341-H341)</f>
        <v/>
      </c>
      <c r="D341" s="40" t="str">
        <f>IF($A341="","",基本信息!BS330)</f>
        <v/>
      </c>
      <c r="F341" s="40" t="str">
        <f>IF($A341="","",基本信息!A330)</f>
        <v/>
      </c>
      <c r="G341" s="50" t="str">
        <f>IF($A341="","",计算结果!BI330+计算结果!BJ330)</f>
        <v/>
      </c>
      <c r="H341" s="50" t="str">
        <f>IF($A341="","",计算结果!BK330)</f>
        <v/>
      </c>
    </row>
    <row r="342" spans="1:8">
      <c r="A342" s="40" t="str">
        <f>IF(AND(OR(IFERROR(FIND("交行",基本信息!BS331),0)&gt;0,IFERROR(FIND("交通银行",基本信息!BS331),0)&gt;0),计算结果!BT331&gt;0),基本信息!BR331,"")</f>
        <v/>
      </c>
      <c r="B342" s="40" t="str">
        <f>IF($A342="","",基本信息!BQ331)</f>
        <v/>
      </c>
      <c r="C342" s="50" t="str">
        <f>IF($A342="","",计算结果!BT331-G342-H342)</f>
        <v/>
      </c>
      <c r="D342" s="40" t="str">
        <f>IF($A342="","",基本信息!BS331)</f>
        <v/>
      </c>
      <c r="F342" s="40" t="str">
        <f>IF($A342="","",基本信息!A331)</f>
        <v/>
      </c>
      <c r="G342" s="50" t="str">
        <f>IF($A342="","",计算结果!BI331+计算结果!BJ331)</f>
        <v/>
      </c>
      <c r="H342" s="50" t="str">
        <f>IF($A342="","",计算结果!BK331)</f>
        <v/>
      </c>
    </row>
    <row r="343" spans="1:8">
      <c r="A343" s="40" t="str">
        <f>IF(AND(OR(IFERROR(FIND("交行",基本信息!BS332),0)&gt;0,IFERROR(FIND("交通银行",基本信息!BS332),0)&gt;0),计算结果!BT332&gt;0),基本信息!BR332,"")</f>
        <v/>
      </c>
      <c r="B343" s="40" t="str">
        <f>IF($A343="","",基本信息!BQ332)</f>
        <v/>
      </c>
      <c r="C343" s="50" t="str">
        <f>IF($A343="","",计算结果!BT332-G343-H343)</f>
        <v/>
      </c>
      <c r="D343" s="40" t="str">
        <f>IF($A343="","",基本信息!BS332)</f>
        <v/>
      </c>
      <c r="F343" s="40" t="str">
        <f>IF($A343="","",基本信息!A332)</f>
        <v/>
      </c>
      <c r="G343" s="50" t="str">
        <f>IF($A343="","",计算结果!BI332+计算结果!BJ332)</f>
        <v/>
      </c>
      <c r="H343" s="50" t="str">
        <f>IF($A343="","",计算结果!BK332)</f>
        <v/>
      </c>
    </row>
    <row r="344" spans="1:8">
      <c r="A344" s="40" t="str">
        <f>IF(AND(OR(IFERROR(FIND("交行",基本信息!BS333),0)&gt;0,IFERROR(FIND("交通银行",基本信息!BS333),0)&gt;0),计算结果!BT333&gt;0),基本信息!BR333,"")</f>
        <v/>
      </c>
      <c r="B344" s="40" t="str">
        <f>IF($A344="","",基本信息!BQ333)</f>
        <v/>
      </c>
      <c r="C344" s="50" t="str">
        <f>IF($A344="","",计算结果!BT333-G344-H344)</f>
        <v/>
      </c>
      <c r="D344" s="40" t="str">
        <f>IF($A344="","",基本信息!BS333)</f>
        <v/>
      </c>
      <c r="F344" s="40" t="str">
        <f>IF($A344="","",基本信息!A333)</f>
        <v/>
      </c>
      <c r="G344" s="50" t="str">
        <f>IF($A344="","",计算结果!BI333+计算结果!BJ333)</f>
        <v/>
      </c>
      <c r="H344" s="50" t="str">
        <f>IF($A344="","",计算结果!BK333)</f>
        <v/>
      </c>
    </row>
    <row r="345" spans="1:8">
      <c r="A345" s="40" t="str">
        <f>IF(AND(OR(IFERROR(FIND("交行",基本信息!BS334),0)&gt;0,IFERROR(FIND("交通银行",基本信息!BS334),0)&gt;0),计算结果!BT334&gt;0),基本信息!BR334,"")</f>
        <v/>
      </c>
      <c r="B345" s="40" t="str">
        <f>IF($A345="","",基本信息!BQ334)</f>
        <v/>
      </c>
      <c r="C345" s="50" t="str">
        <f>IF($A345="","",计算结果!BT334-G345-H345)</f>
        <v/>
      </c>
      <c r="D345" s="40" t="str">
        <f>IF($A345="","",基本信息!BS334)</f>
        <v/>
      </c>
      <c r="F345" s="40" t="str">
        <f>IF($A345="","",基本信息!A334)</f>
        <v/>
      </c>
      <c r="G345" s="50" t="str">
        <f>IF($A345="","",计算结果!BI334+计算结果!BJ334)</f>
        <v/>
      </c>
      <c r="H345" s="50" t="str">
        <f>IF($A345="","",计算结果!BK334)</f>
        <v/>
      </c>
    </row>
    <row r="346" spans="1:8">
      <c r="A346" s="40" t="str">
        <f>IF(AND(OR(IFERROR(FIND("交行",基本信息!BS335),0)&gt;0,IFERROR(FIND("交通银行",基本信息!BS335),0)&gt;0),计算结果!BT335&gt;0),基本信息!BR335,"")</f>
        <v/>
      </c>
      <c r="B346" s="40" t="str">
        <f>IF($A346="","",基本信息!BQ335)</f>
        <v/>
      </c>
      <c r="C346" s="50" t="str">
        <f>IF($A346="","",计算结果!BT335-G346-H346)</f>
        <v/>
      </c>
      <c r="D346" s="40" t="str">
        <f>IF($A346="","",基本信息!BS335)</f>
        <v/>
      </c>
      <c r="F346" s="40" t="str">
        <f>IF($A346="","",基本信息!A335)</f>
        <v/>
      </c>
      <c r="G346" s="50" t="str">
        <f>IF($A346="","",计算结果!BI335+计算结果!BJ335)</f>
        <v/>
      </c>
      <c r="H346" s="50" t="str">
        <f>IF($A346="","",计算结果!BK335)</f>
        <v/>
      </c>
    </row>
    <row r="347" spans="1:8">
      <c r="A347" s="40" t="str">
        <f>IF(AND(OR(IFERROR(FIND("交行",基本信息!BS336),0)&gt;0,IFERROR(FIND("交通银行",基本信息!BS336),0)&gt;0),计算结果!BT336&gt;0),基本信息!BR336,"")</f>
        <v/>
      </c>
      <c r="B347" s="40" t="str">
        <f>IF($A347="","",基本信息!BQ336)</f>
        <v/>
      </c>
      <c r="C347" s="50" t="str">
        <f>IF($A347="","",计算结果!BT336-G347-H347)</f>
        <v/>
      </c>
      <c r="D347" s="40" t="str">
        <f>IF($A347="","",基本信息!BS336)</f>
        <v/>
      </c>
      <c r="F347" s="40" t="str">
        <f>IF($A347="","",基本信息!A336)</f>
        <v/>
      </c>
      <c r="G347" s="50" t="str">
        <f>IF($A347="","",计算结果!BI336+计算结果!BJ336)</f>
        <v/>
      </c>
      <c r="H347" s="50" t="str">
        <f>IF($A347="","",计算结果!BK336)</f>
        <v/>
      </c>
    </row>
    <row r="348" spans="1:8">
      <c r="A348" s="40" t="str">
        <f>IF(AND(OR(IFERROR(FIND("交行",基本信息!BS337),0)&gt;0,IFERROR(FIND("交通银行",基本信息!BS337),0)&gt;0),计算结果!BT337&gt;0),基本信息!BR337,"")</f>
        <v/>
      </c>
      <c r="B348" s="40" t="str">
        <f>IF($A348="","",基本信息!BQ337)</f>
        <v/>
      </c>
      <c r="C348" s="50" t="str">
        <f>IF($A348="","",计算结果!BT337-G348-H348)</f>
        <v/>
      </c>
      <c r="D348" s="40" t="str">
        <f>IF($A348="","",基本信息!BS337)</f>
        <v/>
      </c>
      <c r="F348" s="40" t="str">
        <f>IF($A348="","",基本信息!A337)</f>
        <v/>
      </c>
      <c r="G348" s="50" t="str">
        <f>IF($A348="","",计算结果!BI337+计算结果!BJ337)</f>
        <v/>
      </c>
      <c r="H348" s="50" t="str">
        <f>IF($A348="","",计算结果!BK337)</f>
        <v/>
      </c>
    </row>
    <row r="349" spans="1:8">
      <c r="A349" s="40" t="str">
        <f>IF(AND(OR(IFERROR(FIND("交行",基本信息!BS338),0)&gt;0,IFERROR(FIND("交通银行",基本信息!BS338),0)&gt;0),计算结果!BT338&gt;0),基本信息!BR338,"")</f>
        <v/>
      </c>
      <c r="B349" s="40" t="str">
        <f>IF($A349="","",基本信息!BQ338)</f>
        <v/>
      </c>
      <c r="C349" s="50" t="str">
        <f>IF($A349="","",计算结果!BT338-G349-H349)</f>
        <v/>
      </c>
      <c r="D349" s="40" t="str">
        <f>IF($A349="","",基本信息!BS338)</f>
        <v/>
      </c>
      <c r="F349" s="40" t="str">
        <f>IF($A349="","",基本信息!A338)</f>
        <v/>
      </c>
      <c r="G349" s="50" t="str">
        <f>IF($A349="","",计算结果!BI338+计算结果!BJ338)</f>
        <v/>
      </c>
      <c r="H349" s="50" t="str">
        <f>IF($A349="","",计算结果!BK338)</f>
        <v/>
      </c>
    </row>
    <row r="350" spans="1:8">
      <c r="A350" s="40" t="str">
        <f>IF(AND(OR(IFERROR(FIND("交行",基本信息!BS339),0)&gt;0,IFERROR(FIND("交通银行",基本信息!BS339),0)&gt;0),计算结果!BT339&gt;0),基本信息!BR339,"")</f>
        <v/>
      </c>
      <c r="B350" s="40" t="str">
        <f>IF($A350="","",基本信息!BQ339)</f>
        <v/>
      </c>
      <c r="C350" s="50" t="str">
        <f>IF($A350="","",计算结果!BT339-G350-H350)</f>
        <v/>
      </c>
      <c r="D350" s="40" t="str">
        <f>IF($A350="","",基本信息!BS339)</f>
        <v/>
      </c>
      <c r="F350" s="40" t="str">
        <f>IF($A350="","",基本信息!A339)</f>
        <v/>
      </c>
      <c r="G350" s="50" t="str">
        <f>IF($A350="","",计算结果!BI339+计算结果!BJ339)</f>
        <v/>
      </c>
      <c r="H350" s="50" t="str">
        <f>IF($A350="","",计算结果!BK339)</f>
        <v/>
      </c>
    </row>
    <row r="351" spans="1:8">
      <c r="A351" s="40" t="str">
        <f>IF(AND(OR(IFERROR(FIND("交行",基本信息!BS340),0)&gt;0,IFERROR(FIND("交通银行",基本信息!BS340),0)&gt;0),计算结果!BT340&gt;0),基本信息!BR340,"")</f>
        <v/>
      </c>
      <c r="B351" s="40" t="str">
        <f>IF($A351="","",基本信息!BQ340)</f>
        <v/>
      </c>
      <c r="C351" s="50" t="str">
        <f>IF($A351="","",计算结果!BT340-G351-H351)</f>
        <v/>
      </c>
      <c r="D351" s="40" t="str">
        <f>IF($A351="","",基本信息!BS340)</f>
        <v/>
      </c>
      <c r="F351" s="40" t="str">
        <f>IF($A351="","",基本信息!A340)</f>
        <v/>
      </c>
      <c r="G351" s="50" t="str">
        <f>IF($A351="","",计算结果!BI340+计算结果!BJ340)</f>
        <v/>
      </c>
      <c r="H351" s="50" t="str">
        <f>IF($A351="","",计算结果!BK340)</f>
        <v/>
      </c>
    </row>
    <row r="352" spans="1:8">
      <c r="A352" s="40" t="str">
        <f>IF(AND(OR(IFERROR(FIND("交行",基本信息!BS341),0)&gt;0,IFERROR(FIND("交通银行",基本信息!BS341),0)&gt;0),计算结果!BT341&gt;0),基本信息!BR341,"")</f>
        <v/>
      </c>
      <c r="B352" s="40" t="str">
        <f>IF($A352="","",基本信息!BQ341)</f>
        <v/>
      </c>
      <c r="C352" s="50" t="str">
        <f>IF($A352="","",计算结果!BT341-G352-H352)</f>
        <v/>
      </c>
      <c r="D352" s="40" t="str">
        <f>IF($A352="","",基本信息!BS341)</f>
        <v/>
      </c>
      <c r="F352" s="40" t="str">
        <f>IF($A352="","",基本信息!A341)</f>
        <v/>
      </c>
      <c r="G352" s="50" t="str">
        <f>IF($A352="","",计算结果!BI341+计算结果!BJ341)</f>
        <v/>
      </c>
      <c r="H352" s="50" t="str">
        <f>IF($A352="","",计算结果!BK341)</f>
        <v/>
      </c>
    </row>
    <row r="353" spans="1:8">
      <c r="A353" s="40" t="str">
        <f>IF(AND(OR(IFERROR(FIND("交行",基本信息!BS342),0)&gt;0,IFERROR(FIND("交通银行",基本信息!BS342),0)&gt;0),计算结果!BT342&gt;0),基本信息!BR342,"")</f>
        <v/>
      </c>
      <c r="B353" s="40" t="str">
        <f>IF($A353="","",基本信息!BQ342)</f>
        <v/>
      </c>
      <c r="C353" s="50" t="str">
        <f>IF($A353="","",计算结果!BT342-G353-H353)</f>
        <v/>
      </c>
      <c r="D353" s="40" t="str">
        <f>IF($A353="","",基本信息!BS342)</f>
        <v/>
      </c>
      <c r="F353" s="40" t="str">
        <f>IF($A353="","",基本信息!A342)</f>
        <v/>
      </c>
      <c r="G353" s="50" t="str">
        <f>IF($A353="","",计算结果!BI342+计算结果!BJ342)</f>
        <v/>
      </c>
      <c r="H353" s="50" t="str">
        <f>IF($A353="","",计算结果!BK342)</f>
        <v/>
      </c>
    </row>
    <row r="354" spans="1:8">
      <c r="A354" s="40" t="str">
        <f>IF(AND(OR(IFERROR(FIND("交行",基本信息!BS343),0)&gt;0,IFERROR(FIND("交通银行",基本信息!BS343),0)&gt;0),计算结果!BT343&gt;0),基本信息!BR343,"")</f>
        <v/>
      </c>
      <c r="B354" s="40" t="str">
        <f>IF($A354="","",基本信息!BQ343)</f>
        <v/>
      </c>
      <c r="C354" s="50" t="str">
        <f>IF($A354="","",计算结果!BT343-G354-H354)</f>
        <v/>
      </c>
      <c r="D354" s="40" t="str">
        <f>IF($A354="","",基本信息!BS343)</f>
        <v/>
      </c>
      <c r="F354" s="40" t="str">
        <f>IF($A354="","",基本信息!A343)</f>
        <v/>
      </c>
      <c r="G354" s="50" t="str">
        <f>IF($A354="","",计算结果!BI343+计算结果!BJ343)</f>
        <v/>
      </c>
      <c r="H354" s="50" t="str">
        <f>IF($A354="","",计算结果!BK343)</f>
        <v/>
      </c>
    </row>
    <row r="355" spans="1:8">
      <c r="A355" s="40" t="str">
        <f>IF(AND(OR(IFERROR(FIND("交行",基本信息!BS344),0)&gt;0,IFERROR(FIND("交通银行",基本信息!BS344),0)&gt;0),计算结果!BT344&gt;0),基本信息!BR344,"")</f>
        <v/>
      </c>
      <c r="B355" s="40" t="str">
        <f>IF($A355="","",基本信息!BQ344)</f>
        <v/>
      </c>
      <c r="C355" s="50" t="str">
        <f>IF($A355="","",计算结果!BT344-G355-H355)</f>
        <v/>
      </c>
      <c r="D355" s="40" t="str">
        <f>IF($A355="","",基本信息!BS344)</f>
        <v/>
      </c>
      <c r="F355" s="40" t="str">
        <f>IF($A355="","",基本信息!A344)</f>
        <v/>
      </c>
      <c r="G355" s="50" t="str">
        <f>IF($A355="","",计算结果!BI344+计算结果!BJ344)</f>
        <v/>
      </c>
      <c r="H355" s="50" t="str">
        <f>IF($A355="","",计算结果!BK344)</f>
        <v/>
      </c>
    </row>
    <row r="356" spans="1:8">
      <c r="A356" s="40" t="str">
        <f>IF(AND(OR(IFERROR(FIND("交行",基本信息!BS345),0)&gt;0,IFERROR(FIND("交通银行",基本信息!BS345),0)&gt;0),计算结果!BT345&gt;0),基本信息!BR345,"")</f>
        <v/>
      </c>
      <c r="B356" s="40" t="str">
        <f>IF($A356="","",基本信息!BQ345)</f>
        <v/>
      </c>
      <c r="C356" s="50" t="str">
        <f>IF($A356="","",计算结果!BT345-G356-H356)</f>
        <v/>
      </c>
      <c r="D356" s="40" t="str">
        <f>IF($A356="","",基本信息!BS345)</f>
        <v/>
      </c>
      <c r="F356" s="40" t="str">
        <f>IF($A356="","",基本信息!A345)</f>
        <v/>
      </c>
      <c r="G356" s="50" t="str">
        <f>IF($A356="","",计算结果!BI345+计算结果!BJ345)</f>
        <v/>
      </c>
      <c r="H356" s="50" t="str">
        <f>IF($A356="","",计算结果!BK345)</f>
        <v/>
      </c>
    </row>
    <row r="357" spans="1:8">
      <c r="A357" s="40" t="str">
        <f>IF(AND(OR(IFERROR(FIND("交行",基本信息!BS346),0)&gt;0,IFERROR(FIND("交通银行",基本信息!BS346),0)&gt;0),计算结果!BT346&gt;0),基本信息!BR346,"")</f>
        <v/>
      </c>
      <c r="B357" s="40" t="str">
        <f>IF($A357="","",基本信息!BQ346)</f>
        <v/>
      </c>
      <c r="C357" s="50" t="str">
        <f>IF($A357="","",计算结果!BT346-G357-H357)</f>
        <v/>
      </c>
      <c r="D357" s="40" t="str">
        <f>IF($A357="","",基本信息!BS346)</f>
        <v/>
      </c>
      <c r="F357" s="40" t="str">
        <f>IF($A357="","",基本信息!A346)</f>
        <v/>
      </c>
      <c r="G357" s="50" t="str">
        <f>IF($A357="","",计算结果!BI346+计算结果!BJ346)</f>
        <v/>
      </c>
      <c r="H357" s="50" t="str">
        <f>IF($A357="","",计算结果!BK346)</f>
        <v/>
      </c>
    </row>
    <row r="358" spans="1:8">
      <c r="A358" s="40" t="str">
        <f>IF(AND(OR(IFERROR(FIND("交行",基本信息!BS347),0)&gt;0,IFERROR(FIND("交通银行",基本信息!BS347),0)&gt;0),计算结果!BT347&gt;0),基本信息!BR347,"")</f>
        <v/>
      </c>
      <c r="B358" s="40" t="str">
        <f>IF($A358="","",基本信息!BQ347)</f>
        <v/>
      </c>
      <c r="C358" s="50" t="str">
        <f>IF($A358="","",计算结果!BT347-G358-H358)</f>
        <v/>
      </c>
      <c r="D358" s="40" t="str">
        <f>IF($A358="","",基本信息!BS347)</f>
        <v/>
      </c>
      <c r="F358" s="40" t="str">
        <f>IF($A358="","",基本信息!A347)</f>
        <v/>
      </c>
      <c r="G358" s="50" t="str">
        <f>IF($A358="","",计算结果!BI347+计算结果!BJ347)</f>
        <v/>
      </c>
      <c r="H358" s="50" t="str">
        <f>IF($A358="","",计算结果!BK347)</f>
        <v/>
      </c>
    </row>
    <row r="359" spans="1:8">
      <c r="A359" s="40" t="str">
        <f>IF(AND(OR(IFERROR(FIND("交行",基本信息!BS348),0)&gt;0,IFERROR(FIND("交通银行",基本信息!BS348),0)&gt;0),计算结果!BT348&gt;0),基本信息!BR348,"")</f>
        <v/>
      </c>
      <c r="B359" s="40" t="str">
        <f>IF($A359="","",基本信息!BQ348)</f>
        <v/>
      </c>
      <c r="C359" s="50" t="str">
        <f>IF($A359="","",计算结果!BT348-G359-H359)</f>
        <v/>
      </c>
      <c r="D359" s="40" t="str">
        <f>IF($A359="","",基本信息!BS348)</f>
        <v/>
      </c>
      <c r="F359" s="40" t="str">
        <f>IF($A359="","",基本信息!A348)</f>
        <v/>
      </c>
      <c r="G359" s="50" t="str">
        <f>IF($A359="","",计算结果!BI348+计算结果!BJ348)</f>
        <v/>
      </c>
      <c r="H359" s="50" t="str">
        <f>IF($A359="","",计算结果!BK348)</f>
        <v/>
      </c>
    </row>
    <row r="360" spans="1:8">
      <c r="A360" s="40" t="str">
        <f>IF(AND(OR(IFERROR(FIND("交行",基本信息!BS349),0)&gt;0,IFERROR(FIND("交通银行",基本信息!BS349),0)&gt;0),计算结果!BT349&gt;0),基本信息!BR349,"")</f>
        <v/>
      </c>
      <c r="B360" s="40" t="str">
        <f>IF($A360="","",基本信息!BQ349)</f>
        <v/>
      </c>
      <c r="C360" s="50" t="str">
        <f>IF($A360="","",计算结果!BT349-G360-H360)</f>
        <v/>
      </c>
      <c r="D360" s="40" t="str">
        <f>IF($A360="","",基本信息!BS349)</f>
        <v/>
      </c>
      <c r="F360" s="40" t="str">
        <f>IF($A360="","",基本信息!A349)</f>
        <v/>
      </c>
      <c r="G360" s="50" t="str">
        <f>IF($A360="","",计算结果!BI349+计算结果!BJ349)</f>
        <v/>
      </c>
      <c r="H360" s="50" t="str">
        <f>IF($A360="","",计算结果!BK349)</f>
        <v/>
      </c>
    </row>
    <row r="361" spans="1:8">
      <c r="A361" s="40" t="str">
        <f>IF(AND(OR(IFERROR(FIND("交行",基本信息!BS350),0)&gt;0,IFERROR(FIND("交通银行",基本信息!BS350),0)&gt;0),计算结果!BT350&gt;0),基本信息!BR350,"")</f>
        <v/>
      </c>
      <c r="B361" s="40" t="str">
        <f>IF($A361="","",基本信息!BQ350)</f>
        <v/>
      </c>
      <c r="C361" s="50" t="str">
        <f>IF($A361="","",计算结果!BT350-G361-H361)</f>
        <v/>
      </c>
      <c r="D361" s="40" t="str">
        <f>IF($A361="","",基本信息!BS350)</f>
        <v/>
      </c>
      <c r="F361" s="40" t="str">
        <f>IF($A361="","",基本信息!A350)</f>
        <v/>
      </c>
      <c r="G361" s="50" t="str">
        <f>IF($A361="","",计算结果!BI350+计算结果!BJ350)</f>
        <v/>
      </c>
      <c r="H361" s="50" t="str">
        <f>IF($A361="","",计算结果!BK350)</f>
        <v/>
      </c>
    </row>
    <row r="362" spans="1:8">
      <c r="A362" s="40" t="str">
        <f>IF(AND(OR(IFERROR(FIND("交行",基本信息!BS351),0)&gt;0,IFERROR(FIND("交通银行",基本信息!BS351),0)&gt;0),计算结果!BT351&gt;0),基本信息!BR351,"")</f>
        <v/>
      </c>
      <c r="B362" s="40" t="str">
        <f>IF($A362="","",基本信息!BQ351)</f>
        <v/>
      </c>
      <c r="C362" s="50" t="str">
        <f>IF($A362="","",计算结果!BT351-G362-H362)</f>
        <v/>
      </c>
      <c r="D362" s="40" t="str">
        <f>IF($A362="","",基本信息!BS351)</f>
        <v/>
      </c>
      <c r="F362" s="40" t="str">
        <f>IF($A362="","",基本信息!A351)</f>
        <v/>
      </c>
      <c r="G362" s="50" t="str">
        <f>IF($A362="","",计算结果!BI351+计算结果!BJ351)</f>
        <v/>
      </c>
      <c r="H362" s="50" t="str">
        <f>IF($A362="","",计算结果!BK351)</f>
        <v/>
      </c>
    </row>
    <row r="363" spans="1:8">
      <c r="A363" s="40" t="str">
        <f>IF(AND(OR(IFERROR(FIND("交行",基本信息!BS352),0)&gt;0,IFERROR(FIND("交通银行",基本信息!BS352),0)&gt;0),计算结果!BT352&gt;0),基本信息!BR352,"")</f>
        <v/>
      </c>
      <c r="B363" s="40" t="str">
        <f>IF($A363="","",基本信息!BQ352)</f>
        <v/>
      </c>
      <c r="C363" s="50" t="str">
        <f>IF($A363="","",计算结果!BT352-G363-H363)</f>
        <v/>
      </c>
      <c r="D363" s="40" t="str">
        <f>IF($A363="","",基本信息!BS352)</f>
        <v/>
      </c>
      <c r="F363" s="40" t="str">
        <f>IF($A363="","",基本信息!A352)</f>
        <v/>
      </c>
      <c r="G363" s="50" t="str">
        <f>IF($A363="","",计算结果!BI352+计算结果!BJ352)</f>
        <v/>
      </c>
      <c r="H363" s="50" t="str">
        <f>IF($A363="","",计算结果!BK352)</f>
        <v/>
      </c>
    </row>
    <row r="364" spans="1:8">
      <c r="A364" s="40" t="str">
        <f>IF(AND(OR(IFERROR(FIND("交行",基本信息!BS353),0)&gt;0,IFERROR(FIND("交通银行",基本信息!BS353),0)&gt;0),计算结果!BT353&gt;0),基本信息!BR353,"")</f>
        <v/>
      </c>
      <c r="B364" s="40" t="str">
        <f>IF($A364="","",基本信息!BQ353)</f>
        <v/>
      </c>
      <c r="C364" s="50" t="str">
        <f>IF($A364="","",计算结果!BT353-G364-H364)</f>
        <v/>
      </c>
      <c r="D364" s="40" t="str">
        <f>IF($A364="","",基本信息!BS353)</f>
        <v/>
      </c>
      <c r="F364" s="40" t="str">
        <f>IF($A364="","",基本信息!A353)</f>
        <v/>
      </c>
      <c r="G364" s="50" t="str">
        <f>IF($A364="","",计算结果!BI353+计算结果!BJ353)</f>
        <v/>
      </c>
      <c r="H364" s="50" t="str">
        <f>IF($A364="","",计算结果!BK353)</f>
        <v/>
      </c>
    </row>
    <row r="365" spans="1:8">
      <c r="A365" s="40" t="str">
        <f>IF(AND(OR(IFERROR(FIND("交行",基本信息!BS354),0)&gt;0,IFERROR(FIND("交通银行",基本信息!BS354),0)&gt;0),计算结果!BT354&gt;0),基本信息!BR354,"")</f>
        <v/>
      </c>
      <c r="B365" s="40" t="str">
        <f>IF($A365="","",基本信息!BQ354)</f>
        <v/>
      </c>
      <c r="C365" s="50" t="str">
        <f>IF($A365="","",计算结果!BT354-G365-H365)</f>
        <v/>
      </c>
      <c r="D365" s="40" t="str">
        <f>IF($A365="","",基本信息!BS354)</f>
        <v/>
      </c>
      <c r="F365" s="40" t="str">
        <f>IF($A365="","",基本信息!A354)</f>
        <v/>
      </c>
      <c r="G365" s="50" t="str">
        <f>IF($A365="","",计算结果!BI354+计算结果!BJ354)</f>
        <v/>
      </c>
      <c r="H365" s="50" t="str">
        <f>IF($A365="","",计算结果!BK354)</f>
        <v/>
      </c>
    </row>
    <row r="366" spans="1:8">
      <c r="A366" s="40" t="str">
        <f>IF(AND(OR(IFERROR(FIND("交行",基本信息!BS355),0)&gt;0,IFERROR(FIND("交通银行",基本信息!BS355),0)&gt;0),计算结果!BT355&gt;0),基本信息!BR355,"")</f>
        <v/>
      </c>
      <c r="B366" s="40" t="str">
        <f>IF($A366="","",基本信息!BQ355)</f>
        <v/>
      </c>
      <c r="C366" s="50" t="str">
        <f>IF($A366="","",计算结果!BT355-G366-H366)</f>
        <v/>
      </c>
      <c r="D366" s="40" t="str">
        <f>IF($A366="","",基本信息!BS355)</f>
        <v/>
      </c>
      <c r="F366" s="40" t="str">
        <f>IF($A366="","",基本信息!A355)</f>
        <v/>
      </c>
      <c r="G366" s="50" t="str">
        <f>IF($A366="","",计算结果!BI355+计算结果!BJ355)</f>
        <v/>
      </c>
      <c r="H366" s="50" t="str">
        <f>IF($A366="","",计算结果!BK355)</f>
        <v/>
      </c>
    </row>
    <row r="367" spans="1:8">
      <c r="A367" s="40" t="str">
        <f>IF(AND(OR(IFERROR(FIND("交行",基本信息!BS356),0)&gt;0,IFERROR(FIND("交通银行",基本信息!BS356),0)&gt;0),计算结果!BT356&gt;0),基本信息!BR356,"")</f>
        <v/>
      </c>
      <c r="B367" s="40" t="str">
        <f>IF($A367="","",基本信息!BQ356)</f>
        <v/>
      </c>
      <c r="C367" s="50" t="str">
        <f>IF($A367="","",计算结果!BT356-G367-H367)</f>
        <v/>
      </c>
      <c r="D367" s="40" t="str">
        <f>IF($A367="","",基本信息!BS356)</f>
        <v/>
      </c>
      <c r="F367" s="40" t="str">
        <f>IF($A367="","",基本信息!A356)</f>
        <v/>
      </c>
      <c r="G367" s="50" t="str">
        <f>IF($A367="","",计算结果!BI356+计算结果!BJ356)</f>
        <v/>
      </c>
      <c r="H367" s="50" t="str">
        <f>IF($A367="","",计算结果!BK356)</f>
        <v/>
      </c>
    </row>
    <row r="368" spans="1:8">
      <c r="A368" s="40" t="str">
        <f>IF(AND(OR(IFERROR(FIND("交行",基本信息!BS357),0)&gt;0,IFERROR(FIND("交通银行",基本信息!BS357),0)&gt;0),计算结果!BT357&gt;0),基本信息!BR357,"")</f>
        <v/>
      </c>
      <c r="B368" s="40" t="str">
        <f>IF($A368="","",基本信息!BQ357)</f>
        <v/>
      </c>
      <c r="C368" s="50" t="str">
        <f>IF($A368="","",计算结果!BT357-G368-H368)</f>
        <v/>
      </c>
      <c r="D368" s="40" t="str">
        <f>IF($A368="","",基本信息!BS357)</f>
        <v/>
      </c>
      <c r="F368" s="40" t="str">
        <f>IF($A368="","",基本信息!A357)</f>
        <v/>
      </c>
      <c r="G368" s="50" t="str">
        <f>IF($A368="","",计算结果!BI357+计算结果!BJ357)</f>
        <v/>
      </c>
      <c r="H368" s="50" t="str">
        <f>IF($A368="","",计算结果!BK357)</f>
        <v/>
      </c>
    </row>
    <row r="369" spans="1:8">
      <c r="A369" s="40" t="str">
        <f>IF(AND(OR(IFERROR(FIND("交行",基本信息!BS358),0)&gt;0,IFERROR(FIND("交通银行",基本信息!BS358),0)&gt;0),计算结果!BT358&gt;0),基本信息!BR358,"")</f>
        <v/>
      </c>
      <c r="B369" s="40" t="str">
        <f>IF($A369="","",基本信息!BQ358)</f>
        <v/>
      </c>
      <c r="C369" s="50" t="str">
        <f>IF($A369="","",计算结果!BT358-G369-H369)</f>
        <v/>
      </c>
      <c r="D369" s="40" t="str">
        <f>IF($A369="","",基本信息!BS358)</f>
        <v/>
      </c>
      <c r="F369" s="40" t="str">
        <f>IF($A369="","",基本信息!A358)</f>
        <v/>
      </c>
      <c r="G369" s="50" t="str">
        <f>IF($A369="","",计算结果!BI358+计算结果!BJ358)</f>
        <v/>
      </c>
      <c r="H369" s="50" t="str">
        <f>IF($A369="","",计算结果!BK358)</f>
        <v/>
      </c>
    </row>
    <row r="370" spans="1:8">
      <c r="A370" s="40" t="str">
        <f>IF(AND(OR(IFERROR(FIND("交行",基本信息!BS359),0)&gt;0,IFERROR(FIND("交通银行",基本信息!BS359),0)&gt;0),计算结果!BT359&gt;0),基本信息!BR359,"")</f>
        <v/>
      </c>
      <c r="B370" s="40" t="str">
        <f>IF($A370="","",基本信息!BQ359)</f>
        <v/>
      </c>
      <c r="C370" s="50" t="str">
        <f>IF($A370="","",计算结果!BT359-G370-H370)</f>
        <v/>
      </c>
      <c r="D370" s="40" t="str">
        <f>IF($A370="","",基本信息!BS359)</f>
        <v/>
      </c>
      <c r="F370" s="40" t="str">
        <f>IF($A370="","",基本信息!A359)</f>
        <v/>
      </c>
      <c r="G370" s="50" t="str">
        <f>IF($A370="","",计算结果!BI359+计算结果!BJ359)</f>
        <v/>
      </c>
      <c r="H370" s="50" t="str">
        <f>IF($A370="","",计算结果!BK359)</f>
        <v/>
      </c>
    </row>
    <row r="371" spans="1:8">
      <c r="A371" s="40" t="str">
        <f>IF(AND(OR(IFERROR(FIND("交行",基本信息!BS360),0)&gt;0,IFERROR(FIND("交通银行",基本信息!BS360),0)&gt;0),计算结果!BT360&gt;0),基本信息!BR360,"")</f>
        <v/>
      </c>
      <c r="B371" s="40" t="str">
        <f>IF($A371="","",基本信息!BQ360)</f>
        <v/>
      </c>
      <c r="C371" s="50" t="str">
        <f>IF($A371="","",计算结果!BT360-G371-H371)</f>
        <v/>
      </c>
      <c r="D371" s="40" t="str">
        <f>IF($A371="","",基本信息!BS360)</f>
        <v/>
      </c>
      <c r="F371" s="40" t="str">
        <f>IF($A371="","",基本信息!A360)</f>
        <v/>
      </c>
      <c r="G371" s="50" t="str">
        <f>IF($A371="","",计算结果!BI360+计算结果!BJ360)</f>
        <v/>
      </c>
      <c r="H371" s="50" t="str">
        <f>IF($A371="","",计算结果!BK360)</f>
        <v/>
      </c>
    </row>
    <row r="372" spans="1:8">
      <c r="A372" s="40" t="str">
        <f>IF(AND(OR(IFERROR(FIND("交行",基本信息!BS361),0)&gt;0,IFERROR(FIND("交通银行",基本信息!BS361),0)&gt;0),计算结果!BT361&gt;0),基本信息!BR361,"")</f>
        <v/>
      </c>
      <c r="B372" s="40" t="str">
        <f>IF($A372="","",基本信息!BQ361)</f>
        <v/>
      </c>
      <c r="C372" s="50" t="str">
        <f>IF($A372="","",计算结果!BT361-G372-H372)</f>
        <v/>
      </c>
      <c r="D372" s="40" t="str">
        <f>IF($A372="","",基本信息!BS361)</f>
        <v/>
      </c>
      <c r="F372" s="40" t="str">
        <f>IF($A372="","",基本信息!A361)</f>
        <v/>
      </c>
      <c r="G372" s="50" t="str">
        <f>IF($A372="","",计算结果!BI361+计算结果!BJ361)</f>
        <v/>
      </c>
      <c r="H372" s="50" t="str">
        <f>IF($A372="","",计算结果!BK361)</f>
        <v/>
      </c>
    </row>
    <row r="373" spans="1:8">
      <c r="A373" s="40" t="str">
        <f>IF(AND(OR(IFERROR(FIND("交行",基本信息!BS362),0)&gt;0,IFERROR(FIND("交通银行",基本信息!BS362),0)&gt;0),计算结果!BT362&gt;0),基本信息!BR362,"")</f>
        <v/>
      </c>
      <c r="B373" s="40" t="str">
        <f>IF($A373="","",基本信息!BQ362)</f>
        <v/>
      </c>
      <c r="C373" s="50" t="str">
        <f>IF($A373="","",计算结果!BT362-G373-H373)</f>
        <v/>
      </c>
      <c r="D373" s="40" t="str">
        <f>IF($A373="","",基本信息!BS362)</f>
        <v/>
      </c>
      <c r="F373" s="40" t="str">
        <f>IF($A373="","",基本信息!A362)</f>
        <v/>
      </c>
      <c r="G373" s="50" t="str">
        <f>IF($A373="","",计算结果!BI362+计算结果!BJ362)</f>
        <v/>
      </c>
      <c r="H373" s="50" t="str">
        <f>IF($A373="","",计算结果!BK362)</f>
        <v/>
      </c>
    </row>
    <row r="374" spans="1:8">
      <c r="A374" s="40" t="str">
        <f>IF(AND(OR(IFERROR(FIND("交行",基本信息!BS363),0)&gt;0,IFERROR(FIND("交通银行",基本信息!BS363),0)&gt;0),计算结果!BT363&gt;0),基本信息!BR363,"")</f>
        <v/>
      </c>
      <c r="B374" s="40" t="str">
        <f>IF($A374="","",基本信息!BQ363)</f>
        <v/>
      </c>
      <c r="C374" s="50" t="str">
        <f>IF($A374="","",计算结果!BT363-G374-H374)</f>
        <v/>
      </c>
      <c r="D374" s="40" t="str">
        <f>IF($A374="","",基本信息!BS363)</f>
        <v/>
      </c>
      <c r="F374" s="40" t="str">
        <f>IF($A374="","",基本信息!A363)</f>
        <v/>
      </c>
      <c r="G374" s="50" t="str">
        <f>IF($A374="","",计算结果!BI363+计算结果!BJ363)</f>
        <v/>
      </c>
      <c r="H374" s="50" t="str">
        <f>IF($A374="","",计算结果!BK363)</f>
        <v/>
      </c>
    </row>
    <row r="375" spans="1:8">
      <c r="A375" s="40" t="str">
        <f>IF(AND(OR(IFERROR(FIND("交行",基本信息!BS364),0)&gt;0,IFERROR(FIND("交通银行",基本信息!BS364),0)&gt;0),计算结果!BT364&gt;0),基本信息!BR364,"")</f>
        <v/>
      </c>
      <c r="B375" s="40" t="str">
        <f>IF($A375="","",基本信息!BQ364)</f>
        <v/>
      </c>
      <c r="C375" s="50" t="str">
        <f>IF($A375="","",计算结果!BT364-G375-H375)</f>
        <v/>
      </c>
      <c r="D375" s="40" t="str">
        <f>IF($A375="","",基本信息!BS364)</f>
        <v/>
      </c>
      <c r="F375" s="40" t="str">
        <f>IF($A375="","",基本信息!A364)</f>
        <v/>
      </c>
      <c r="G375" s="50" t="str">
        <f>IF($A375="","",计算结果!BI364+计算结果!BJ364)</f>
        <v/>
      </c>
      <c r="H375" s="50" t="str">
        <f>IF($A375="","",计算结果!BK364)</f>
        <v/>
      </c>
    </row>
    <row r="376" spans="1:8">
      <c r="A376" s="40" t="str">
        <f>IF(AND(OR(IFERROR(FIND("交行",基本信息!BS365),0)&gt;0,IFERROR(FIND("交通银行",基本信息!BS365),0)&gt;0),计算结果!BT365&gt;0),基本信息!BR365,"")</f>
        <v/>
      </c>
      <c r="B376" s="40" t="str">
        <f>IF($A376="","",基本信息!BQ365)</f>
        <v/>
      </c>
      <c r="C376" s="50" t="str">
        <f>IF($A376="","",计算结果!BT365-G376-H376)</f>
        <v/>
      </c>
      <c r="D376" s="40" t="str">
        <f>IF($A376="","",基本信息!BS365)</f>
        <v/>
      </c>
      <c r="F376" s="40" t="str">
        <f>IF($A376="","",基本信息!A365)</f>
        <v/>
      </c>
      <c r="G376" s="50" t="str">
        <f>IF($A376="","",计算结果!BI365+计算结果!BJ365)</f>
        <v/>
      </c>
      <c r="H376" s="50" t="str">
        <f>IF($A376="","",计算结果!BK365)</f>
        <v/>
      </c>
    </row>
    <row r="377" spans="1:8">
      <c r="A377" s="40" t="str">
        <f>IF(AND(OR(IFERROR(FIND("交行",基本信息!BS366),0)&gt;0,IFERROR(FIND("交通银行",基本信息!BS366),0)&gt;0),计算结果!BT366&gt;0),基本信息!BR366,"")</f>
        <v/>
      </c>
      <c r="B377" s="40" t="str">
        <f>IF($A377="","",基本信息!BQ366)</f>
        <v/>
      </c>
      <c r="C377" s="50" t="str">
        <f>IF($A377="","",计算结果!BT366-G377-H377)</f>
        <v/>
      </c>
      <c r="D377" s="40" t="str">
        <f>IF($A377="","",基本信息!BS366)</f>
        <v/>
      </c>
      <c r="F377" s="40" t="str">
        <f>IF($A377="","",基本信息!A366)</f>
        <v/>
      </c>
      <c r="G377" s="50" t="str">
        <f>IF($A377="","",计算结果!BI366+计算结果!BJ366)</f>
        <v/>
      </c>
      <c r="H377" s="50" t="str">
        <f>IF($A377="","",计算结果!BK366)</f>
        <v/>
      </c>
    </row>
    <row r="378" spans="1:8">
      <c r="A378" s="40" t="str">
        <f>IF(AND(OR(IFERROR(FIND("交行",基本信息!BS367),0)&gt;0,IFERROR(FIND("交通银行",基本信息!BS367),0)&gt;0),计算结果!BT367&gt;0),基本信息!BR367,"")</f>
        <v/>
      </c>
      <c r="B378" s="40" t="str">
        <f>IF($A378="","",基本信息!BQ367)</f>
        <v/>
      </c>
      <c r="C378" s="50" t="str">
        <f>IF($A378="","",计算结果!BT367-G378-H378)</f>
        <v/>
      </c>
      <c r="D378" s="40" t="str">
        <f>IF($A378="","",基本信息!BS367)</f>
        <v/>
      </c>
      <c r="F378" s="40" t="str">
        <f>IF($A378="","",基本信息!A367)</f>
        <v/>
      </c>
      <c r="G378" s="50" t="str">
        <f>IF($A378="","",计算结果!BI367+计算结果!BJ367)</f>
        <v/>
      </c>
      <c r="H378" s="50" t="str">
        <f>IF($A378="","",计算结果!BK367)</f>
        <v/>
      </c>
    </row>
    <row r="379" spans="1:8">
      <c r="A379" s="40" t="str">
        <f>IF(AND(OR(IFERROR(FIND("交行",基本信息!BS368),0)&gt;0,IFERROR(FIND("交通银行",基本信息!BS368),0)&gt;0),计算结果!BT368&gt;0),基本信息!BR368,"")</f>
        <v/>
      </c>
      <c r="B379" s="40" t="str">
        <f>IF($A379="","",基本信息!BQ368)</f>
        <v/>
      </c>
      <c r="C379" s="50" t="str">
        <f>IF($A379="","",计算结果!BT368-G379-H379)</f>
        <v/>
      </c>
      <c r="D379" s="40" t="str">
        <f>IF($A379="","",基本信息!BS368)</f>
        <v/>
      </c>
      <c r="F379" s="40" t="str">
        <f>IF($A379="","",基本信息!A368)</f>
        <v/>
      </c>
      <c r="G379" s="50" t="str">
        <f>IF($A379="","",计算结果!BI368+计算结果!BJ368)</f>
        <v/>
      </c>
      <c r="H379" s="50" t="str">
        <f>IF($A379="","",计算结果!BK368)</f>
        <v/>
      </c>
    </row>
    <row r="380" spans="1:8">
      <c r="A380" s="40" t="str">
        <f>IF(AND(OR(IFERROR(FIND("交行",基本信息!BS369),0)&gt;0,IFERROR(FIND("交通银行",基本信息!BS369),0)&gt;0),计算结果!BT369&gt;0),基本信息!BR369,"")</f>
        <v/>
      </c>
      <c r="B380" s="40" t="str">
        <f>IF($A380="","",基本信息!BQ369)</f>
        <v/>
      </c>
      <c r="C380" s="50" t="str">
        <f>IF($A380="","",计算结果!BT369-G380-H380)</f>
        <v/>
      </c>
      <c r="D380" s="40" t="str">
        <f>IF($A380="","",基本信息!BS369)</f>
        <v/>
      </c>
      <c r="F380" s="40" t="str">
        <f>IF($A380="","",基本信息!A369)</f>
        <v/>
      </c>
      <c r="G380" s="50" t="str">
        <f>IF($A380="","",计算结果!BI369+计算结果!BJ369)</f>
        <v/>
      </c>
      <c r="H380" s="50" t="str">
        <f>IF($A380="","",计算结果!BK369)</f>
        <v/>
      </c>
    </row>
    <row r="381" spans="1:8">
      <c r="A381" s="40" t="str">
        <f>IF(AND(OR(IFERROR(FIND("交行",基本信息!BS370),0)&gt;0,IFERROR(FIND("交通银行",基本信息!BS370),0)&gt;0),计算结果!BT370&gt;0),基本信息!BR370,"")</f>
        <v/>
      </c>
      <c r="B381" s="40" t="str">
        <f>IF($A381="","",基本信息!BQ370)</f>
        <v/>
      </c>
      <c r="C381" s="50" t="str">
        <f>IF($A381="","",计算结果!BT370-G381-H381)</f>
        <v/>
      </c>
      <c r="D381" s="40" t="str">
        <f>IF($A381="","",基本信息!BS370)</f>
        <v/>
      </c>
      <c r="F381" s="40" t="str">
        <f>IF($A381="","",基本信息!A370)</f>
        <v/>
      </c>
      <c r="G381" s="50" t="str">
        <f>IF($A381="","",计算结果!BI370+计算结果!BJ370)</f>
        <v/>
      </c>
      <c r="H381" s="50" t="str">
        <f>IF($A381="","",计算结果!BK370)</f>
        <v/>
      </c>
    </row>
    <row r="382" spans="1:8">
      <c r="A382" s="40" t="str">
        <f>IF(AND(OR(IFERROR(FIND("交行",基本信息!BS371),0)&gt;0,IFERROR(FIND("交通银行",基本信息!BS371),0)&gt;0),计算结果!BT371&gt;0),基本信息!BR371,"")</f>
        <v/>
      </c>
      <c r="B382" s="40" t="str">
        <f>IF($A382="","",基本信息!BQ371)</f>
        <v/>
      </c>
      <c r="C382" s="50" t="str">
        <f>IF($A382="","",计算结果!BT371-G382-H382)</f>
        <v/>
      </c>
      <c r="D382" s="40" t="str">
        <f>IF($A382="","",基本信息!BS371)</f>
        <v/>
      </c>
      <c r="F382" s="40" t="str">
        <f>IF($A382="","",基本信息!A371)</f>
        <v/>
      </c>
      <c r="G382" s="50" t="str">
        <f>IF($A382="","",计算结果!BI371+计算结果!BJ371)</f>
        <v/>
      </c>
      <c r="H382" s="50" t="str">
        <f>IF($A382="","",计算结果!BK371)</f>
        <v/>
      </c>
    </row>
    <row r="383" spans="1:8">
      <c r="A383" s="40" t="str">
        <f>IF(AND(OR(IFERROR(FIND("交行",基本信息!BS372),0)&gt;0,IFERROR(FIND("交通银行",基本信息!BS372),0)&gt;0),计算结果!BT372&gt;0),基本信息!BR372,"")</f>
        <v/>
      </c>
      <c r="B383" s="40" t="str">
        <f>IF($A383="","",基本信息!BQ372)</f>
        <v/>
      </c>
      <c r="C383" s="50" t="str">
        <f>IF($A383="","",计算结果!BT372-G383-H383)</f>
        <v/>
      </c>
      <c r="D383" s="40" t="str">
        <f>IF($A383="","",基本信息!BS372)</f>
        <v/>
      </c>
      <c r="F383" s="40" t="str">
        <f>IF($A383="","",基本信息!A372)</f>
        <v/>
      </c>
      <c r="G383" s="50" t="str">
        <f>IF($A383="","",计算结果!BI372+计算结果!BJ372)</f>
        <v/>
      </c>
      <c r="H383" s="50" t="str">
        <f>IF($A383="","",计算结果!BK372)</f>
        <v/>
      </c>
    </row>
    <row r="384" spans="1:8">
      <c r="A384" s="40" t="str">
        <f>IF(AND(OR(IFERROR(FIND("交行",基本信息!BS373),0)&gt;0,IFERROR(FIND("交通银行",基本信息!BS373),0)&gt;0),计算结果!BT373&gt;0),基本信息!BR373,"")</f>
        <v/>
      </c>
      <c r="B384" s="40" t="str">
        <f>IF($A384="","",基本信息!BQ373)</f>
        <v/>
      </c>
      <c r="C384" s="50" t="str">
        <f>IF($A384="","",计算结果!BT373-G384-H384)</f>
        <v/>
      </c>
      <c r="D384" s="40" t="str">
        <f>IF($A384="","",基本信息!BS373)</f>
        <v/>
      </c>
      <c r="F384" s="40" t="str">
        <f>IF($A384="","",基本信息!A373)</f>
        <v/>
      </c>
      <c r="G384" s="50" t="str">
        <f>IF($A384="","",计算结果!BI373+计算结果!BJ373)</f>
        <v/>
      </c>
      <c r="H384" s="50" t="str">
        <f>IF($A384="","",计算结果!BK373)</f>
        <v/>
      </c>
    </row>
    <row r="385" spans="1:8">
      <c r="A385" s="40" t="str">
        <f>IF(AND(OR(IFERROR(FIND("交行",基本信息!BS374),0)&gt;0,IFERROR(FIND("交通银行",基本信息!BS374),0)&gt;0),计算结果!BT374&gt;0),基本信息!BR374,"")</f>
        <v/>
      </c>
      <c r="B385" s="40" t="str">
        <f>IF($A385="","",基本信息!BQ374)</f>
        <v/>
      </c>
      <c r="C385" s="50" t="str">
        <f>IF($A385="","",计算结果!BT374-G385-H385)</f>
        <v/>
      </c>
      <c r="D385" s="40" t="str">
        <f>IF($A385="","",基本信息!BS374)</f>
        <v/>
      </c>
      <c r="F385" s="40" t="str">
        <f>IF($A385="","",基本信息!A374)</f>
        <v/>
      </c>
      <c r="G385" s="50" t="str">
        <f>IF($A385="","",计算结果!BI374+计算结果!BJ374)</f>
        <v/>
      </c>
      <c r="H385" s="50" t="str">
        <f>IF($A385="","",计算结果!BK374)</f>
        <v/>
      </c>
    </row>
    <row r="386" spans="1:8">
      <c r="A386" s="40" t="str">
        <f>IF(AND(OR(IFERROR(FIND("交行",基本信息!BS375),0)&gt;0,IFERROR(FIND("交通银行",基本信息!BS375),0)&gt;0),计算结果!BT375&gt;0),基本信息!BR375,"")</f>
        <v/>
      </c>
      <c r="B386" s="40" t="str">
        <f>IF($A386="","",基本信息!BQ375)</f>
        <v/>
      </c>
      <c r="C386" s="50" t="str">
        <f>IF($A386="","",计算结果!BT375-G386-H386)</f>
        <v/>
      </c>
      <c r="D386" s="40" t="str">
        <f>IF($A386="","",基本信息!BS375)</f>
        <v/>
      </c>
      <c r="F386" s="40" t="str">
        <f>IF($A386="","",基本信息!A375)</f>
        <v/>
      </c>
      <c r="G386" s="50" t="str">
        <f>IF($A386="","",计算结果!BI375+计算结果!BJ375)</f>
        <v/>
      </c>
      <c r="H386" s="50" t="str">
        <f>IF($A386="","",计算结果!BK375)</f>
        <v/>
      </c>
    </row>
    <row r="387" spans="1:8">
      <c r="A387" s="40" t="str">
        <f>IF(AND(OR(IFERROR(FIND("交行",基本信息!BS376),0)&gt;0,IFERROR(FIND("交通银行",基本信息!BS376),0)&gt;0),计算结果!BT376&gt;0),基本信息!BR376,"")</f>
        <v/>
      </c>
      <c r="B387" s="40" t="str">
        <f>IF($A387="","",基本信息!BQ376)</f>
        <v/>
      </c>
      <c r="C387" s="50" t="str">
        <f>IF($A387="","",计算结果!BT376-G387-H387)</f>
        <v/>
      </c>
      <c r="D387" s="40" t="str">
        <f>IF($A387="","",基本信息!BS376)</f>
        <v/>
      </c>
      <c r="F387" s="40" t="str">
        <f>IF($A387="","",基本信息!A376)</f>
        <v/>
      </c>
      <c r="G387" s="50" t="str">
        <f>IF($A387="","",计算结果!BI376+计算结果!BJ376)</f>
        <v/>
      </c>
      <c r="H387" s="50" t="str">
        <f>IF($A387="","",计算结果!BK376)</f>
        <v/>
      </c>
    </row>
    <row r="388" spans="1:8">
      <c r="A388" s="40" t="str">
        <f>IF(AND(OR(IFERROR(FIND("交行",基本信息!BS377),0)&gt;0,IFERROR(FIND("交通银行",基本信息!BS377),0)&gt;0),计算结果!BT377&gt;0),基本信息!BR377,"")</f>
        <v/>
      </c>
      <c r="B388" s="40" t="str">
        <f>IF($A388="","",基本信息!BQ377)</f>
        <v/>
      </c>
      <c r="C388" s="50" t="str">
        <f>IF($A388="","",计算结果!BT377-G388-H388)</f>
        <v/>
      </c>
      <c r="D388" s="40" t="str">
        <f>IF($A388="","",基本信息!BS377)</f>
        <v/>
      </c>
      <c r="F388" s="40" t="str">
        <f>IF($A388="","",基本信息!A377)</f>
        <v/>
      </c>
      <c r="G388" s="50" t="str">
        <f>IF($A388="","",计算结果!BI377+计算结果!BJ377)</f>
        <v/>
      </c>
      <c r="H388" s="50" t="str">
        <f>IF($A388="","",计算结果!BK377)</f>
        <v/>
      </c>
    </row>
    <row r="389" spans="1:8">
      <c r="A389" s="40" t="str">
        <f>IF(AND(OR(IFERROR(FIND("交行",基本信息!BS378),0)&gt;0,IFERROR(FIND("交通银行",基本信息!BS378),0)&gt;0),计算结果!BT378&gt;0),基本信息!BR378,"")</f>
        <v/>
      </c>
      <c r="B389" s="40" t="str">
        <f>IF($A389="","",基本信息!BQ378)</f>
        <v/>
      </c>
      <c r="C389" s="50" t="str">
        <f>IF($A389="","",计算结果!BT378-G389-H389)</f>
        <v/>
      </c>
      <c r="D389" s="40" t="str">
        <f>IF($A389="","",基本信息!BS378)</f>
        <v/>
      </c>
      <c r="F389" s="40" t="str">
        <f>IF($A389="","",基本信息!A378)</f>
        <v/>
      </c>
      <c r="G389" s="50" t="str">
        <f>IF($A389="","",计算结果!BI378+计算结果!BJ378)</f>
        <v/>
      </c>
      <c r="H389" s="50" t="str">
        <f>IF($A389="","",计算结果!BK378)</f>
        <v/>
      </c>
    </row>
    <row r="390" spans="1:8">
      <c r="A390" s="40" t="str">
        <f>IF(AND(OR(IFERROR(FIND("交行",基本信息!BS379),0)&gt;0,IFERROR(FIND("交通银行",基本信息!BS379),0)&gt;0),计算结果!BT379&gt;0),基本信息!BR379,"")</f>
        <v/>
      </c>
      <c r="B390" s="40" t="str">
        <f>IF($A390="","",基本信息!BQ379)</f>
        <v/>
      </c>
      <c r="C390" s="50" t="str">
        <f>IF($A390="","",计算结果!BT379-G390-H390)</f>
        <v/>
      </c>
      <c r="D390" s="40" t="str">
        <f>IF($A390="","",基本信息!BS379)</f>
        <v/>
      </c>
      <c r="F390" s="40" t="str">
        <f>IF($A390="","",基本信息!A379)</f>
        <v/>
      </c>
      <c r="G390" s="50" t="str">
        <f>IF($A390="","",计算结果!BI379+计算结果!BJ379)</f>
        <v/>
      </c>
      <c r="H390" s="50" t="str">
        <f>IF($A390="","",计算结果!BK379)</f>
        <v/>
      </c>
    </row>
    <row r="391" spans="1:8">
      <c r="A391" s="40" t="str">
        <f>IF(AND(OR(IFERROR(FIND("交行",基本信息!BS380),0)&gt;0,IFERROR(FIND("交通银行",基本信息!BS380),0)&gt;0),计算结果!BT380&gt;0),基本信息!BR380,"")</f>
        <v/>
      </c>
      <c r="B391" s="40" t="str">
        <f>IF($A391="","",基本信息!BQ380)</f>
        <v/>
      </c>
      <c r="C391" s="50" t="str">
        <f>IF($A391="","",计算结果!BT380-G391-H391)</f>
        <v/>
      </c>
      <c r="D391" s="40" t="str">
        <f>IF($A391="","",基本信息!BS380)</f>
        <v/>
      </c>
      <c r="F391" s="40" t="str">
        <f>IF($A391="","",基本信息!A380)</f>
        <v/>
      </c>
      <c r="G391" s="50" t="str">
        <f>IF($A391="","",计算结果!BI380+计算结果!BJ380)</f>
        <v/>
      </c>
      <c r="H391" s="50" t="str">
        <f>IF($A391="","",计算结果!BK380)</f>
        <v/>
      </c>
    </row>
    <row r="392" spans="1:8">
      <c r="A392" s="40" t="str">
        <f>IF(AND(OR(IFERROR(FIND("交行",基本信息!BS381),0)&gt;0,IFERROR(FIND("交通银行",基本信息!BS381),0)&gt;0),计算结果!BT381&gt;0),基本信息!BR381,"")</f>
        <v/>
      </c>
      <c r="B392" s="40" t="str">
        <f>IF($A392="","",基本信息!BQ381)</f>
        <v/>
      </c>
      <c r="C392" s="50" t="str">
        <f>IF($A392="","",计算结果!BT381-G392-H392)</f>
        <v/>
      </c>
      <c r="D392" s="40" t="str">
        <f>IF($A392="","",基本信息!BS381)</f>
        <v/>
      </c>
      <c r="F392" s="40" t="str">
        <f>IF($A392="","",基本信息!A381)</f>
        <v/>
      </c>
      <c r="G392" s="50" t="str">
        <f>IF($A392="","",计算结果!BI381+计算结果!BJ381)</f>
        <v/>
      </c>
      <c r="H392" s="50" t="str">
        <f>IF($A392="","",计算结果!BK381)</f>
        <v/>
      </c>
    </row>
    <row r="393" spans="1:8">
      <c r="A393" s="40" t="str">
        <f>IF(AND(OR(IFERROR(FIND("交行",基本信息!BS382),0)&gt;0,IFERROR(FIND("交通银行",基本信息!BS382),0)&gt;0),计算结果!BT382&gt;0),基本信息!BR382,"")</f>
        <v/>
      </c>
      <c r="B393" s="40" t="str">
        <f>IF($A393="","",基本信息!BQ382)</f>
        <v/>
      </c>
      <c r="C393" s="50" t="str">
        <f>IF($A393="","",计算结果!BT382-G393-H393)</f>
        <v/>
      </c>
      <c r="D393" s="40" t="str">
        <f>IF($A393="","",基本信息!BS382)</f>
        <v/>
      </c>
      <c r="F393" s="40" t="str">
        <f>IF($A393="","",基本信息!A382)</f>
        <v/>
      </c>
      <c r="G393" s="50" t="str">
        <f>IF($A393="","",计算结果!BI382+计算结果!BJ382)</f>
        <v/>
      </c>
      <c r="H393" s="50" t="str">
        <f>IF($A393="","",计算结果!BK382)</f>
        <v/>
      </c>
    </row>
    <row r="394" spans="1:8">
      <c r="A394" s="40" t="str">
        <f>IF(AND(OR(IFERROR(FIND("交行",基本信息!BS383),0)&gt;0,IFERROR(FIND("交通银行",基本信息!BS383),0)&gt;0),计算结果!BT383&gt;0),基本信息!BR383,"")</f>
        <v/>
      </c>
      <c r="B394" s="40" t="str">
        <f>IF($A394="","",基本信息!BQ383)</f>
        <v/>
      </c>
      <c r="C394" s="50" t="str">
        <f>IF($A394="","",计算结果!BT383-G394-H394)</f>
        <v/>
      </c>
      <c r="D394" s="40" t="str">
        <f>IF($A394="","",基本信息!BS383)</f>
        <v/>
      </c>
      <c r="F394" s="40" t="str">
        <f>IF($A394="","",基本信息!A383)</f>
        <v/>
      </c>
      <c r="G394" s="50" t="str">
        <f>IF($A394="","",计算结果!BI383+计算结果!BJ383)</f>
        <v/>
      </c>
      <c r="H394" s="50" t="str">
        <f>IF($A394="","",计算结果!BK383)</f>
        <v/>
      </c>
    </row>
    <row r="395" spans="1:8">
      <c r="A395" s="40" t="str">
        <f>IF(AND(OR(IFERROR(FIND("交行",基本信息!BS384),0)&gt;0,IFERROR(FIND("交通银行",基本信息!BS384),0)&gt;0),计算结果!BT384&gt;0),基本信息!BR384,"")</f>
        <v/>
      </c>
      <c r="B395" s="40" t="str">
        <f>IF($A395="","",基本信息!BQ384)</f>
        <v/>
      </c>
      <c r="C395" s="50" t="str">
        <f>IF($A395="","",计算结果!BT384-G395-H395)</f>
        <v/>
      </c>
      <c r="D395" s="40" t="str">
        <f>IF($A395="","",基本信息!BS384)</f>
        <v/>
      </c>
      <c r="F395" s="40" t="str">
        <f>IF($A395="","",基本信息!A384)</f>
        <v/>
      </c>
      <c r="G395" s="50" t="str">
        <f>IF($A395="","",计算结果!BI384+计算结果!BJ384)</f>
        <v/>
      </c>
      <c r="H395" s="50" t="str">
        <f>IF($A395="","",计算结果!BK384)</f>
        <v/>
      </c>
    </row>
    <row r="396" spans="1:8">
      <c r="A396" s="40" t="str">
        <f>IF(AND(OR(IFERROR(FIND("交行",基本信息!BS385),0)&gt;0,IFERROR(FIND("交通银行",基本信息!BS385),0)&gt;0),计算结果!BT385&gt;0),基本信息!BR385,"")</f>
        <v/>
      </c>
      <c r="B396" s="40" t="str">
        <f>IF($A396="","",基本信息!BQ385)</f>
        <v/>
      </c>
      <c r="C396" s="50" t="str">
        <f>IF($A396="","",计算结果!BT385-G396-H396)</f>
        <v/>
      </c>
      <c r="D396" s="40" t="str">
        <f>IF($A396="","",基本信息!BS385)</f>
        <v/>
      </c>
      <c r="F396" s="40" t="str">
        <f>IF($A396="","",基本信息!A385)</f>
        <v/>
      </c>
      <c r="G396" s="50" t="str">
        <f>IF($A396="","",计算结果!BI385+计算结果!BJ385)</f>
        <v/>
      </c>
      <c r="H396" s="50" t="str">
        <f>IF($A396="","",计算结果!BK385)</f>
        <v/>
      </c>
    </row>
    <row r="397" spans="1:8">
      <c r="A397" s="40" t="str">
        <f>IF(AND(OR(IFERROR(FIND("交行",基本信息!BS386),0)&gt;0,IFERROR(FIND("交通银行",基本信息!BS386),0)&gt;0),计算结果!BT386&gt;0),基本信息!BR386,"")</f>
        <v/>
      </c>
      <c r="B397" s="40" t="str">
        <f>IF($A397="","",基本信息!BQ386)</f>
        <v/>
      </c>
      <c r="C397" s="50" t="str">
        <f>IF($A397="","",计算结果!BT386-G397-H397)</f>
        <v/>
      </c>
      <c r="D397" s="40" t="str">
        <f>IF($A397="","",基本信息!BS386)</f>
        <v/>
      </c>
      <c r="F397" s="40" t="str">
        <f>IF($A397="","",基本信息!A386)</f>
        <v/>
      </c>
      <c r="G397" s="50" t="str">
        <f>IF($A397="","",计算结果!BI386+计算结果!BJ386)</f>
        <v/>
      </c>
      <c r="H397" s="50" t="str">
        <f>IF($A397="","",计算结果!BK386)</f>
        <v/>
      </c>
    </row>
    <row r="398" spans="1:8">
      <c r="A398" s="40" t="str">
        <f>IF(AND(OR(IFERROR(FIND("交行",基本信息!BS387),0)&gt;0,IFERROR(FIND("交通银行",基本信息!BS387),0)&gt;0),计算结果!BT387&gt;0),基本信息!BR387,"")</f>
        <v/>
      </c>
      <c r="B398" s="40" t="str">
        <f>IF($A398="","",基本信息!BQ387)</f>
        <v/>
      </c>
      <c r="C398" s="50" t="str">
        <f>IF($A398="","",计算结果!BT387-G398-H398)</f>
        <v/>
      </c>
      <c r="D398" s="40" t="str">
        <f>IF($A398="","",基本信息!BS387)</f>
        <v/>
      </c>
      <c r="F398" s="40" t="str">
        <f>IF($A398="","",基本信息!A387)</f>
        <v/>
      </c>
      <c r="G398" s="50" t="str">
        <f>IF($A398="","",计算结果!BI387+计算结果!BJ387)</f>
        <v/>
      </c>
      <c r="H398" s="50" t="str">
        <f>IF($A398="","",计算结果!BK387)</f>
        <v/>
      </c>
    </row>
    <row r="399" spans="1:8">
      <c r="A399" s="40" t="str">
        <f>IF(AND(OR(IFERROR(FIND("交行",基本信息!BS388),0)&gt;0,IFERROR(FIND("交通银行",基本信息!BS388),0)&gt;0),计算结果!BT388&gt;0),基本信息!BR388,"")</f>
        <v/>
      </c>
      <c r="B399" s="40" t="str">
        <f>IF($A399="","",基本信息!BQ388)</f>
        <v/>
      </c>
      <c r="C399" s="50" t="str">
        <f>IF($A399="","",计算结果!BT388-G399-H399)</f>
        <v/>
      </c>
      <c r="D399" s="40" t="str">
        <f>IF($A399="","",基本信息!BS388)</f>
        <v/>
      </c>
      <c r="F399" s="40" t="str">
        <f>IF($A399="","",基本信息!A388)</f>
        <v/>
      </c>
      <c r="G399" s="50" t="str">
        <f>IF($A399="","",计算结果!BI388+计算结果!BJ388)</f>
        <v/>
      </c>
      <c r="H399" s="50" t="str">
        <f>IF($A399="","",计算结果!BK388)</f>
        <v/>
      </c>
    </row>
    <row r="400" spans="1:8">
      <c r="A400" s="40" t="str">
        <f>IF(AND(OR(IFERROR(FIND("交行",基本信息!BS389),0)&gt;0,IFERROR(FIND("交通银行",基本信息!BS389),0)&gt;0),计算结果!BT389&gt;0),基本信息!BR389,"")</f>
        <v/>
      </c>
      <c r="B400" s="40" t="str">
        <f>IF($A400="","",基本信息!BQ389)</f>
        <v/>
      </c>
      <c r="C400" s="50" t="str">
        <f>IF($A400="","",计算结果!BT389-G400-H400)</f>
        <v/>
      </c>
      <c r="D400" s="40" t="str">
        <f>IF($A400="","",基本信息!BS389)</f>
        <v/>
      </c>
      <c r="F400" s="40" t="str">
        <f>IF($A400="","",基本信息!A389)</f>
        <v/>
      </c>
      <c r="G400" s="50" t="str">
        <f>IF($A400="","",计算结果!BI389+计算结果!BJ389)</f>
        <v/>
      </c>
      <c r="H400" s="50" t="str">
        <f>IF($A400="","",计算结果!BK389)</f>
        <v/>
      </c>
    </row>
    <row r="401" spans="1:8">
      <c r="A401" s="40" t="str">
        <f>IF(AND(OR(IFERROR(FIND("交行",基本信息!BS390),0)&gt;0,IFERROR(FIND("交通银行",基本信息!BS390),0)&gt;0),计算结果!BT390&gt;0),基本信息!BR390,"")</f>
        <v/>
      </c>
      <c r="B401" s="40" t="str">
        <f>IF($A401="","",基本信息!BQ390)</f>
        <v/>
      </c>
      <c r="C401" s="50" t="str">
        <f>IF($A401="","",计算结果!BT390-G401-H401)</f>
        <v/>
      </c>
      <c r="D401" s="40" t="str">
        <f>IF($A401="","",基本信息!BS390)</f>
        <v/>
      </c>
      <c r="F401" s="40" t="str">
        <f>IF($A401="","",基本信息!A390)</f>
        <v/>
      </c>
      <c r="G401" s="50" t="str">
        <f>IF($A401="","",计算结果!BI390+计算结果!BJ390)</f>
        <v/>
      </c>
      <c r="H401" s="50" t="str">
        <f>IF($A401="","",计算结果!BK390)</f>
        <v/>
      </c>
    </row>
    <row r="402" spans="1:8">
      <c r="A402" s="40" t="str">
        <f>IF(AND(OR(IFERROR(FIND("交行",基本信息!BS391),0)&gt;0,IFERROR(FIND("交通银行",基本信息!BS391),0)&gt;0),计算结果!BT391&gt;0),基本信息!BR391,"")</f>
        <v/>
      </c>
      <c r="B402" s="40" t="str">
        <f>IF($A402="","",基本信息!BQ391)</f>
        <v/>
      </c>
      <c r="C402" s="50" t="str">
        <f>IF($A402="","",计算结果!BT391-G402-H402)</f>
        <v/>
      </c>
      <c r="D402" s="40" t="str">
        <f>IF($A402="","",基本信息!BS391)</f>
        <v/>
      </c>
      <c r="F402" s="40" t="str">
        <f>IF($A402="","",基本信息!A391)</f>
        <v/>
      </c>
      <c r="G402" s="50" t="str">
        <f>IF($A402="","",计算结果!BI391+计算结果!BJ391)</f>
        <v/>
      </c>
      <c r="H402" s="50" t="str">
        <f>IF($A402="","",计算结果!BK391)</f>
        <v/>
      </c>
    </row>
    <row r="403" spans="1:8">
      <c r="A403" s="40" t="str">
        <f>IF(AND(OR(IFERROR(FIND("交行",基本信息!BS392),0)&gt;0,IFERROR(FIND("交通银行",基本信息!BS392),0)&gt;0),计算结果!BT392&gt;0),基本信息!BR392,"")</f>
        <v/>
      </c>
      <c r="B403" s="40" t="str">
        <f>IF($A403="","",基本信息!BQ392)</f>
        <v/>
      </c>
      <c r="C403" s="50" t="str">
        <f>IF($A403="","",计算结果!BT392-G403-H403)</f>
        <v/>
      </c>
      <c r="D403" s="40" t="str">
        <f>IF($A403="","",基本信息!BS392)</f>
        <v/>
      </c>
      <c r="F403" s="40" t="str">
        <f>IF($A403="","",基本信息!A392)</f>
        <v/>
      </c>
      <c r="G403" s="50" t="str">
        <f>IF($A403="","",计算结果!BI392+计算结果!BJ392)</f>
        <v/>
      </c>
      <c r="H403" s="50" t="str">
        <f>IF($A403="","",计算结果!BK392)</f>
        <v/>
      </c>
    </row>
    <row r="404" spans="1:8">
      <c r="A404" s="40" t="str">
        <f>IF(AND(OR(IFERROR(FIND("交行",基本信息!BS393),0)&gt;0,IFERROR(FIND("交通银行",基本信息!BS393),0)&gt;0),计算结果!BT393&gt;0),基本信息!BR393,"")</f>
        <v/>
      </c>
      <c r="B404" s="40" t="str">
        <f>IF($A404="","",基本信息!BQ393)</f>
        <v/>
      </c>
      <c r="C404" s="50" t="str">
        <f>IF($A404="","",计算结果!BT393-G404-H404)</f>
        <v/>
      </c>
      <c r="D404" s="40" t="str">
        <f>IF($A404="","",基本信息!BS393)</f>
        <v/>
      </c>
      <c r="F404" s="40" t="str">
        <f>IF($A404="","",基本信息!A393)</f>
        <v/>
      </c>
      <c r="G404" s="50" t="str">
        <f>IF($A404="","",计算结果!BI393+计算结果!BJ393)</f>
        <v/>
      </c>
      <c r="H404" s="50" t="str">
        <f>IF($A404="","",计算结果!BK393)</f>
        <v/>
      </c>
    </row>
    <row r="405" spans="1:8">
      <c r="A405" s="40" t="str">
        <f>IF(AND(OR(IFERROR(FIND("交行",基本信息!BS394),0)&gt;0,IFERROR(FIND("交通银行",基本信息!BS394),0)&gt;0),计算结果!BT394&gt;0),基本信息!BR394,"")</f>
        <v/>
      </c>
      <c r="B405" s="40" t="str">
        <f>IF($A405="","",基本信息!BQ394)</f>
        <v/>
      </c>
      <c r="C405" s="50" t="str">
        <f>IF($A405="","",计算结果!BT394-G405-H405)</f>
        <v/>
      </c>
      <c r="D405" s="40" t="str">
        <f>IF($A405="","",基本信息!BS394)</f>
        <v/>
      </c>
      <c r="F405" s="40" t="str">
        <f>IF($A405="","",基本信息!A394)</f>
        <v/>
      </c>
      <c r="G405" s="50" t="str">
        <f>IF($A405="","",计算结果!BI394+计算结果!BJ394)</f>
        <v/>
      </c>
      <c r="H405" s="50" t="str">
        <f>IF($A405="","",计算结果!BK394)</f>
        <v/>
      </c>
    </row>
    <row r="406" spans="1:8">
      <c r="A406" s="40" t="str">
        <f>IF(AND(OR(IFERROR(FIND("交行",基本信息!BS395),0)&gt;0,IFERROR(FIND("交通银行",基本信息!BS395),0)&gt;0),计算结果!BT395&gt;0),基本信息!BR395,"")</f>
        <v/>
      </c>
      <c r="B406" s="40" t="str">
        <f>IF($A406="","",基本信息!BQ395)</f>
        <v/>
      </c>
      <c r="C406" s="50" t="str">
        <f>IF($A406="","",计算结果!BT395-G406-H406)</f>
        <v/>
      </c>
      <c r="D406" s="40" t="str">
        <f>IF($A406="","",基本信息!BS395)</f>
        <v/>
      </c>
      <c r="F406" s="40" t="str">
        <f>IF($A406="","",基本信息!A395)</f>
        <v/>
      </c>
      <c r="G406" s="50" t="str">
        <f>IF($A406="","",计算结果!BI395+计算结果!BJ395)</f>
        <v/>
      </c>
      <c r="H406" s="50" t="str">
        <f>IF($A406="","",计算结果!BK395)</f>
        <v/>
      </c>
    </row>
    <row r="407" spans="1:8">
      <c r="A407" s="40" t="str">
        <f>IF(AND(OR(IFERROR(FIND("交行",基本信息!BS396),0)&gt;0,IFERROR(FIND("交通银行",基本信息!BS396),0)&gt;0),计算结果!BT396&gt;0),基本信息!BR396,"")</f>
        <v/>
      </c>
      <c r="B407" s="40" t="str">
        <f>IF($A407="","",基本信息!BQ396)</f>
        <v/>
      </c>
      <c r="C407" s="50" t="str">
        <f>IF($A407="","",计算结果!BT396-G407-H407)</f>
        <v/>
      </c>
      <c r="D407" s="40" t="str">
        <f>IF($A407="","",基本信息!BS396)</f>
        <v/>
      </c>
      <c r="F407" s="40" t="str">
        <f>IF($A407="","",基本信息!A396)</f>
        <v/>
      </c>
      <c r="G407" s="50" t="str">
        <f>IF($A407="","",计算结果!BI396+计算结果!BJ396)</f>
        <v/>
      </c>
      <c r="H407" s="50" t="str">
        <f>IF($A407="","",计算结果!BK396)</f>
        <v/>
      </c>
    </row>
    <row r="408" spans="1:8">
      <c r="A408" s="40" t="str">
        <f>IF(AND(OR(IFERROR(FIND("交行",基本信息!BS397),0)&gt;0,IFERROR(FIND("交通银行",基本信息!BS397),0)&gt;0),计算结果!BT397&gt;0),基本信息!BR397,"")</f>
        <v/>
      </c>
      <c r="B408" s="40" t="str">
        <f>IF($A408="","",基本信息!BQ397)</f>
        <v/>
      </c>
      <c r="C408" s="50" t="str">
        <f>IF($A408="","",计算结果!BT397-G408-H408)</f>
        <v/>
      </c>
      <c r="D408" s="40" t="str">
        <f>IF($A408="","",基本信息!BS397)</f>
        <v/>
      </c>
      <c r="F408" s="40" t="str">
        <f>IF($A408="","",基本信息!A397)</f>
        <v/>
      </c>
      <c r="G408" s="50" t="str">
        <f>IF($A408="","",计算结果!BI397+计算结果!BJ397)</f>
        <v/>
      </c>
      <c r="H408" s="50" t="str">
        <f>IF($A408="","",计算结果!BK397)</f>
        <v/>
      </c>
    </row>
    <row r="409" spans="1:8">
      <c r="A409" s="40" t="str">
        <f>IF(AND(OR(IFERROR(FIND("交行",基本信息!BS398),0)&gt;0,IFERROR(FIND("交通银行",基本信息!BS398),0)&gt;0),计算结果!BT398&gt;0),基本信息!BR398,"")</f>
        <v/>
      </c>
      <c r="B409" s="40" t="str">
        <f>IF($A409="","",基本信息!BQ398)</f>
        <v/>
      </c>
      <c r="C409" s="50" t="str">
        <f>IF($A409="","",计算结果!BT398-G409-H409)</f>
        <v/>
      </c>
      <c r="D409" s="40" t="str">
        <f>IF($A409="","",基本信息!BS398)</f>
        <v/>
      </c>
      <c r="F409" s="40" t="str">
        <f>IF($A409="","",基本信息!A398)</f>
        <v/>
      </c>
      <c r="G409" s="50" t="str">
        <f>IF($A409="","",计算结果!BI398+计算结果!BJ398)</f>
        <v/>
      </c>
      <c r="H409" s="50" t="str">
        <f>IF($A409="","",计算结果!BK398)</f>
        <v/>
      </c>
    </row>
    <row r="410" spans="1:8">
      <c r="A410" s="40" t="str">
        <f>IF(AND(OR(IFERROR(FIND("交行",基本信息!BS399),0)&gt;0,IFERROR(FIND("交通银行",基本信息!BS399),0)&gt;0),计算结果!BT399&gt;0),基本信息!BR399,"")</f>
        <v/>
      </c>
      <c r="B410" s="40" t="str">
        <f>IF($A410="","",基本信息!BQ399)</f>
        <v/>
      </c>
      <c r="C410" s="50" t="str">
        <f>IF($A410="","",计算结果!BT399-G410-H410)</f>
        <v/>
      </c>
      <c r="D410" s="40" t="str">
        <f>IF($A410="","",基本信息!BS399)</f>
        <v/>
      </c>
      <c r="F410" s="40" t="str">
        <f>IF($A410="","",基本信息!A399)</f>
        <v/>
      </c>
      <c r="G410" s="50" t="str">
        <f>IF($A410="","",计算结果!BI399+计算结果!BJ399)</f>
        <v/>
      </c>
      <c r="H410" s="50" t="str">
        <f>IF($A410="","",计算结果!BK399)</f>
        <v/>
      </c>
    </row>
    <row r="411" spans="1:8">
      <c r="A411" s="40" t="str">
        <f>IF(AND(OR(IFERROR(FIND("交行",基本信息!BS400),0)&gt;0,IFERROR(FIND("交通银行",基本信息!BS400),0)&gt;0),计算结果!BT400&gt;0),基本信息!BR400,"")</f>
        <v/>
      </c>
      <c r="B411" s="40" t="str">
        <f>IF($A411="","",基本信息!BQ400)</f>
        <v/>
      </c>
      <c r="C411" s="50" t="str">
        <f>IF($A411="","",计算结果!BT400-G411-H411)</f>
        <v/>
      </c>
      <c r="D411" s="40" t="str">
        <f>IF($A411="","",基本信息!BS400)</f>
        <v/>
      </c>
      <c r="F411" s="40" t="str">
        <f>IF($A411="","",基本信息!A400)</f>
        <v/>
      </c>
      <c r="G411" s="50" t="str">
        <f>IF($A411="","",计算结果!BI400+计算结果!BJ400)</f>
        <v/>
      </c>
      <c r="H411" s="50" t="str">
        <f>IF($A411="","",计算结果!BK400)</f>
        <v/>
      </c>
    </row>
    <row r="412" spans="1:8">
      <c r="A412" s="40" t="str">
        <f>IF(AND(OR(IFERROR(FIND("交行",基本信息!BS401),0)&gt;0,IFERROR(FIND("交通银行",基本信息!BS401),0)&gt;0),计算结果!BT401&gt;0),基本信息!BR401,"")</f>
        <v/>
      </c>
      <c r="B412" s="40" t="str">
        <f>IF($A412="","",基本信息!BQ401)</f>
        <v/>
      </c>
      <c r="C412" s="50" t="str">
        <f>IF($A412="","",计算结果!BT401-G412-H412)</f>
        <v/>
      </c>
      <c r="D412" s="40" t="str">
        <f>IF($A412="","",基本信息!BS401)</f>
        <v/>
      </c>
      <c r="F412" s="40" t="str">
        <f>IF($A412="","",基本信息!A401)</f>
        <v/>
      </c>
      <c r="G412" s="50" t="str">
        <f>IF($A412="","",计算结果!BI401+计算结果!BJ401)</f>
        <v/>
      </c>
      <c r="H412" s="50" t="str">
        <f>IF($A412="","",计算结果!BK401)</f>
        <v/>
      </c>
    </row>
    <row r="413" spans="1:8">
      <c r="A413" s="40" t="str">
        <f>IF(AND(OR(IFERROR(FIND("交行",基本信息!BS402),0)&gt;0,IFERROR(FIND("交通银行",基本信息!BS402),0)&gt;0),计算结果!BT402&gt;0),基本信息!BR402,"")</f>
        <v/>
      </c>
      <c r="B413" s="40" t="str">
        <f>IF($A413="","",基本信息!BQ402)</f>
        <v/>
      </c>
      <c r="C413" s="50" t="str">
        <f>IF($A413="","",计算结果!BT402-G413-H413)</f>
        <v/>
      </c>
      <c r="D413" s="40" t="str">
        <f>IF($A413="","",基本信息!BS402)</f>
        <v/>
      </c>
      <c r="F413" s="40" t="str">
        <f>IF($A413="","",基本信息!A402)</f>
        <v/>
      </c>
      <c r="G413" s="50" t="str">
        <f>IF($A413="","",计算结果!BI402+计算结果!BJ402)</f>
        <v/>
      </c>
      <c r="H413" s="50" t="str">
        <f>IF($A413="","",计算结果!BK402)</f>
        <v/>
      </c>
    </row>
    <row r="414" spans="1:8">
      <c r="A414" s="40" t="str">
        <f>IF(AND(OR(IFERROR(FIND("交行",基本信息!BS403),0)&gt;0,IFERROR(FIND("交通银行",基本信息!BS403),0)&gt;0),计算结果!BT403&gt;0),基本信息!BR403,"")</f>
        <v/>
      </c>
      <c r="B414" s="40" t="str">
        <f>IF($A414="","",基本信息!BQ403)</f>
        <v/>
      </c>
      <c r="C414" s="50" t="str">
        <f>IF($A414="","",计算结果!BT403-G414-H414)</f>
        <v/>
      </c>
      <c r="D414" s="40" t="str">
        <f>IF($A414="","",基本信息!BS403)</f>
        <v/>
      </c>
      <c r="F414" s="40" t="str">
        <f>IF($A414="","",基本信息!A403)</f>
        <v/>
      </c>
      <c r="G414" s="50" t="str">
        <f>IF($A414="","",计算结果!BI403+计算结果!BJ403)</f>
        <v/>
      </c>
      <c r="H414" s="50" t="str">
        <f>IF($A414="","",计算结果!BK403)</f>
        <v/>
      </c>
    </row>
    <row r="415" spans="1:8">
      <c r="A415" s="40" t="str">
        <f>IF(AND(OR(IFERROR(FIND("交行",基本信息!BS404),0)&gt;0,IFERROR(FIND("交通银行",基本信息!BS404),0)&gt;0),计算结果!BT404&gt;0),基本信息!BR404,"")</f>
        <v/>
      </c>
      <c r="B415" s="40" t="str">
        <f>IF($A415="","",基本信息!BQ404)</f>
        <v/>
      </c>
      <c r="C415" s="50" t="str">
        <f>IF($A415="","",计算结果!BT404-G415-H415)</f>
        <v/>
      </c>
      <c r="D415" s="40" t="str">
        <f>IF($A415="","",基本信息!BS404)</f>
        <v/>
      </c>
      <c r="F415" s="40" t="str">
        <f>IF($A415="","",基本信息!A404)</f>
        <v/>
      </c>
      <c r="G415" s="50" t="str">
        <f>IF($A415="","",计算结果!BI404+计算结果!BJ404)</f>
        <v/>
      </c>
      <c r="H415" s="50" t="str">
        <f>IF($A415="","",计算结果!BK404)</f>
        <v/>
      </c>
    </row>
    <row r="416" spans="1:8">
      <c r="A416" s="40" t="str">
        <f>IF(AND(OR(IFERROR(FIND("交行",基本信息!BS405),0)&gt;0,IFERROR(FIND("交通银行",基本信息!BS405),0)&gt;0),计算结果!BT405&gt;0),基本信息!BR405,"")</f>
        <v/>
      </c>
      <c r="B416" s="40" t="str">
        <f>IF($A416="","",基本信息!BQ405)</f>
        <v/>
      </c>
      <c r="C416" s="50" t="str">
        <f>IF($A416="","",计算结果!BT405-G416-H416)</f>
        <v/>
      </c>
      <c r="D416" s="40" t="str">
        <f>IF($A416="","",基本信息!BS405)</f>
        <v/>
      </c>
      <c r="F416" s="40" t="str">
        <f>IF($A416="","",基本信息!A405)</f>
        <v/>
      </c>
      <c r="G416" s="50" t="str">
        <f>IF($A416="","",计算结果!BI405+计算结果!BJ405)</f>
        <v/>
      </c>
      <c r="H416" s="50" t="str">
        <f>IF($A416="","",计算结果!BK405)</f>
        <v/>
      </c>
    </row>
    <row r="417" spans="1:8">
      <c r="A417" s="40" t="str">
        <f>IF(AND(OR(IFERROR(FIND("交行",基本信息!BS406),0)&gt;0,IFERROR(FIND("交通银行",基本信息!BS406),0)&gt;0),计算结果!BT406&gt;0),基本信息!BR406,"")</f>
        <v/>
      </c>
      <c r="B417" s="40" t="str">
        <f>IF($A417="","",基本信息!BQ406)</f>
        <v/>
      </c>
      <c r="C417" s="50" t="str">
        <f>IF($A417="","",计算结果!BT406-G417-H417)</f>
        <v/>
      </c>
      <c r="D417" s="40" t="str">
        <f>IF($A417="","",基本信息!BS406)</f>
        <v/>
      </c>
      <c r="F417" s="40" t="str">
        <f>IF($A417="","",基本信息!A406)</f>
        <v/>
      </c>
      <c r="G417" s="50" t="str">
        <f>IF($A417="","",计算结果!BI406+计算结果!BJ406)</f>
        <v/>
      </c>
      <c r="H417" s="50" t="str">
        <f>IF($A417="","",计算结果!BK406)</f>
        <v/>
      </c>
    </row>
    <row r="418" spans="1:8">
      <c r="A418" s="40" t="str">
        <f>IF(AND(OR(IFERROR(FIND("交行",基本信息!BS407),0)&gt;0,IFERROR(FIND("交通银行",基本信息!BS407),0)&gt;0),计算结果!BT407&gt;0),基本信息!BR407,"")</f>
        <v/>
      </c>
      <c r="B418" s="40" t="str">
        <f>IF($A418="","",基本信息!BQ407)</f>
        <v/>
      </c>
      <c r="C418" s="50" t="str">
        <f>IF($A418="","",计算结果!BT407-G418-H418)</f>
        <v/>
      </c>
      <c r="D418" s="40" t="str">
        <f>IF($A418="","",基本信息!BS407)</f>
        <v/>
      </c>
      <c r="F418" s="40" t="str">
        <f>IF($A418="","",基本信息!A407)</f>
        <v/>
      </c>
      <c r="G418" s="50" t="str">
        <f>IF($A418="","",计算结果!BI407+计算结果!BJ407)</f>
        <v/>
      </c>
      <c r="H418" s="50" t="str">
        <f>IF($A418="","",计算结果!BK407)</f>
        <v/>
      </c>
    </row>
    <row r="419" spans="1:8">
      <c r="A419" s="40" t="str">
        <f>IF(AND(OR(IFERROR(FIND("交行",基本信息!BS408),0)&gt;0,IFERROR(FIND("交通银行",基本信息!BS408),0)&gt;0),计算结果!BT408&gt;0),基本信息!BR408,"")</f>
        <v/>
      </c>
      <c r="B419" s="40" t="str">
        <f>IF($A419="","",基本信息!BQ408)</f>
        <v/>
      </c>
      <c r="C419" s="50" t="str">
        <f>IF($A419="","",计算结果!BT408-G419-H419)</f>
        <v/>
      </c>
      <c r="D419" s="40" t="str">
        <f>IF($A419="","",基本信息!BS408)</f>
        <v/>
      </c>
      <c r="F419" s="40" t="str">
        <f>IF($A419="","",基本信息!A408)</f>
        <v/>
      </c>
      <c r="G419" s="50" t="str">
        <f>IF($A419="","",计算结果!BI408+计算结果!BJ408)</f>
        <v/>
      </c>
      <c r="H419" s="50" t="str">
        <f>IF($A419="","",计算结果!BK408)</f>
        <v/>
      </c>
    </row>
    <row r="420" spans="1:8">
      <c r="A420" s="40" t="str">
        <f>IF(AND(OR(IFERROR(FIND("交行",基本信息!BS409),0)&gt;0,IFERROR(FIND("交通银行",基本信息!BS409),0)&gt;0),计算结果!BT409&gt;0),基本信息!BR409,"")</f>
        <v/>
      </c>
      <c r="B420" s="40" t="str">
        <f>IF($A420="","",基本信息!BQ409)</f>
        <v/>
      </c>
      <c r="C420" s="50" t="str">
        <f>IF($A420="","",计算结果!BT409-G420-H420)</f>
        <v/>
      </c>
      <c r="D420" s="40" t="str">
        <f>IF($A420="","",基本信息!BS409)</f>
        <v/>
      </c>
      <c r="F420" s="40" t="str">
        <f>IF($A420="","",基本信息!A409)</f>
        <v/>
      </c>
      <c r="G420" s="50" t="str">
        <f>IF($A420="","",计算结果!BI409+计算结果!BJ409)</f>
        <v/>
      </c>
      <c r="H420" s="50" t="str">
        <f>IF($A420="","",计算结果!BK409)</f>
        <v/>
      </c>
    </row>
    <row r="421" spans="1:8">
      <c r="A421" s="40" t="str">
        <f>IF(AND(OR(IFERROR(FIND("交行",基本信息!BS410),0)&gt;0,IFERROR(FIND("交通银行",基本信息!BS410),0)&gt;0),计算结果!BT410&gt;0),基本信息!BR410,"")</f>
        <v/>
      </c>
      <c r="B421" s="40" t="str">
        <f>IF($A421="","",基本信息!BQ410)</f>
        <v/>
      </c>
      <c r="C421" s="50" t="str">
        <f>IF($A421="","",计算结果!BT410-G421-H421)</f>
        <v/>
      </c>
      <c r="D421" s="40" t="str">
        <f>IF($A421="","",基本信息!BS410)</f>
        <v/>
      </c>
      <c r="F421" s="40" t="str">
        <f>IF($A421="","",基本信息!A410)</f>
        <v/>
      </c>
      <c r="G421" s="50" t="str">
        <f>IF($A421="","",计算结果!BI410+计算结果!BJ410)</f>
        <v/>
      </c>
      <c r="H421" s="50" t="str">
        <f>IF($A421="","",计算结果!BK410)</f>
        <v/>
      </c>
    </row>
    <row r="422" spans="1:8">
      <c r="A422" s="40" t="str">
        <f>IF(AND(OR(IFERROR(FIND("交行",基本信息!BS411),0)&gt;0,IFERROR(FIND("交通银行",基本信息!BS411),0)&gt;0),计算结果!BT411&gt;0),基本信息!BR411,"")</f>
        <v/>
      </c>
      <c r="B422" s="40" t="str">
        <f>IF($A422="","",基本信息!BQ411)</f>
        <v/>
      </c>
      <c r="C422" s="50" t="str">
        <f>IF($A422="","",计算结果!BT411-G422-H422)</f>
        <v/>
      </c>
      <c r="D422" s="40" t="str">
        <f>IF($A422="","",基本信息!BS411)</f>
        <v/>
      </c>
      <c r="F422" s="40" t="str">
        <f>IF($A422="","",基本信息!A411)</f>
        <v/>
      </c>
      <c r="G422" s="50" t="str">
        <f>IF($A422="","",计算结果!BI411+计算结果!BJ411)</f>
        <v/>
      </c>
      <c r="H422" s="50" t="str">
        <f>IF($A422="","",计算结果!BK411)</f>
        <v/>
      </c>
    </row>
    <row r="423" spans="1:8">
      <c r="A423" s="40" t="str">
        <f>IF(AND(OR(IFERROR(FIND("交行",基本信息!BS412),0)&gt;0,IFERROR(FIND("交通银行",基本信息!BS412),0)&gt;0),计算结果!BT412&gt;0),基本信息!BR412,"")</f>
        <v/>
      </c>
      <c r="B423" s="40" t="str">
        <f>IF($A423="","",基本信息!BQ412)</f>
        <v/>
      </c>
      <c r="C423" s="50" t="str">
        <f>IF($A423="","",计算结果!BT412-G423-H423)</f>
        <v/>
      </c>
      <c r="D423" s="40" t="str">
        <f>IF($A423="","",基本信息!BS412)</f>
        <v/>
      </c>
      <c r="F423" s="40" t="str">
        <f>IF($A423="","",基本信息!A412)</f>
        <v/>
      </c>
      <c r="G423" s="50" t="str">
        <f>IF($A423="","",计算结果!BI412+计算结果!BJ412)</f>
        <v/>
      </c>
      <c r="H423" s="50" t="str">
        <f>IF($A423="","",计算结果!BK412)</f>
        <v/>
      </c>
    </row>
    <row r="424" spans="1:8">
      <c r="A424" s="40" t="str">
        <f>IF(AND(OR(IFERROR(FIND("交行",基本信息!BS413),0)&gt;0,IFERROR(FIND("交通银行",基本信息!BS413),0)&gt;0),计算结果!BT413&gt;0),基本信息!BR413,"")</f>
        <v/>
      </c>
      <c r="B424" s="40" t="str">
        <f>IF($A424="","",基本信息!BQ413)</f>
        <v/>
      </c>
      <c r="C424" s="50" t="str">
        <f>IF($A424="","",计算结果!BT413-G424-H424)</f>
        <v/>
      </c>
      <c r="D424" s="40" t="str">
        <f>IF($A424="","",基本信息!BS413)</f>
        <v/>
      </c>
      <c r="F424" s="40" t="str">
        <f>IF($A424="","",基本信息!A413)</f>
        <v/>
      </c>
      <c r="G424" s="50" t="str">
        <f>IF($A424="","",计算结果!BI413+计算结果!BJ413)</f>
        <v/>
      </c>
      <c r="H424" s="50" t="str">
        <f>IF($A424="","",计算结果!BK413)</f>
        <v/>
      </c>
    </row>
    <row r="425" spans="1:8">
      <c r="A425" s="40" t="str">
        <f>IF(AND(OR(IFERROR(FIND("交行",基本信息!BS414),0)&gt;0,IFERROR(FIND("交通银行",基本信息!BS414),0)&gt;0),计算结果!BT414&gt;0),基本信息!BR414,"")</f>
        <v/>
      </c>
      <c r="B425" s="40" t="str">
        <f>IF($A425="","",基本信息!BQ414)</f>
        <v/>
      </c>
      <c r="C425" s="50" t="str">
        <f>IF($A425="","",计算结果!BT414-G425-H425)</f>
        <v/>
      </c>
      <c r="D425" s="40" t="str">
        <f>IF($A425="","",基本信息!BS414)</f>
        <v/>
      </c>
      <c r="F425" s="40" t="str">
        <f>IF($A425="","",基本信息!A414)</f>
        <v/>
      </c>
      <c r="G425" s="50" t="str">
        <f>IF($A425="","",计算结果!BI414+计算结果!BJ414)</f>
        <v/>
      </c>
      <c r="H425" s="50" t="str">
        <f>IF($A425="","",计算结果!BK414)</f>
        <v/>
      </c>
    </row>
    <row r="426" spans="1:8">
      <c r="A426" s="40" t="str">
        <f>IF(AND(OR(IFERROR(FIND("交行",基本信息!BS415),0)&gt;0,IFERROR(FIND("交通银行",基本信息!BS415),0)&gt;0),计算结果!BT415&gt;0),基本信息!BR415,"")</f>
        <v/>
      </c>
      <c r="B426" s="40" t="str">
        <f>IF($A426="","",基本信息!BQ415)</f>
        <v/>
      </c>
      <c r="C426" s="50" t="str">
        <f>IF($A426="","",计算结果!BT415-G426-H426)</f>
        <v/>
      </c>
      <c r="D426" s="40" t="str">
        <f>IF($A426="","",基本信息!BS415)</f>
        <v/>
      </c>
      <c r="F426" s="40" t="str">
        <f>IF($A426="","",基本信息!A415)</f>
        <v/>
      </c>
      <c r="G426" s="50" t="str">
        <f>IF($A426="","",计算结果!BI415+计算结果!BJ415)</f>
        <v/>
      </c>
      <c r="H426" s="50" t="str">
        <f>IF($A426="","",计算结果!BK415)</f>
        <v/>
      </c>
    </row>
    <row r="427" spans="1:8">
      <c r="A427" s="40" t="str">
        <f>IF(AND(OR(IFERROR(FIND("交行",基本信息!BS416),0)&gt;0,IFERROR(FIND("交通银行",基本信息!BS416),0)&gt;0),计算结果!BT416&gt;0),基本信息!BR416,"")</f>
        <v/>
      </c>
      <c r="B427" s="40" t="str">
        <f>IF($A427="","",基本信息!BQ416)</f>
        <v/>
      </c>
      <c r="C427" s="50" t="str">
        <f>IF($A427="","",计算结果!BT416-G427-H427)</f>
        <v/>
      </c>
      <c r="D427" s="40" t="str">
        <f>IF($A427="","",基本信息!BS416)</f>
        <v/>
      </c>
      <c r="F427" s="40" t="str">
        <f>IF($A427="","",基本信息!A416)</f>
        <v/>
      </c>
      <c r="G427" s="50" t="str">
        <f>IF($A427="","",计算结果!BI416+计算结果!BJ416)</f>
        <v/>
      </c>
      <c r="H427" s="50" t="str">
        <f>IF($A427="","",计算结果!BK416)</f>
        <v/>
      </c>
    </row>
    <row r="428" spans="1:8">
      <c r="A428" s="40" t="str">
        <f>IF(AND(OR(IFERROR(FIND("交行",基本信息!BS417),0)&gt;0,IFERROR(FIND("交通银行",基本信息!BS417),0)&gt;0),计算结果!BT417&gt;0),基本信息!BR417,"")</f>
        <v/>
      </c>
      <c r="B428" s="40" t="str">
        <f>IF($A428="","",基本信息!BQ417)</f>
        <v/>
      </c>
      <c r="C428" s="50" t="str">
        <f>IF($A428="","",计算结果!BT417-G428-H428)</f>
        <v/>
      </c>
      <c r="D428" s="40" t="str">
        <f>IF($A428="","",基本信息!BS417)</f>
        <v/>
      </c>
      <c r="F428" s="40" t="str">
        <f>IF($A428="","",基本信息!A417)</f>
        <v/>
      </c>
      <c r="G428" s="50" t="str">
        <f>IF($A428="","",计算结果!BI417+计算结果!BJ417)</f>
        <v/>
      </c>
      <c r="H428" s="50" t="str">
        <f>IF($A428="","",计算结果!BK417)</f>
        <v/>
      </c>
    </row>
    <row r="429" spans="1:8">
      <c r="A429" s="40" t="str">
        <f>IF(AND(OR(IFERROR(FIND("交行",基本信息!BS418),0)&gt;0,IFERROR(FIND("交通银行",基本信息!BS418),0)&gt;0),计算结果!BT418&gt;0),基本信息!BR418,"")</f>
        <v/>
      </c>
      <c r="B429" s="40" t="str">
        <f>IF($A429="","",基本信息!BQ418)</f>
        <v/>
      </c>
      <c r="C429" s="50" t="str">
        <f>IF($A429="","",计算结果!BT418-G429-H429)</f>
        <v/>
      </c>
      <c r="D429" s="40" t="str">
        <f>IF($A429="","",基本信息!BS418)</f>
        <v/>
      </c>
      <c r="F429" s="40" t="str">
        <f>IF($A429="","",基本信息!A418)</f>
        <v/>
      </c>
      <c r="G429" s="50" t="str">
        <f>IF($A429="","",计算结果!BI418+计算结果!BJ418)</f>
        <v/>
      </c>
      <c r="H429" s="50" t="str">
        <f>IF($A429="","",计算结果!BK418)</f>
        <v/>
      </c>
    </row>
    <row r="430" spans="1:8">
      <c r="A430" s="40" t="str">
        <f>IF(AND(OR(IFERROR(FIND("交行",基本信息!BS419),0)&gt;0,IFERROR(FIND("交通银行",基本信息!BS419),0)&gt;0),计算结果!BT419&gt;0),基本信息!BR419,"")</f>
        <v/>
      </c>
      <c r="B430" s="40" t="str">
        <f>IF($A430="","",基本信息!BQ419)</f>
        <v/>
      </c>
      <c r="C430" s="50" t="str">
        <f>IF($A430="","",计算结果!BT419-G430-H430)</f>
        <v/>
      </c>
      <c r="D430" s="40" t="str">
        <f>IF($A430="","",基本信息!BS419)</f>
        <v/>
      </c>
      <c r="F430" s="40" t="str">
        <f>IF($A430="","",基本信息!A419)</f>
        <v/>
      </c>
      <c r="G430" s="50" t="str">
        <f>IF($A430="","",计算结果!BI419+计算结果!BJ419)</f>
        <v/>
      </c>
      <c r="H430" s="50" t="str">
        <f>IF($A430="","",计算结果!BK419)</f>
        <v/>
      </c>
    </row>
    <row r="431" spans="1:8">
      <c r="A431" s="40" t="str">
        <f>IF(AND(OR(IFERROR(FIND("交行",基本信息!BS420),0)&gt;0,IFERROR(FIND("交通银行",基本信息!BS420),0)&gt;0),计算结果!BT420&gt;0),基本信息!BR420,"")</f>
        <v/>
      </c>
      <c r="B431" s="40" t="str">
        <f>IF($A431="","",基本信息!BQ420)</f>
        <v/>
      </c>
      <c r="C431" s="50" t="str">
        <f>IF($A431="","",计算结果!BT420-G431-H431)</f>
        <v/>
      </c>
      <c r="D431" s="40" t="str">
        <f>IF($A431="","",基本信息!BS420)</f>
        <v/>
      </c>
      <c r="F431" s="40" t="str">
        <f>IF($A431="","",基本信息!A420)</f>
        <v/>
      </c>
      <c r="G431" s="50" t="str">
        <f>IF($A431="","",计算结果!BI420+计算结果!BJ420)</f>
        <v/>
      </c>
      <c r="H431" s="50" t="str">
        <f>IF($A431="","",计算结果!BK420)</f>
        <v/>
      </c>
    </row>
    <row r="432" spans="1:8">
      <c r="A432" s="40" t="str">
        <f>IF(AND(OR(IFERROR(FIND("交行",基本信息!BS421),0)&gt;0,IFERROR(FIND("交通银行",基本信息!BS421),0)&gt;0),计算结果!BT421&gt;0),基本信息!BR421,"")</f>
        <v/>
      </c>
      <c r="B432" s="40" t="str">
        <f>IF($A432="","",基本信息!BQ421)</f>
        <v/>
      </c>
      <c r="C432" s="50" t="str">
        <f>IF($A432="","",计算结果!BT421-G432-H432)</f>
        <v/>
      </c>
      <c r="D432" s="40" t="str">
        <f>IF($A432="","",基本信息!BS421)</f>
        <v/>
      </c>
      <c r="F432" s="40" t="str">
        <f>IF($A432="","",基本信息!A421)</f>
        <v/>
      </c>
      <c r="G432" s="50" t="str">
        <f>IF($A432="","",计算结果!BI421+计算结果!BJ421)</f>
        <v/>
      </c>
      <c r="H432" s="50" t="str">
        <f>IF($A432="","",计算结果!BK421)</f>
        <v/>
      </c>
    </row>
    <row r="433" spans="1:8">
      <c r="A433" s="40" t="str">
        <f>IF(AND(OR(IFERROR(FIND("交行",基本信息!BS422),0)&gt;0,IFERROR(FIND("交通银行",基本信息!BS422),0)&gt;0),计算结果!BT422&gt;0),基本信息!BR422,"")</f>
        <v/>
      </c>
      <c r="B433" s="40" t="str">
        <f>IF($A433="","",基本信息!BQ422)</f>
        <v/>
      </c>
      <c r="C433" s="50" t="str">
        <f>IF($A433="","",计算结果!BT422-G433-H433)</f>
        <v/>
      </c>
      <c r="D433" s="40" t="str">
        <f>IF($A433="","",基本信息!BS422)</f>
        <v/>
      </c>
      <c r="F433" s="40" t="str">
        <f>IF($A433="","",基本信息!A422)</f>
        <v/>
      </c>
      <c r="G433" s="50" t="str">
        <f>IF($A433="","",计算结果!BI422+计算结果!BJ422)</f>
        <v/>
      </c>
      <c r="H433" s="50" t="str">
        <f>IF($A433="","",计算结果!BK422)</f>
        <v/>
      </c>
    </row>
    <row r="434" spans="1:8">
      <c r="A434" s="40" t="str">
        <f>IF(AND(OR(IFERROR(FIND("交行",基本信息!BS423),0)&gt;0,IFERROR(FIND("交通银行",基本信息!BS423),0)&gt;0),计算结果!BT423&gt;0),基本信息!BR423,"")</f>
        <v/>
      </c>
      <c r="B434" s="40" t="str">
        <f>IF($A434="","",基本信息!BQ423)</f>
        <v/>
      </c>
      <c r="C434" s="50" t="str">
        <f>IF($A434="","",计算结果!BT423-G434-H434)</f>
        <v/>
      </c>
      <c r="D434" s="40" t="str">
        <f>IF($A434="","",基本信息!BS423)</f>
        <v/>
      </c>
      <c r="F434" s="40" t="str">
        <f>IF($A434="","",基本信息!A423)</f>
        <v/>
      </c>
      <c r="G434" s="50" t="str">
        <f>IF($A434="","",计算结果!BI423+计算结果!BJ423)</f>
        <v/>
      </c>
      <c r="H434" s="50" t="str">
        <f>IF($A434="","",计算结果!BK423)</f>
        <v/>
      </c>
    </row>
    <row r="435" spans="1:8">
      <c r="A435" s="40" t="str">
        <f>IF(AND(OR(IFERROR(FIND("交行",基本信息!BS424),0)&gt;0,IFERROR(FIND("交通银行",基本信息!BS424),0)&gt;0),计算结果!BT424&gt;0),基本信息!BR424,"")</f>
        <v/>
      </c>
      <c r="B435" s="40" t="str">
        <f>IF($A435="","",基本信息!BQ424)</f>
        <v/>
      </c>
      <c r="C435" s="50" t="str">
        <f>IF($A435="","",计算结果!BT424-G435-H435)</f>
        <v/>
      </c>
      <c r="D435" s="40" t="str">
        <f>IF($A435="","",基本信息!BS424)</f>
        <v/>
      </c>
      <c r="F435" s="40" t="str">
        <f>IF($A435="","",基本信息!A424)</f>
        <v/>
      </c>
      <c r="G435" s="50" t="str">
        <f>IF($A435="","",计算结果!BI424+计算结果!BJ424)</f>
        <v/>
      </c>
      <c r="H435" s="50" t="str">
        <f>IF($A435="","",计算结果!BK424)</f>
        <v/>
      </c>
    </row>
    <row r="436" spans="1:8">
      <c r="A436" s="40" t="str">
        <f>IF(AND(OR(IFERROR(FIND("交行",基本信息!BS425),0)&gt;0,IFERROR(FIND("交通银行",基本信息!BS425),0)&gt;0),计算结果!BT425&gt;0),基本信息!BR425,"")</f>
        <v/>
      </c>
      <c r="B436" s="40" t="str">
        <f>IF($A436="","",基本信息!BQ425)</f>
        <v/>
      </c>
      <c r="C436" s="50" t="str">
        <f>IF($A436="","",计算结果!BT425-G436-H436)</f>
        <v/>
      </c>
      <c r="D436" s="40" t="str">
        <f>IF($A436="","",基本信息!BS425)</f>
        <v/>
      </c>
      <c r="F436" s="40" t="str">
        <f>IF($A436="","",基本信息!A425)</f>
        <v/>
      </c>
      <c r="G436" s="50" t="str">
        <f>IF($A436="","",计算结果!BI425+计算结果!BJ425)</f>
        <v/>
      </c>
      <c r="H436" s="50" t="str">
        <f>IF($A436="","",计算结果!BK425)</f>
        <v/>
      </c>
    </row>
    <row r="437" spans="1:8">
      <c r="A437" s="40" t="str">
        <f>IF(AND(OR(IFERROR(FIND("交行",基本信息!BS426),0)&gt;0,IFERROR(FIND("交通银行",基本信息!BS426),0)&gt;0),计算结果!BT426&gt;0),基本信息!BR426,"")</f>
        <v/>
      </c>
      <c r="B437" s="40" t="str">
        <f>IF($A437="","",基本信息!BQ426)</f>
        <v/>
      </c>
      <c r="C437" s="50" t="str">
        <f>IF($A437="","",计算结果!BT426-G437-H437)</f>
        <v/>
      </c>
      <c r="D437" s="40" t="str">
        <f>IF($A437="","",基本信息!BS426)</f>
        <v/>
      </c>
      <c r="F437" s="40" t="str">
        <f>IF($A437="","",基本信息!A426)</f>
        <v/>
      </c>
      <c r="G437" s="50" t="str">
        <f>IF($A437="","",计算结果!BI426+计算结果!BJ426)</f>
        <v/>
      </c>
      <c r="H437" s="50" t="str">
        <f>IF($A437="","",计算结果!BK426)</f>
        <v/>
      </c>
    </row>
    <row r="438" spans="1:8">
      <c r="A438" s="40" t="str">
        <f>IF(AND(OR(IFERROR(FIND("交行",基本信息!BS427),0)&gt;0,IFERROR(FIND("交通银行",基本信息!BS427),0)&gt;0),计算结果!BT427&gt;0),基本信息!BR427,"")</f>
        <v/>
      </c>
      <c r="B438" s="40" t="str">
        <f>IF($A438="","",基本信息!BQ427)</f>
        <v/>
      </c>
      <c r="C438" s="50" t="str">
        <f>IF($A438="","",计算结果!BT427-G438-H438)</f>
        <v/>
      </c>
      <c r="D438" s="40" t="str">
        <f>IF($A438="","",基本信息!BS427)</f>
        <v/>
      </c>
      <c r="F438" s="40" t="str">
        <f>IF($A438="","",基本信息!A427)</f>
        <v/>
      </c>
      <c r="G438" s="50" t="str">
        <f>IF($A438="","",计算结果!BI427+计算结果!BJ427)</f>
        <v/>
      </c>
      <c r="H438" s="50" t="str">
        <f>IF($A438="","",计算结果!BK427)</f>
        <v/>
      </c>
    </row>
    <row r="439" spans="1:8">
      <c r="A439" s="40" t="str">
        <f>IF(AND(OR(IFERROR(FIND("交行",基本信息!BS428),0)&gt;0,IFERROR(FIND("交通银行",基本信息!BS428),0)&gt;0),计算结果!BT428&gt;0),基本信息!BR428,"")</f>
        <v/>
      </c>
      <c r="B439" s="40" t="str">
        <f>IF($A439="","",基本信息!BQ428)</f>
        <v/>
      </c>
      <c r="C439" s="50" t="str">
        <f>IF($A439="","",计算结果!BT428-G439-H439)</f>
        <v/>
      </c>
      <c r="D439" s="40" t="str">
        <f>IF($A439="","",基本信息!BS428)</f>
        <v/>
      </c>
      <c r="F439" s="40" t="str">
        <f>IF($A439="","",基本信息!A428)</f>
        <v/>
      </c>
      <c r="G439" s="50" t="str">
        <f>IF($A439="","",计算结果!BI428+计算结果!BJ428)</f>
        <v/>
      </c>
      <c r="H439" s="50" t="str">
        <f>IF($A439="","",计算结果!BK428)</f>
        <v/>
      </c>
    </row>
    <row r="440" spans="1:8">
      <c r="A440" s="40" t="str">
        <f>IF(AND(OR(IFERROR(FIND("交行",基本信息!BS429),0)&gt;0,IFERROR(FIND("交通银行",基本信息!BS429),0)&gt;0),计算结果!BT429&gt;0),基本信息!BR429,"")</f>
        <v/>
      </c>
      <c r="B440" s="40" t="str">
        <f>IF($A440="","",基本信息!BQ429)</f>
        <v/>
      </c>
      <c r="C440" s="50" t="str">
        <f>IF($A440="","",计算结果!BT429-G440-H440)</f>
        <v/>
      </c>
      <c r="D440" s="40" t="str">
        <f>IF($A440="","",基本信息!BS429)</f>
        <v/>
      </c>
      <c r="F440" s="40" t="str">
        <f>IF($A440="","",基本信息!A429)</f>
        <v/>
      </c>
      <c r="G440" s="50" t="str">
        <f>IF($A440="","",计算结果!BI429+计算结果!BJ429)</f>
        <v/>
      </c>
      <c r="H440" s="50" t="str">
        <f>IF($A440="","",计算结果!BK429)</f>
        <v/>
      </c>
    </row>
    <row r="441" spans="1:8">
      <c r="A441" s="40" t="str">
        <f>IF(AND(OR(IFERROR(FIND("交行",基本信息!BS430),0)&gt;0,IFERROR(FIND("交通银行",基本信息!BS430),0)&gt;0),计算结果!BT430&gt;0),基本信息!BR430,"")</f>
        <v/>
      </c>
      <c r="B441" s="40" t="str">
        <f>IF($A441="","",基本信息!BQ430)</f>
        <v/>
      </c>
      <c r="C441" s="50" t="str">
        <f>IF($A441="","",计算结果!BT430-G441-H441)</f>
        <v/>
      </c>
      <c r="D441" s="40" t="str">
        <f>IF($A441="","",基本信息!BS430)</f>
        <v/>
      </c>
      <c r="F441" s="40" t="str">
        <f>IF($A441="","",基本信息!A430)</f>
        <v/>
      </c>
      <c r="G441" s="50" t="str">
        <f>IF($A441="","",计算结果!BI430+计算结果!BJ430)</f>
        <v/>
      </c>
      <c r="H441" s="50" t="str">
        <f>IF($A441="","",计算结果!BK430)</f>
        <v/>
      </c>
    </row>
    <row r="442" spans="1:8">
      <c r="A442" s="40" t="str">
        <f>IF(AND(OR(IFERROR(FIND("交行",基本信息!BS431),0)&gt;0,IFERROR(FIND("交通银行",基本信息!BS431),0)&gt;0),计算结果!BT431&gt;0),基本信息!BR431,"")</f>
        <v/>
      </c>
      <c r="B442" s="40" t="str">
        <f>IF($A442="","",基本信息!BQ431)</f>
        <v/>
      </c>
      <c r="C442" s="50" t="str">
        <f>IF($A442="","",计算结果!BT431-G442-H442)</f>
        <v/>
      </c>
      <c r="D442" s="40" t="str">
        <f>IF($A442="","",基本信息!BS431)</f>
        <v/>
      </c>
      <c r="F442" s="40" t="str">
        <f>IF($A442="","",基本信息!A431)</f>
        <v/>
      </c>
      <c r="G442" s="50" t="str">
        <f>IF($A442="","",计算结果!BI431+计算结果!BJ431)</f>
        <v/>
      </c>
      <c r="H442" s="50" t="str">
        <f>IF($A442="","",计算结果!BK431)</f>
        <v/>
      </c>
    </row>
    <row r="443" spans="1:8">
      <c r="A443" s="40" t="str">
        <f>IF(AND(OR(IFERROR(FIND("交行",基本信息!BS432),0)&gt;0,IFERROR(FIND("交通银行",基本信息!BS432),0)&gt;0),计算结果!BT432&gt;0),基本信息!BR432,"")</f>
        <v/>
      </c>
      <c r="B443" s="40" t="str">
        <f>IF($A443="","",基本信息!BQ432)</f>
        <v/>
      </c>
      <c r="C443" s="50" t="str">
        <f>IF($A443="","",计算结果!BT432-G443-H443)</f>
        <v/>
      </c>
      <c r="D443" s="40" t="str">
        <f>IF($A443="","",基本信息!BS432)</f>
        <v/>
      </c>
      <c r="F443" s="40" t="str">
        <f>IF($A443="","",基本信息!A432)</f>
        <v/>
      </c>
      <c r="G443" s="50" t="str">
        <f>IF($A443="","",计算结果!BI432+计算结果!BJ432)</f>
        <v/>
      </c>
      <c r="H443" s="50" t="str">
        <f>IF($A443="","",计算结果!BK432)</f>
        <v/>
      </c>
    </row>
    <row r="444" spans="1:8">
      <c r="A444" s="40" t="str">
        <f>IF(AND(OR(IFERROR(FIND("交行",基本信息!BS433),0)&gt;0,IFERROR(FIND("交通银行",基本信息!BS433),0)&gt;0),计算结果!BT433&gt;0),基本信息!BR433,"")</f>
        <v/>
      </c>
      <c r="B444" s="40" t="str">
        <f>IF($A444="","",基本信息!BQ433)</f>
        <v/>
      </c>
      <c r="C444" s="50" t="str">
        <f>IF($A444="","",计算结果!BT433-G444-H444)</f>
        <v/>
      </c>
      <c r="D444" s="40" t="str">
        <f>IF($A444="","",基本信息!BS433)</f>
        <v/>
      </c>
      <c r="F444" s="40" t="str">
        <f>IF($A444="","",基本信息!A433)</f>
        <v/>
      </c>
      <c r="G444" s="50" t="str">
        <f>IF($A444="","",计算结果!BI433+计算结果!BJ433)</f>
        <v/>
      </c>
      <c r="H444" s="50" t="str">
        <f>IF($A444="","",计算结果!BK433)</f>
        <v/>
      </c>
    </row>
    <row r="445" spans="1:8">
      <c r="A445" s="40" t="str">
        <f>IF(AND(OR(IFERROR(FIND("交行",基本信息!BS434),0)&gt;0,IFERROR(FIND("交通银行",基本信息!BS434),0)&gt;0),计算结果!BT434&gt;0),基本信息!BR434,"")</f>
        <v/>
      </c>
      <c r="B445" s="40" t="str">
        <f>IF($A445="","",基本信息!BQ434)</f>
        <v/>
      </c>
      <c r="C445" s="50" t="str">
        <f>IF($A445="","",计算结果!BT434-G445-H445)</f>
        <v/>
      </c>
      <c r="D445" s="40" t="str">
        <f>IF($A445="","",基本信息!BS434)</f>
        <v/>
      </c>
      <c r="F445" s="40" t="str">
        <f>IF($A445="","",基本信息!A434)</f>
        <v/>
      </c>
      <c r="G445" s="50" t="str">
        <f>IF($A445="","",计算结果!BI434+计算结果!BJ434)</f>
        <v/>
      </c>
      <c r="H445" s="50" t="str">
        <f>IF($A445="","",计算结果!BK434)</f>
        <v/>
      </c>
    </row>
    <row r="446" spans="1:8">
      <c r="A446" s="40" t="str">
        <f>IF(AND(OR(IFERROR(FIND("交行",基本信息!BS435),0)&gt;0,IFERROR(FIND("交通银行",基本信息!BS435),0)&gt;0),计算结果!BT435&gt;0),基本信息!BR435,"")</f>
        <v/>
      </c>
      <c r="B446" s="40" t="str">
        <f>IF($A446="","",基本信息!BQ435)</f>
        <v/>
      </c>
      <c r="C446" s="50" t="str">
        <f>IF($A446="","",计算结果!BT435-G446-H446)</f>
        <v/>
      </c>
      <c r="D446" s="40" t="str">
        <f>IF($A446="","",基本信息!BS435)</f>
        <v/>
      </c>
      <c r="F446" s="40" t="str">
        <f>IF($A446="","",基本信息!A435)</f>
        <v/>
      </c>
      <c r="G446" s="50" t="str">
        <f>IF($A446="","",计算结果!BI435+计算结果!BJ435)</f>
        <v/>
      </c>
      <c r="H446" s="50" t="str">
        <f>IF($A446="","",计算结果!BK435)</f>
        <v/>
      </c>
    </row>
    <row r="447" spans="1:8">
      <c r="A447" s="40" t="str">
        <f>IF(AND(OR(IFERROR(FIND("交行",基本信息!BS436),0)&gt;0,IFERROR(FIND("交通银行",基本信息!BS436),0)&gt;0),计算结果!BT436&gt;0),基本信息!BR436,"")</f>
        <v/>
      </c>
      <c r="B447" s="40" t="str">
        <f>IF($A447="","",基本信息!BQ436)</f>
        <v/>
      </c>
      <c r="C447" s="50" t="str">
        <f>IF($A447="","",计算结果!BT436-G447-H447)</f>
        <v/>
      </c>
      <c r="D447" s="40" t="str">
        <f>IF($A447="","",基本信息!BS436)</f>
        <v/>
      </c>
      <c r="F447" s="40" t="str">
        <f>IF($A447="","",基本信息!A436)</f>
        <v/>
      </c>
      <c r="G447" s="50" t="str">
        <f>IF($A447="","",计算结果!BI436+计算结果!BJ436)</f>
        <v/>
      </c>
      <c r="H447" s="50" t="str">
        <f>IF($A447="","",计算结果!BK436)</f>
        <v/>
      </c>
    </row>
    <row r="448" spans="1:8">
      <c r="A448" s="40" t="str">
        <f>IF(AND(OR(IFERROR(FIND("交行",基本信息!BS437),0)&gt;0,IFERROR(FIND("交通银行",基本信息!BS437),0)&gt;0),计算结果!BT437&gt;0),基本信息!BR437,"")</f>
        <v/>
      </c>
      <c r="B448" s="40" t="str">
        <f>IF($A448="","",基本信息!BQ437)</f>
        <v/>
      </c>
      <c r="C448" s="50" t="str">
        <f>IF($A448="","",计算结果!BT437-G448-H448)</f>
        <v/>
      </c>
      <c r="D448" s="40" t="str">
        <f>IF($A448="","",基本信息!BS437)</f>
        <v/>
      </c>
      <c r="F448" s="40" t="str">
        <f>IF($A448="","",基本信息!A437)</f>
        <v/>
      </c>
      <c r="G448" s="50" t="str">
        <f>IF($A448="","",计算结果!BI437+计算结果!BJ437)</f>
        <v/>
      </c>
      <c r="H448" s="50" t="str">
        <f>IF($A448="","",计算结果!BK437)</f>
        <v/>
      </c>
    </row>
    <row r="449" spans="1:8">
      <c r="A449" s="40" t="str">
        <f>IF(AND(OR(IFERROR(FIND("交行",基本信息!BS438),0)&gt;0,IFERROR(FIND("交通银行",基本信息!BS438),0)&gt;0),计算结果!BT438&gt;0),基本信息!BR438,"")</f>
        <v/>
      </c>
      <c r="B449" s="40" t="str">
        <f>IF($A449="","",基本信息!BQ438)</f>
        <v/>
      </c>
      <c r="C449" s="50" t="str">
        <f>IF($A449="","",计算结果!BT438-G449-H449)</f>
        <v/>
      </c>
      <c r="D449" s="40" t="str">
        <f>IF($A449="","",基本信息!BS438)</f>
        <v/>
      </c>
      <c r="F449" s="40" t="str">
        <f>IF($A449="","",基本信息!A438)</f>
        <v/>
      </c>
      <c r="G449" s="50" t="str">
        <f>IF($A449="","",计算结果!BI438+计算结果!BJ438)</f>
        <v/>
      </c>
      <c r="H449" s="50" t="str">
        <f>IF($A449="","",计算结果!BK438)</f>
        <v/>
      </c>
    </row>
    <row r="450" spans="1:8">
      <c r="A450" s="40" t="str">
        <f>IF(AND(OR(IFERROR(FIND("交行",基本信息!BS439),0)&gt;0,IFERROR(FIND("交通银行",基本信息!BS439),0)&gt;0),计算结果!BT439&gt;0),基本信息!BR439,"")</f>
        <v/>
      </c>
      <c r="B450" s="40" t="str">
        <f>IF($A450="","",基本信息!BQ439)</f>
        <v/>
      </c>
      <c r="C450" s="50" t="str">
        <f>IF($A450="","",计算结果!BT439-G450-H450)</f>
        <v/>
      </c>
      <c r="D450" s="40" t="str">
        <f>IF($A450="","",基本信息!BS439)</f>
        <v/>
      </c>
      <c r="F450" s="40" t="str">
        <f>IF($A450="","",基本信息!A439)</f>
        <v/>
      </c>
      <c r="G450" s="50" t="str">
        <f>IF($A450="","",计算结果!BI439+计算结果!BJ439)</f>
        <v/>
      </c>
      <c r="H450" s="50" t="str">
        <f>IF($A450="","",计算结果!BK439)</f>
        <v/>
      </c>
    </row>
    <row r="451" spans="1:8">
      <c r="A451" s="40" t="str">
        <f>IF(AND(OR(IFERROR(FIND("交行",基本信息!BS440),0)&gt;0,IFERROR(FIND("交通银行",基本信息!BS440),0)&gt;0),计算结果!BT440&gt;0),基本信息!BR440,"")</f>
        <v/>
      </c>
      <c r="B451" s="40" t="str">
        <f>IF($A451="","",基本信息!BQ440)</f>
        <v/>
      </c>
      <c r="C451" s="50" t="str">
        <f>IF($A451="","",计算结果!BT440-G451-H451)</f>
        <v/>
      </c>
      <c r="D451" s="40" t="str">
        <f>IF($A451="","",基本信息!BS440)</f>
        <v/>
      </c>
      <c r="F451" s="40" t="str">
        <f>IF($A451="","",基本信息!A440)</f>
        <v/>
      </c>
      <c r="G451" s="50" t="str">
        <f>IF($A451="","",计算结果!BI440+计算结果!BJ440)</f>
        <v/>
      </c>
      <c r="H451" s="50" t="str">
        <f>IF($A451="","",计算结果!BK440)</f>
        <v/>
      </c>
    </row>
    <row r="452" spans="1:8">
      <c r="A452" s="40" t="str">
        <f>IF(AND(OR(IFERROR(FIND("交行",基本信息!BS441),0)&gt;0,IFERROR(FIND("交通银行",基本信息!BS441),0)&gt;0),计算结果!BT441&gt;0),基本信息!BR441,"")</f>
        <v/>
      </c>
      <c r="B452" s="40" t="str">
        <f>IF($A452="","",基本信息!BQ441)</f>
        <v/>
      </c>
      <c r="C452" s="50" t="str">
        <f>IF($A452="","",计算结果!BT441-G452-H452)</f>
        <v/>
      </c>
      <c r="D452" s="40" t="str">
        <f>IF($A452="","",基本信息!BS441)</f>
        <v/>
      </c>
      <c r="F452" s="40" t="str">
        <f>IF($A452="","",基本信息!A441)</f>
        <v/>
      </c>
      <c r="G452" s="50" t="str">
        <f>IF($A452="","",计算结果!BI441+计算结果!BJ441)</f>
        <v/>
      </c>
      <c r="H452" s="50" t="str">
        <f>IF($A452="","",计算结果!BK441)</f>
        <v/>
      </c>
    </row>
    <row r="453" spans="1:8">
      <c r="A453" s="40" t="str">
        <f>IF(AND(OR(IFERROR(FIND("交行",基本信息!BS442),0)&gt;0,IFERROR(FIND("交通银行",基本信息!BS442),0)&gt;0),计算结果!BT442&gt;0),基本信息!BR442,"")</f>
        <v/>
      </c>
      <c r="B453" s="40" t="str">
        <f>IF($A453="","",基本信息!BQ442)</f>
        <v/>
      </c>
      <c r="C453" s="50" t="str">
        <f>IF($A453="","",计算结果!BT442-G453-H453)</f>
        <v/>
      </c>
      <c r="D453" s="40" t="str">
        <f>IF($A453="","",基本信息!BS442)</f>
        <v/>
      </c>
      <c r="F453" s="40" t="str">
        <f>IF($A453="","",基本信息!A442)</f>
        <v/>
      </c>
      <c r="G453" s="50" t="str">
        <f>IF($A453="","",计算结果!BI442+计算结果!BJ442)</f>
        <v/>
      </c>
      <c r="H453" s="50" t="str">
        <f>IF($A453="","",计算结果!BK442)</f>
        <v/>
      </c>
    </row>
    <row r="454" spans="1:8">
      <c r="A454" s="40" t="str">
        <f>IF(AND(OR(IFERROR(FIND("交行",基本信息!BS443),0)&gt;0,IFERROR(FIND("交通银行",基本信息!BS443),0)&gt;0),计算结果!BT443&gt;0),基本信息!BR443,"")</f>
        <v/>
      </c>
      <c r="B454" s="40" t="str">
        <f>IF($A454="","",基本信息!BQ443)</f>
        <v/>
      </c>
      <c r="C454" s="50" t="str">
        <f>IF($A454="","",计算结果!BT443-G454-H454)</f>
        <v/>
      </c>
      <c r="D454" s="40" t="str">
        <f>IF($A454="","",基本信息!BS443)</f>
        <v/>
      </c>
      <c r="F454" s="40" t="str">
        <f>IF($A454="","",基本信息!A443)</f>
        <v/>
      </c>
      <c r="G454" s="50" t="str">
        <f>IF($A454="","",计算结果!BI443+计算结果!BJ443)</f>
        <v/>
      </c>
      <c r="H454" s="50" t="str">
        <f>IF($A454="","",计算结果!BK443)</f>
        <v/>
      </c>
    </row>
    <row r="455" spans="1:8">
      <c r="A455" s="40" t="str">
        <f>IF(AND(OR(IFERROR(FIND("交行",基本信息!BS444),0)&gt;0,IFERROR(FIND("交通银行",基本信息!BS444),0)&gt;0),计算结果!BT444&gt;0),基本信息!BR444,"")</f>
        <v/>
      </c>
      <c r="B455" s="40" t="str">
        <f>IF($A455="","",基本信息!BQ444)</f>
        <v/>
      </c>
      <c r="C455" s="50" t="str">
        <f>IF($A455="","",计算结果!BT444-G455-H455)</f>
        <v/>
      </c>
      <c r="D455" s="40" t="str">
        <f>IF($A455="","",基本信息!BS444)</f>
        <v/>
      </c>
      <c r="F455" s="40" t="str">
        <f>IF($A455="","",基本信息!A444)</f>
        <v/>
      </c>
      <c r="G455" s="50" t="str">
        <f>IF($A455="","",计算结果!BI444+计算结果!BJ444)</f>
        <v/>
      </c>
      <c r="H455" s="50" t="str">
        <f>IF($A455="","",计算结果!BK444)</f>
        <v/>
      </c>
    </row>
    <row r="456" spans="1:8">
      <c r="A456" s="40" t="str">
        <f>IF(AND(OR(IFERROR(FIND("交行",基本信息!BS445),0)&gt;0,IFERROR(FIND("交通银行",基本信息!BS445),0)&gt;0),计算结果!BT445&gt;0),基本信息!BR445,"")</f>
        <v/>
      </c>
      <c r="B456" s="40" t="str">
        <f>IF($A456="","",基本信息!BQ445)</f>
        <v/>
      </c>
      <c r="C456" s="50" t="str">
        <f>IF($A456="","",计算结果!BT445-G456-H456)</f>
        <v/>
      </c>
      <c r="D456" s="40" t="str">
        <f>IF($A456="","",基本信息!BS445)</f>
        <v/>
      </c>
      <c r="F456" s="40" t="str">
        <f>IF($A456="","",基本信息!A445)</f>
        <v/>
      </c>
      <c r="G456" s="50" t="str">
        <f>IF($A456="","",计算结果!BI445+计算结果!BJ445)</f>
        <v/>
      </c>
      <c r="H456" s="50" t="str">
        <f>IF($A456="","",计算结果!BK445)</f>
        <v/>
      </c>
    </row>
    <row r="457" spans="1:8">
      <c r="A457" s="40" t="str">
        <f>IF(AND(OR(IFERROR(FIND("交行",基本信息!BS446),0)&gt;0,IFERROR(FIND("交通银行",基本信息!BS446),0)&gt;0),计算结果!BT446&gt;0),基本信息!BR446,"")</f>
        <v/>
      </c>
      <c r="B457" s="40" t="str">
        <f>IF($A457="","",基本信息!BQ446)</f>
        <v/>
      </c>
      <c r="C457" s="50" t="str">
        <f>IF($A457="","",计算结果!BT446-G457-H457)</f>
        <v/>
      </c>
      <c r="D457" s="40" t="str">
        <f>IF($A457="","",基本信息!BS446)</f>
        <v/>
      </c>
      <c r="F457" s="40" t="str">
        <f>IF($A457="","",基本信息!A446)</f>
        <v/>
      </c>
      <c r="G457" s="50" t="str">
        <f>IF($A457="","",计算结果!BI446+计算结果!BJ446)</f>
        <v/>
      </c>
      <c r="H457" s="50" t="str">
        <f>IF($A457="","",计算结果!BK446)</f>
        <v/>
      </c>
    </row>
    <row r="458" spans="1:8">
      <c r="A458" s="40" t="str">
        <f>IF(AND(OR(IFERROR(FIND("交行",基本信息!BS447),0)&gt;0,IFERROR(FIND("交通银行",基本信息!BS447),0)&gt;0),计算结果!BT447&gt;0),基本信息!BR447,"")</f>
        <v/>
      </c>
      <c r="B458" s="40" t="str">
        <f>IF($A458="","",基本信息!BQ447)</f>
        <v/>
      </c>
      <c r="C458" s="50" t="str">
        <f>IF($A458="","",计算结果!BT447-G458-H458)</f>
        <v/>
      </c>
      <c r="D458" s="40" t="str">
        <f>IF($A458="","",基本信息!BS447)</f>
        <v/>
      </c>
      <c r="F458" s="40" t="str">
        <f>IF($A458="","",基本信息!A447)</f>
        <v/>
      </c>
      <c r="G458" s="50" t="str">
        <f>IF($A458="","",计算结果!BI447+计算结果!BJ447)</f>
        <v/>
      </c>
      <c r="H458" s="50" t="str">
        <f>IF($A458="","",计算结果!BK447)</f>
        <v/>
      </c>
    </row>
    <row r="459" spans="1:8">
      <c r="A459" s="40" t="str">
        <f>IF(AND(OR(IFERROR(FIND("交行",基本信息!BS448),0)&gt;0,IFERROR(FIND("交通银行",基本信息!BS448),0)&gt;0),计算结果!BT448&gt;0),基本信息!BR448,"")</f>
        <v/>
      </c>
      <c r="B459" s="40" t="str">
        <f>IF($A459="","",基本信息!BQ448)</f>
        <v/>
      </c>
      <c r="C459" s="50" t="str">
        <f>IF($A459="","",计算结果!BT448-G459-H459)</f>
        <v/>
      </c>
      <c r="D459" s="40" t="str">
        <f>IF($A459="","",基本信息!BS448)</f>
        <v/>
      </c>
      <c r="F459" s="40" t="str">
        <f>IF($A459="","",基本信息!A448)</f>
        <v/>
      </c>
      <c r="G459" s="50" t="str">
        <f>IF($A459="","",计算结果!BI448+计算结果!BJ448)</f>
        <v/>
      </c>
      <c r="H459" s="50" t="str">
        <f>IF($A459="","",计算结果!BK448)</f>
        <v/>
      </c>
    </row>
    <row r="460" spans="1:8">
      <c r="A460" s="40" t="str">
        <f>IF(AND(OR(IFERROR(FIND("交行",基本信息!BS449),0)&gt;0,IFERROR(FIND("交通银行",基本信息!BS449),0)&gt;0),计算结果!BT449&gt;0),基本信息!BR449,"")</f>
        <v/>
      </c>
      <c r="B460" s="40" t="str">
        <f>IF($A460="","",基本信息!BQ449)</f>
        <v/>
      </c>
      <c r="C460" s="50" t="str">
        <f>IF($A460="","",计算结果!BT449-G460-H460)</f>
        <v/>
      </c>
      <c r="D460" s="40" t="str">
        <f>IF($A460="","",基本信息!BS449)</f>
        <v/>
      </c>
      <c r="F460" s="40" t="str">
        <f>IF($A460="","",基本信息!A449)</f>
        <v/>
      </c>
      <c r="G460" s="50" t="str">
        <f>IF($A460="","",计算结果!BI449+计算结果!BJ449)</f>
        <v/>
      </c>
      <c r="H460" s="50" t="str">
        <f>IF($A460="","",计算结果!BK449)</f>
        <v/>
      </c>
    </row>
    <row r="461" spans="1:8">
      <c r="A461" s="40" t="str">
        <f>IF(AND(OR(IFERROR(FIND("交行",基本信息!BS450),0)&gt;0,IFERROR(FIND("交通银行",基本信息!BS450),0)&gt;0),计算结果!BT450&gt;0),基本信息!BR450,"")</f>
        <v/>
      </c>
      <c r="B461" s="40" t="str">
        <f>IF($A461="","",基本信息!BQ450)</f>
        <v/>
      </c>
      <c r="C461" s="50" t="str">
        <f>IF($A461="","",计算结果!BT450-G461-H461)</f>
        <v/>
      </c>
      <c r="D461" s="40" t="str">
        <f>IF($A461="","",基本信息!BS450)</f>
        <v/>
      </c>
      <c r="F461" s="40" t="str">
        <f>IF($A461="","",基本信息!A450)</f>
        <v/>
      </c>
      <c r="G461" s="50" t="str">
        <f>IF($A461="","",计算结果!BI450+计算结果!BJ450)</f>
        <v/>
      </c>
      <c r="H461" s="50" t="str">
        <f>IF($A461="","",计算结果!BK450)</f>
        <v/>
      </c>
    </row>
    <row r="462" spans="1:8">
      <c r="A462" s="40" t="str">
        <f>IF(AND(OR(IFERROR(FIND("交行",基本信息!BS451),0)&gt;0,IFERROR(FIND("交通银行",基本信息!BS451),0)&gt;0),计算结果!BT451&gt;0),基本信息!BR451,"")</f>
        <v/>
      </c>
      <c r="B462" s="40" t="str">
        <f>IF($A462="","",基本信息!BQ451)</f>
        <v/>
      </c>
      <c r="C462" s="50" t="str">
        <f>IF($A462="","",计算结果!BT451-G462-H462)</f>
        <v/>
      </c>
      <c r="D462" s="40" t="str">
        <f>IF($A462="","",基本信息!BS451)</f>
        <v/>
      </c>
      <c r="F462" s="40" t="str">
        <f>IF($A462="","",基本信息!A451)</f>
        <v/>
      </c>
      <c r="G462" s="50" t="str">
        <f>IF($A462="","",计算结果!BI451+计算结果!BJ451)</f>
        <v/>
      </c>
      <c r="H462" s="50" t="str">
        <f>IF($A462="","",计算结果!BK451)</f>
        <v/>
      </c>
    </row>
    <row r="463" spans="1:8">
      <c r="A463" s="40" t="str">
        <f>IF(AND(OR(IFERROR(FIND("交行",基本信息!BS452),0)&gt;0,IFERROR(FIND("交通银行",基本信息!BS452),0)&gt;0),计算结果!BT452&gt;0),基本信息!BR452,"")</f>
        <v/>
      </c>
      <c r="B463" s="40" t="str">
        <f>IF($A463="","",基本信息!BQ452)</f>
        <v/>
      </c>
      <c r="C463" s="50" t="str">
        <f>IF($A463="","",计算结果!BT452-G463-H463)</f>
        <v/>
      </c>
      <c r="D463" s="40" t="str">
        <f>IF($A463="","",基本信息!BS452)</f>
        <v/>
      </c>
      <c r="F463" s="40" t="str">
        <f>IF($A463="","",基本信息!A452)</f>
        <v/>
      </c>
      <c r="G463" s="50" t="str">
        <f>IF($A463="","",计算结果!BI452+计算结果!BJ452)</f>
        <v/>
      </c>
      <c r="H463" s="50" t="str">
        <f>IF($A463="","",计算结果!BK452)</f>
        <v/>
      </c>
    </row>
    <row r="464" spans="1:8">
      <c r="A464" s="40" t="str">
        <f>IF(AND(OR(IFERROR(FIND("交行",基本信息!BS453),0)&gt;0,IFERROR(FIND("交通银行",基本信息!BS453),0)&gt;0),计算结果!BT453&gt;0),基本信息!BR453,"")</f>
        <v/>
      </c>
      <c r="B464" s="40" t="str">
        <f>IF($A464="","",基本信息!BQ453)</f>
        <v/>
      </c>
      <c r="C464" s="50" t="str">
        <f>IF($A464="","",计算结果!BT453-G464-H464)</f>
        <v/>
      </c>
      <c r="D464" s="40" t="str">
        <f>IF($A464="","",基本信息!BS453)</f>
        <v/>
      </c>
      <c r="F464" s="40" t="str">
        <f>IF($A464="","",基本信息!A453)</f>
        <v/>
      </c>
      <c r="G464" s="50" t="str">
        <f>IF($A464="","",计算结果!BI453+计算结果!BJ453)</f>
        <v/>
      </c>
      <c r="H464" s="50" t="str">
        <f>IF($A464="","",计算结果!BK453)</f>
        <v/>
      </c>
    </row>
    <row r="465" spans="1:8">
      <c r="A465" s="40" t="str">
        <f>IF(AND(OR(IFERROR(FIND("交行",基本信息!BS454),0)&gt;0,IFERROR(FIND("交通银行",基本信息!BS454),0)&gt;0),计算结果!BT454&gt;0),基本信息!BR454,"")</f>
        <v/>
      </c>
      <c r="B465" s="40" t="str">
        <f>IF($A465="","",基本信息!BQ454)</f>
        <v/>
      </c>
      <c r="C465" s="50" t="str">
        <f>IF($A465="","",计算结果!BT454-G465-H465)</f>
        <v/>
      </c>
      <c r="D465" s="40" t="str">
        <f>IF($A465="","",基本信息!BS454)</f>
        <v/>
      </c>
      <c r="F465" s="40" t="str">
        <f>IF($A465="","",基本信息!A454)</f>
        <v/>
      </c>
      <c r="G465" s="50" t="str">
        <f>IF($A465="","",计算结果!BI454+计算结果!BJ454)</f>
        <v/>
      </c>
      <c r="H465" s="50" t="str">
        <f>IF($A465="","",计算结果!BK454)</f>
        <v/>
      </c>
    </row>
    <row r="466" spans="1:8">
      <c r="A466" s="40" t="str">
        <f>IF(AND(OR(IFERROR(FIND("交行",基本信息!BS455),0)&gt;0,IFERROR(FIND("交通银行",基本信息!BS455),0)&gt;0),计算结果!BT455&gt;0),基本信息!BR455,"")</f>
        <v/>
      </c>
      <c r="B466" s="40" t="str">
        <f>IF($A466="","",基本信息!BQ455)</f>
        <v/>
      </c>
      <c r="C466" s="50" t="str">
        <f>IF($A466="","",计算结果!BT455-G466-H466)</f>
        <v/>
      </c>
      <c r="D466" s="40" t="str">
        <f>IF($A466="","",基本信息!BS455)</f>
        <v/>
      </c>
      <c r="F466" s="40" t="str">
        <f>IF($A466="","",基本信息!A455)</f>
        <v/>
      </c>
      <c r="G466" s="50" t="str">
        <f>IF($A466="","",计算结果!BI455+计算结果!BJ455)</f>
        <v/>
      </c>
      <c r="H466" s="50" t="str">
        <f>IF($A466="","",计算结果!BK455)</f>
        <v/>
      </c>
    </row>
    <row r="467" spans="1:8">
      <c r="A467" s="40" t="str">
        <f>IF(AND(OR(IFERROR(FIND("交行",基本信息!BS456),0)&gt;0,IFERROR(FIND("交通银行",基本信息!BS456),0)&gt;0),计算结果!BT456&gt;0),基本信息!BR456,"")</f>
        <v/>
      </c>
      <c r="B467" s="40" t="str">
        <f>IF($A467="","",基本信息!BQ456)</f>
        <v/>
      </c>
      <c r="C467" s="50" t="str">
        <f>IF($A467="","",计算结果!BT456-G467-H467)</f>
        <v/>
      </c>
      <c r="D467" s="40" t="str">
        <f>IF($A467="","",基本信息!BS456)</f>
        <v/>
      </c>
      <c r="F467" s="40" t="str">
        <f>IF($A467="","",基本信息!A456)</f>
        <v/>
      </c>
      <c r="G467" s="50" t="str">
        <f>IF($A467="","",计算结果!BI456+计算结果!BJ456)</f>
        <v/>
      </c>
      <c r="H467" s="50" t="str">
        <f>IF($A467="","",计算结果!BK456)</f>
        <v/>
      </c>
    </row>
    <row r="468" spans="1:8">
      <c r="A468" s="40" t="str">
        <f>IF(AND(OR(IFERROR(FIND("交行",基本信息!BS457),0)&gt;0,IFERROR(FIND("交通银行",基本信息!BS457),0)&gt;0),计算结果!BT457&gt;0),基本信息!BR457,"")</f>
        <v/>
      </c>
      <c r="B468" s="40" t="str">
        <f>IF($A468="","",基本信息!BQ457)</f>
        <v/>
      </c>
      <c r="C468" s="50" t="str">
        <f>IF($A468="","",计算结果!BT457-G468-H468)</f>
        <v/>
      </c>
      <c r="D468" s="40" t="str">
        <f>IF($A468="","",基本信息!BS457)</f>
        <v/>
      </c>
      <c r="F468" s="40" t="str">
        <f>IF($A468="","",基本信息!A457)</f>
        <v/>
      </c>
      <c r="G468" s="50" t="str">
        <f>IF($A468="","",计算结果!BI457+计算结果!BJ457)</f>
        <v/>
      </c>
      <c r="H468" s="50" t="str">
        <f>IF($A468="","",计算结果!BK457)</f>
        <v/>
      </c>
    </row>
    <row r="469" spans="1:8">
      <c r="A469" s="40" t="str">
        <f>IF(AND(OR(IFERROR(FIND("交行",基本信息!BS458),0)&gt;0,IFERROR(FIND("交通银行",基本信息!BS458),0)&gt;0),计算结果!BT458&gt;0),基本信息!BR458,"")</f>
        <v/>
      </c>
      <c r="B469" s="40" t="str">
        <f>IF($A469="","",基本信息!BQ458)</f>
        <v/>
      </c>
      <c r="C469" s="50" t="str">
        <f>IF($A469="","",计算结果!BT458-G469-H469)</f>
        <v/>
      </c>
      <c r="D469" s="40" t="str">
        <f>IF($A469="","",基本信息!BS458)</f>
        <v/>
      </c>
      <c r="F469" s="40" t="str">
        <f>IF($A469="","",基本信息!A458)</f>
        <v/>
      </c>
      <c r="G469" s="50" t="str">
        <f>IF($A469="","",计算结果!BI458+计算结果!BJ458)</f>
        <v/>
      </c>
      <c r="H469" s="50" t="str">
        <f>IF($A469="","",计算结果!BK458)</f>
        <v/>
      </c>
    </row>
    <row r="470" spans="1:8">
      <c r="A470" s="40" t="str">
        <f>IF(AND(OR(IFERROR(FIND("交行",基本信息!BS459),0)&gt;0,IFERROR(FIND("交通银行",基本信息!BS459),0)&gt;0),计算结果!BT459&gt;0),基本信息!BR459,"")</f>
        <v/>
      </c>
      <c r="B470" s="40" t="str">
        <f>IF($A470="","",基本信息!BQ459)</f>
        <v/>
      </c>
      <c r="C470" s="50" t="str">
        <f>IF($A470="","",计算结果!BT459-G470-H470)</f>
        <v/>
      </c>
      <c r="D470" s="40" t="str">
        <f>IF($A470="","",基本信息!BS459)</f>
        <v/>
      </c>
      <c r="F470" s="40" t="str">
        <f>IF($A470="","",基本信息!A459)</f>
        <v/>
      </c>
      <c r="G470" s="50" t="str">
        <f>IF($A470="","",计算结果!BI459+计算结果!BJ459)</f>
        <v/>
      </c>
      <c r="H470" s="50" t="str">
        <f>IF($A470="","",计算结果!BK459)</f>
        <v/>
      </c>
    </row>
    <row r="471" spans="1:8">
      <c r="A471" s="40" t="str">
        <f>IF(AND(OR(IFERROR(FIND("交行",基本信息!BS460),0)&gt;0,IFERROR(FIND("交通银行",基本信息!BS460),0)&gt;0),计算结果!BT460&gt;0),基本信息!BR460,"")</f>
        <v/>
      </c>
      <c r="B471" s="40" t="str">
        <f>IF($A471="","",基本信息!BQ460)</f>
        <v/>
      </c>
      <c r="C471" s="50" t="str">
        <f>IF($A471="","",计算结果!BT460-G471-H471)</f>
        <v/>
      </c>
      <c r="D471" s="40" t="str">
        <f>IF($A471="","",基本信息!BS460)</f>
        <v/>
      </c>
      <c r="F471" s="40" t="str">
        <f>IF($A471="","",基本信息!A460)</f>
        <v/>
      </c>
      <c r="G471" s="50" t="str">
        <f>IF($A471="","",计算结果!BI460+计算结果!BJ460)</f>
        <v/>
      </c>
      <c r="H471" s="50" t="str">
        <f>IF($A471="","",计算结果!BK460)</f>
        <v/>
      </c>
    </row>
    <row r="472" spans="1:8">
      <c r="A472" s="40" t="str">
        <f>IF(AND(OR(IFERROR(FIND("交行",基本信息!BS461),0)&gt;0,IFERROR(FIND("交通银行",基本信息!BS461),0)&gt;0),计算结果!BT461&gt;0),基本信息!BR461,"")</f>
        <v/>
      </c>
      <c r="B472" s="40" t="str">
        <f>IF($A472="","",基本信息!BQ461)</f>
        <v/>
      </c>
      <c r="C472" s="50" t="str">
        <f>IF($A472="","",计算结果!BT461-G472-H472)</f>
        <v/>
      </c>
      <c r="D472" s="40" t="str">
        <f>IF($A472="","",基本信息!BS461)</f>
        <v/>
      </c>
      <c r="F472" s="40" t="str">
        <f>IF($A472="","",基本信息!A461)</f>
        <v/>
      </c>
      <c r="G472" s="50" t="str">
        <f>IF($A472="","",计算结果!BI461+计算结果!BJ461)</f>
        <v/>
      </c>
      <c r="H472" s="50" t="str">
        <f>IF($A472="","",计算结果!BK461)</f>
        <v/>
      </c>
    </row>
    <row r="473" spans="1:8">
      <c r="A473" s="40" t="str">
        <f>IF(AND(OR(IFERROR(FIND("交行",基本信息!BS462),0)&gt;0,IFERROR(FIND("交通银行",基本信息!BS462),0)&gt;0),计算结果!BT462&gt;0),基本信息!BR462,"")</f>
        <v/>
      </c>
      <c r="B473" s="40" t="str">
        <f>IF($A473="","",基本信息!BQ462)</f>
        <v/>
      </c>
      <c r="C473" s="50" t="str">
        <f>IF($A473="","",计算结果!BT462-G473-H473)</f>
        <v/>
      </c>
      <c r="D473" s="40" t="str">
        <f>IF($A473="","",基本信息!BS462)</f>
        <v/>
      </c>
      <c r="F473" s="40" t="str">
        <f>IF($A473="","",基本信息!A462)</f>
        <v/>
      </c>
      <c r="G473" s="50" t="str">
        <f>IF($A473="","",计算结果!BI462+计算结果!BJ462)</f>
        <v/>
      </c>
      <c r="H473" s="50" t="str">
        <f>IF($A473="","",计算结果!BK462)</f>
        <v/>
      </c>
    </row>
    <row r="474" spans="1:8">
      <c r="A474" s="40" t="str">
        <f>IF(AND(OR(IFERROR(FIND("交行",基本信息!BS463),0)&gt;0,IFERROR(FIND("交通银行",基本信息!BS463),0)&gt;0),计算结果!BT463&gt;0),基本信息!BR463,"")</f>
        <v/>
      </c>
      <c r="B474" s="40" t="str">
        <f>IF($A474="","",基本信息!BQ463)</f>
        <v/>
      </c>
      <c r="C474" s="50" t="str">
        <f>IF($A474="","",计算结果!BT463-G474-H474)</f>
        <v/>
      </c>
      <c r="D474" s="40" t="str">
        <f>IF($A474="","",基本信息!BS463)</f>
        <v/>
      </c>
      <c r="F474" s="40" t="str">
        <f>IF($A474="","",基本信息!A463)</f>
        <v/>
      </c>
      <c r="G474" s="50" t="str">
        <f>IF($A474="","",计算结果!BI463+计算结果!BJ463)</f>
        <v/>
      </c>
      <c r="H474" s="50" t="str">
        <f>IF($A474="","",计算结果!BK463)</f>
        <v/>
      </c>
    </row>
    <row r="475" spans="1:8">
      <c r="A475" s="40" t="str">
        <f>IF(AND(OR(IFERROR(FIND("交行",基本信息!BS464),0)&gt;0,IFERROR(FIND("交通银行",基本信息!BS464),0)&gt;0),计算结果!BT464&gt;0),基本信息!BR464,"")</f>
        <v/>
      </c>
      <c r="B475" s="40" t="str">
        <f>IF($A475="","",基本信息!BQ464)</f>
        <v/>
      </c>
      <c r="C475" s="50" t="str">
        <f>IF($A475="","",计算结果!BT464-G475-H475)</f>
        <v/>
      </c>
      <c r="D475" s="40" t="str">
        <f>IF($A475="","",基本信息!BS464)</f>
        <v/>
      </c>
      <c r="F475" s="40" t="str">
        <f>IF($A475="","",基本信息!A464)</f>
        <v/>
      </c>
      <c r="G475" s="50" t="str">
        <f>IF($A475="","",计算结果!BI464+计算结果!BJ464)</f>
        <v/>
      </c>
      <c r="H475" s="50" t="str">
        <f>IF($A475="","",计算结果!BK464)</f>
        <v/>
      </c>
    </row>
    <row r="476" spans="1:8">
      <c r="A476" s="40" t="str">
        <f>IF(AND(OR(IFERROR(FIND("交行",基本信息!BS465),0)&gt;0,IFERROR(FIND("交通银行",基本信息!BS465),0)&gt;0),计算结果!BT465&gt;0),基本信息!BR465,"")</f>
        <v/>
      </c>
      <c r="B476" s="40" t="str">
        <f>IF($A476="","",基本信息!BQ465)</f>
        <v/>
      </c>
      <c r="C476" s="50" t="str">
        <f>IF($A476="","",计算结果!BT465-G476-H476)</f>
        <v/>
      </c>
      <c r="D476" s="40" t="str">
        <f>IF($A476="","",基本信息!BS465)</f>
        <v/>
      </c>
      <c r="F476" s="40" t="str">
        <f>IF($A476="","",基本信息!A465)</f>
        <v/>
      </c>
      <c r="G476" s="50" t="str">
        <f>IF($A476="","",计算结果!BI465+计算结果!BJ465)</f>
        <v/>
      </c>
      <c r="H476" s="50" t="str">
        <f>IF($A476="","",计算结果!BK465)</f>
        <v/>
      </c>
    </row>
    <row r="477" spans="1:8">
      <c r="A477" s="40" t="str">
        <f>IF(AND(OR(IFERROR(FIND("交行",基本信息!BS466),0)&gt;0,IFERROR(FIND("交通银行",基本信息!BS466),0)&gt;0),计算结果!BT466&gt;0),基本信息!BR466,"")</f>
        <v/>
      </c>
      <c r="B477" s="40" t="str">
        <f>IF($A477="","",基本信息!BQ466)</f>
        <v/>
      </c>
      <c r="C477" s="50" t="str">
        <f>IF($A477="","",计算结果!BT466-G477-H477)</f>
        <v/>
      </c>
      <c r="D477" s="40" t="str">
        <f>IF($A477="","",基本信息!BS466)</f>
        <v/>
      </c>
      <c r="F477" s="40" t="str">
        <f>IF($A477="","",基本信息!A466)</f>
        <v/>
      </c>
      <c r="G477" s="50" t="str">
        <f>IF($A477="","",计算结果!BI466+计算结果!BJ466)</f>
        <v/>
      </c>
      <c r="H477" s="50" t="str">
        <f>IF($A477="","",计算结果!BK466)</f>
        <v/>
      </c>
    </row>
    <row r="478" spans="1:8">
      <c r="A478" s="40" t="str">
        <f>IF(AND(OR(IFERROR(FIND("交行",基本信息!BS467),0)&gt;0,IFERROR(FIND("交通银行",基本信息!BS467),0)&gt;0),计算结果!BT467&gt;0),基本信息!BR467,"")</f>
        <v/>
      </c>
      <c r="B478" s="40" t="str">
        <f>IF($A478="","",基本信息!BQ467)</f>
        <v/>
      </c>
      <c r="C478" s="50" t="str">
        <f>IF($A478="","",计算结果!BT467-G478-H478)</f>
        <v/>
      </c>
      <c r="D478" s="40" t="str">
        <f>IF($A478="","",基本信息!BS467)</f>
        <v/>
      </c>
      <c r="F478" s="40" t="str">
        <f>IF($A478="","",基本信息!A467)</f>
        <v/>
      </c>
      <c r="G478" s="50" t="str">
        <f>IF($A478="","",计算结果!BI467+计算结果!BJ467)</f>
        <v/>
      </c>
      <c r="H478" s="50" t="str">
        <f>IF($A478="","",计算结果!BK467)</f>
        <v/>
      </c>
    </row>
    <row r="479" spans="1:8">
      <c r="A479" s="40" t="str">
        <f>IF(AND(OR(IFERROR(FIND("交行",基本信息!BS468),0)&gt;0,IFERROR(FIND("交通银行",基本信息!BS468),0)&gt;0),计算结果!BT468&gt;0),基本信息!BR468,"")</f>
        <v/>
      </c>
      <c r="B479" s="40" t="str">
        <f>IF($A479="","",基本信息!BQ468)</f>
        <v/>
      </c>
      <c r="C479" s="50" t="str">
        <f>IF($A479="","",计算结果!BT468-G479-H479)</f>
        <v/>
      </c>
      <c r="D479" s="40" t="str">
        <f>IF($A479="","",基本信息!BS468)</f>
        <v/>
      </c>
      <c r="F479" s="40" t="str">
        <f>IF($A479="","",基本信息!A468)</f>
        <v/>
      </c>
      <c r="G479" s="50" t="str">
        <f>IF($A479="","",计算结果!BI468+计算结果!BJ468)</f>
        <v/>
      </c>
      <c r="H479" s="50" t="str">
        <f>IF($A479="","",计算结果!BK468)</f>
        <v/>
      </c>
    </row>
    <row r="480" spans="1:8">
      <c r="A480" s="40" t="str">
        <f>IF(AND(OR(IFERROR(FIND("交行",基本信息!BS469),0)&gt;0,IFERROR(FIND("交通银行",基本信息!BS469),0)&gt;0),计算结果!BT469&gt;0),基本信息!BR469,"")</f>
        <v/>
      </c>
      <c r="B480" s="40" t="str">
        <f>IF($A480="","",基本信息!BQ469)</f>
        <v/>
      </c>
      <c r="C480" s="50" t="str">
        <f>IF($A480="","",计算结果!BT469-G480-H480)</f>
        <v/>
      </c>
      <c r="D480" s="40" t="str">
        <f>IF($A480="","",基本信息!BS469)</f>
        <v/>
      </c>
      <c r="F480" s="40" t="str">
        <f>IF($A480="","",基本信息!A469)</f>
        <v/>
      </c>
      <c r="G480" s="50" t="str">
        <f>IF($A480="","",计算结果!BI469+计算结果!BJ469)</f>
        <v/>
      </c>
      <c r="H480" s="50" t="str">
        <f>IF($A480="","",计算结果!BK469)</f>
        <v/>
      </c>
    </row>
    <row r="481" spans="1:8">
      <c r="A481" s="40" t="str">
        <f>IF(AND(OR(IFERROR(FIND("交行",基本信息!BS470),0)&gt;0,IFERROR(FIND("交通银行",基本信息!BS470),0)&gt;0),计算结果!BT470&gt;0),基本信息!BR470,"")</f>
        <v/>
      </c>
      <c r="B481" s="40" t="str">
        <f>IF($A481="","",基本信息!BQ470)</f>
        <v/>
      </c>
      <c r="C481" s="50" t="str">
        <f>IF($A481="","",计算结果!BT470-G481-H481)</f>
        <v/>
      </c>
      <c r="D481" s="40" t="str">
        <f>IF($A481="","",基本信息!BS470)</f>
        <v/>
      </c>
      <c r="F481" s="40" t="str">
        <f>IF($A481="","",基本信息!A470)</f>
        <v/>
      </c>
      <c r="G481" s="50" t="str">
        <f>IF($A481="","",计算结果!BI470+计算结果!BJ470)</f>
        <v/>
      </c>
      <c r="H481" s="50" t="str">
        <f>IF($A481="","",计算结果!BK470)</f>
        <v/>
      </c>
    </row>
    <row r="482" spans="1:8">
      <c r="A482" s="40" t="str">
        <f>IF(AND(OR(IFERROR(FIND("交行",基本信息!BS471),0)&gt;0,IFERROR(FIND("交通银行",基本信息!BS471),0)&gt;0),计算结果!BT471&gt;0),基本信息!BR471,"")</f>
        <v/>
      </c>
      <c r="B482" s="40" t="str">
        <f>IF($A482="","",基本信息!BQ471)</f>
        <v/>
      </c>
      <c r="C482" s="50" t="str">
        <f>IF($A482="","",计算结果!BT471-G482-H482)</f>
        <v/>
      </c>
      <c r="D482" s="40" t="str">
        <f>IF($A482="","",基本信息!BS471)</f>
        <v/>
      </c>
      <c r="F482" s="40" t="str">
        <f>IF($A482="","",基本信息!A471)</f>
        <v/>
      </c>
      <c r="G482" s="50" t="str">
        <f>IF($A482="","",计算结果!BI471+计算结果!BJ471)</f>
        <v/>
      </c>
      <c r="H482" s="50" t="str">
        <f>IF($A482="","",计算结果!BK471)</f>
        <v/>
      </c>
    </row>
    <row r="483" spans="1:8">
      <c r="A483" s="40" t="str">
        <f>IF(AND(OR(IFERROR(FIND("交行",基本信息!BS472),0)&gt;0,IFERROR(FIND("交通银行",基本信息!BS472),0)&gt;0),计算结果!BT472&gt;0),基本信息!BR472,"")</f>
        <v/>
      </c>
      <c r="B483" s="40" t="str">
        <f>IF($A483="","",基本信息!BQ472)</f>
        <v/>
      </c>
      <c r="C483" s="50" t="str">
        <f>IF($A483="","",计算结果!BT472-G483-H483)</f>
        <v/>
      </c>
      <c r="D483" s="40" t="str">
        <f>IF($A483="","",基本信息!BS472)</f>
        <v/>
      </c>
      <c r="F483" s="40" t="str">
        <f>IF($A483="","",基本信息!A472)</f>
        <v/>
      </c>
      <c r="G483" s="50" t="str">
        <f>IF($A483="","",计算结果!BI472+计算结果!BJ472)</f>
        <v/>
      </c>
      <c r="H483" s="50" t="str">
        <f>IF($A483="","",计算结果!BK472)</f>
        <v/>
      </c>
    </row>
    <row r="484" spans="1:8">
      <c r="A484" s="40" t="str">
        <f>IF(AND(OR(IFERROR(FIND("交行",基本信息!BS473),0)&gt;0,IFERROR(FIND("交通银行",基本信息!BS473),0)&gt;0),计算结果!BT473&gt;0),基本信息!BR473,"")</f>
        <v/>
      </c>
      <c r="B484" s="40" t="str">
        <f>IF($A484="","",基本信息!BQ473)</f>
        <v/>
      </c>
      <c r="C484" s="50" t="str">
        <f>IF($A484="","",计算结果!BT473-G484-H484)</f>
        <v/>
      </c>
      <c r="D484" s="40" t="str">
        <f>IF($A484="","",基本信息!BS473)</f>
        <v/>
      </c>
      <c r="F484" s="40" t="str">
        <f>IF($A484="","",基本信息!A473)</f>
        <v/>
      </c>
      <c r="G484" s="50" t="str">
        <f>IF($A484="","",计算结果!BI473+计算结果!BJ473)</f>
        <v/>
      </c>
      <c r="H484" s="50" t="str">
        <f>IF($A484="","",计算结果!BK473)</f>
        <v/>
      </c>
    </row>
    <row r="485" spans="1:8">
      <c r="A485" s="40" t="str">
        <f>IF(AND(OR(IFERROR(FIND("交行",基本信息!BS474),0)&gt;0,IFERROR(FIND("交通银行",基本信息!BS474),0)&gt;0),计算结果!BT474&gt;0),基本信息!BR474,"")</f>
        <v/>
      </c>
      <c r="B485" s="40" t="str">
        <f>IF($A485="","",基本信息!BQ474)</f>
        <v/>
      </c>
      <c r="C485" s="50" t="str">
        <f>IF($A485="","",计算结果!BT474-G485-H485)</f>
        <v/>
      </c>
      <c r="D485" s="40" t="str">
        <f>IF($A485="","",基本信息!BS474)</f>
        <v/>
      </c>
      <c r="F485" s="40" t="str">
        <f>IF($A485="","",基本信息!A474)</f>
        <v/>
      </c>
      <c r="G485" s="50" t="str">
        <f>IF($A485="","",计算结果!BI474+计算结果!BJ474)</f>
        <v/>
      </c>
      <c r="H485" s="50" t="str">
        <f>IF($A485="","",计算结果!BK474)</f>
        <v/>
      </c>
    </row>
    <row r="486" spans="1:8">
      <c r="A486" s="40" t="str">
        <f>IF(AND(OR(IFERROR(FIND("交行",基本信息!BS475),0)&gt;0,IFERROR(FIND("交通银行",基本信息!BS475),0)&gt;0),计算结果!BT475&gt;0),基本信息!BR475,"")</f>
        <v/>
      </c>
      <c r="B486" s="40" t="str">
        <f>IF($A486="","",基本信息!BQ475)</f>
        <v/>
      </c>
      <c r="C486" s="50" t="str">
        <f>IF($A486="","",计算结果!BT475-G486-H486)</f>
        <v/>
      </c>
      <c r="D486" s="40" t="str">
        <f>IF($A486="","",基本信息!BS475)</f>
        <v/>
      </c>
      <c r="F486" s="40" t="str">
        <f>IF($A486="","",基本信息!A475)</f>
        <v/>
      </c>
      <c r="G486" s="50" t="str">
        <f>IF($A486="","",计算结果!BI475+计算结果!BJ475)</f>
        <v/>
      </c>
      <c r="H486" s="50" t="str">
        <f>IF($A486="","",计算结果!BK475)</f>
        <v/>
      </c>
    </row>
    <row r="487" spans="1:8">
      <c r="A487" s="40" t="str">
        <f>IF(AND(OR(IFERROR(FIND("交行",基本信息!BS476),0)&gt;0,IFERROR(FIND("交通银行",基本信息!BS476),0)&gt;0),计算结果!BT476&gt;0),基本信息!BR476,"")</f>
        <v/>
      </c>
      <c r="B487" s="40" t="str">
        <f>IF($A487="","",基本信息!BQ476)</f>
        <v/>
      </c>
      <c r="C487" s="50" t="str">
        <f>IF($A487="","",计算结果!BT476-G487-H487)</f>
        <v/>
      </c>
      <c r="D487" s="40" t="str">
        <f>IF($A487="","",基本信息!BS476)</f>
        <v/>
      </c>
      <c r="F487" s="40" t="str">
        <f>IF($A487="","",基本信息!A476)</f>
        <v/>
      </c>
      <c r="G487" s="50" t="str">
        <f>IF($A487="","",计算结果!BI476+计算结果!BJ476)</f>
        <v/>
      </c>
      <c r="H487" s="50" t="str">
        <f>IF($A487="","",计算结果!BK476)</f>
        <v/>
      </c>
    </row>
    <row r="488" spans="1:8">
      <c r="A488" s="40" t="str">
        <f>IF(AND(OR(IFERROR(FIND("交行",基本信息!BS477),0)&gt;0,IFERROR(FIND("交通银行",基本信息!BS477),0)&gt;0),计算结果!BT477&gt;0),基本信息!BR477,"")</f>
        <v/>
      </c>
      <c r="B488" s="40" t="str">
        <f>IF($A488="","",基本信息!BQ477)</f>
        <v/>
      </c>
      <c r="C488" s="50" t="str">
        <f>IF($A488="","",计算结果!BT477-G488-H488)</f>
        <v/>
      </c>
      <c r="D488" s="40" t="str">
        <f>IF($A488="","",基本信息!BS477)</f>
        <v/>
      </c>
      <c r="F488" s="40" t="str">
        <f>IF($A488="","",基本信息!A477)</f>
        <v/>
      </c>
      <c r="G488" s="50" t="str">
        <f>IF($A488="","",计算结果!BI477+计算结果!BJ477)</f>
        <v/>
      </c>
      <c r="H488" s="50" t="str">
        <f>IF($A488="","",计算结果!BK477)</f>
        <v/>
      </c>
    </row>
    <row r="489" spans="1:8">
      <c r="A489" s="40" t="str">
        <f>IF(AND(OR(IFERROR(FIND("交行",基本信息!BS478),0)&gt;0,IFERROR(FIND("交通银行",基本信息!BS478),0)&gt;0),计算结果!BT478&gt;0),基本信息!BR478,"")</f>
        <v/>
      </c>
      <c r="B489" s="40" t="str">
        <f>IF($A489="","",基本信息!BQ478)</f>
        <v/>
      </c>
      <c r="C489" s="50" t="str">
        <f>IF($A489="","",计算结果!BT478-G489-H489)</f>
        <v/>
      </c>
      <c r="D489" s="40" t="str">
        <f>IF($A489="","",基本信息!BS478)</f>
        <v/>
      </c>
      <c r="F489" s="40" t="str">
        <f>IF($A489="","",基本信息!A478)</f>
        <v/>
      </c>
      <c r="G489" s="50" t="str">
        <f>IF($A489="","",计算结果!BI478+计算结果!BJ478)</f>
        <v/>
      </c>
      <c r="H489" s="50" t="str">
        <f>IF($A489="","",计算结果!BK478)</f>
        <v/>
      </c>
    </row>
    <row r="490" spans="1:8">
      <c r="A490" s="40" t="str">
        <f>IF(AND(OR(IFERROR(FIND("交行",基本信息!BS479),0)&gt;0,IFERROR(FIND("交通银行",基本信息!BS479),0)&gt;0),计算结果!BT479&gt;0),基本信息!BR479,"")</f>
        <v/>
      </c>
      <c r="B490" s="40" t="str">
        <f>IF($A490="","",基本信息!BQ479)</f>
        <v/>
      </c>
      <c r="C490" s="50" t="str">
        <f>IF($A490="","",计算结果!BT479-G490-H490)</f>
        <v/>
      </c>
      <c r="D490" s="40" t="str">
        <f>IF($A490="","",基本信息!BS479)</f>
        <v/>
      </c>
      <c r="F490" s="40" t="str">
        <f>IF($A490="","",基本信息!A479)</f>
        <v/>
      </c>
      <c r="G490" s="50" t="str">
        <f>IF($A490="","",计算结果!BI479+计算结果!BJ479)</f>
        <v/>
      </c>
      <c r="H490" s="50" t="str">
        <f>IF($A490="","",计算结果!BK479)</f>
        <v/>
      </c>
    </row>
    <row r="491" spans="1:8">
      <c r="A491" s="40" t="str">
        <f>IF(AND(OR(IFERROR(FIND("交行",基本信息!BS480),0)&gt;0,IFERROR(FIND("交通银行",基本信息!BS480),0)&gt;0),计算结果!BT480&gt;0),基本信息!BR480,"")</f>
        <v/>
      </c>
      <c r="B491" s="40" t="str">
        <f>IF($A491="","",基本信息!BQ480)</f>
        <v/>
      </c>
      <c r="C491" s="50" t="str">
        <f>IF($A491="","",计算结果!BT480-G491-H491)</f>
        <v/>
      </c>
      <c r="D491" s="40" t="str">
        <f>IF($A491="","",基本信息!BS480)</f>
        <v/>
      </c>
      <c r="F491" s="40" t="str">
        <f>IF($A491="","",基本信息!A480)</f>
        <v/>
      </c>
      <c r="G491" s="50" t="str">
        <f>IF($A491="","",计算结果!BI480+计算结果!BJ480)</f>
        <v/>
      </c>
      <c r="H491" s="50" t="str">
        <f>IF($A491="","",计算结果!BK480)</f>
        <v/>
      </c>
    </row>
    <row r="492" spans="1:8">
      <c r="A492" s="40" t="str">
        <f>IF(AND(OR(IFERROR(FIND("交行",基本信息!BS481),0)&gt;0,IFERROR(FIND("交通银行",基本信息!BS481),0)&gt;0),计算结果!BT481&gt;0),基本信息!BR481,"")</f>
        <v/>
      </c>
      <c r="B492" s="40" t="str">
        <f>IF($A492="","",基本信息!BQ481)</f>
        <v/>
      </c>
      <c r="C492" s="50" t="str">
        <f>IF($A492="","",计算结果!BT481-G492-H492)</f>
        <v/>
      </c>
      <c r="D492" s="40" t="str">
        <f>IF($A492="","",基本信息!BS481)</f>
        <v/>
      </c>
      <c r="F492" s="40" t="str">
        <f>IF($A492="","",基本信息!A481)</f>
        <v/>
      </c>
      <c r="G492" s="50" t="str">
        <f>IF($A492="","",计算结果!BI481+计算结果!BJ481)</f>
        <v/>
      </c>
      <c r="H492" s="50" t="str">
        <f>IF($A492="","",计算结果!BK481)</f>
        <v/>
      </c>
    </row>
    <row r="493" spans="1:8">
      <c r="A493" s="40" t="str">
        <f>IF(AND(OR(IFERROR(FIND("交行",基本信息!BS482),0)&gt;0,IFERROR(FIND("交通银行",基本信息!BS482),0)&gt;0),计算结果!BT482&gt;0),基本信息!BR482,"")</f>
        <v/>
      </c>
      <c r="B493" s="40" t="str">
        <f>IF($A493="","",基本信息!BQ482)</f>
        <v/>
      </c>
      <c r="C493" s="50" t="str">
        <f>IF($A493="","",计算结果!BT482-G493-H493)</f>
        <v/>
      </c>
      <c r="D493" s="40" t="str">
        <f>IF($A493="","",基本信息!BS482)</f>
        <v/>
      </c>
      <c r="F493" s="40" t="str">
        <f>IF($A493="","",基本信息!A482)</f>
        <v/>
      </c>
      <c r="G493" s="50" t="str">
        <f>IF($A493="","",计算结果!BI482+计算结果!BJ482)</f>
        <v/>
      </c>
      <c r="H493" s="50" t="str">
        <f>IF($A493="","",计算结果!BK482)</f>
        <v/>
      </c>
    </row>
    <row r="494" spans="1:8">
      <c r="A494" s="40" t="str">
        <f>IF(AND(OR(IFERROR(FIND("交行",基本信息!BS483),0)&gt;0,IFERROR(FIND("交通银行",基本信息!BS483),0)&gt;0),计算结果!BT483&gt;0),基本信息!BR483,"")</f>
        <v/>
      </c>
      <c r="B494" s="40" t="str">
        <f>IF($A494="","",基本信息!BQ483)</f>
        <v/>
      </c>
      <c r="C494" s="50" t="str">
        <f>IF($A494="","",计算结果!BT483-G494-H494)</f>
        <v/>
      </c>
      <c r="D494" s="40" t="str">
        <f>IF($A494="","",基本信息!BS483)</f>
        <v/>
      </c>
      <c r="F494" s="40" t="str">
        <f>IF($A494="","",基本信息!A483)</f>
        <v/>
      </c>
      <c r="G494" s="50" t="str">
        <f>IF($A494="","",计算结果!BI483+计算结果!BJ483)</f>
        <v/>
      </c>
      <c r="H494" s="50" t="str">
        <f>IF($A494="","",计算结果!BK483)</f>
        <v/>
      </c>
    </row>
    <row r="495" spans="1:8">
      <c r="A495" s="40" t="str">
        <f>IF(AND(OR(IFERROR(FIND("交行",基本信息!BS484),0)&gt;0,IFERROR(FIND("交通银行",基本信息!BS484),0)&gt;0),计算结果!BT484&gt;0),基本信息!BR484,"")</f>
        <v/>
      </c>
      <c r="B495" s="40" t="str">
        <f>IF($A495="","",基本信息!BQ484)</f>
        <v/>
      </c>
      <c r="C495" s="50" t="str">
        <f>IF($A495="","",计算结果!BT484-G495-H495)</f>
        <v/>
      </c>
      <c r="D495" s="40" t="str">
        <f>IF($A495="","",基本信息!BS484)</f>
        <v/>
      </c>
      <c r="F495" s="40" t="str">
        <f>IF($A495="","",基本信息!A484)</f>
        <v/>
      </c>
      <c r="G495" s="50" t="str">
        <f>IF($A495="","",计算结果!BI484+计算结果!BJ484)</f>
        <v/>
      </c>
      <c r="H495" s="50" t="str">
        <f>IF($A495="","",计算结果!BK484)</f>
        <v/>
      </c>
    </row>
    <row r="496" spans="1:8">
      <c r="A496" s="40" t="str">
        <f>IF(AND(OR(IFERROR(FIND("交行",基本信息!BS485),0)&gt;0,IFERROR(FIND("交通银行",基本信息!BS485),0)&gt;0),计算结果!BT485&gt;0),基本信息!BR485,"")</f>
        <v/>
      </c>
      <c r="B496" s="40" t="str">
        <f>IF($A496="","",基本信息!BQ485)</f>
        <v/>
      </c>
      <c r="C496" s="50" t="str">
        <f>IF($A496="","",计算结果!BT485-G496-H496)</f>
        <v/>
      </c>
      <c r="D496" s="40" t="str">
        <f>IF($A496="","",基本信息!BS485)</f>
        <v/>
      </c>
      <c r="F496" s="40" t="str">
        <f>IF($A496="","",基本信息!A485)</f>
        <v/>
      </c>
      <c r="G496" s="50" t="str">
        <f>IF($A496="","",计算结果!BI485+计算结果!BJ485)</f>
        <v/>
      </c>
      <c r="H496" s="50" t="str">
        <f>IF($A496="","",计算结果!BK485)</f>
        <v/>
      </c>
    </row>
    <row r="497" spans="1:8">
      <c r="A497" s="40" t="str">
        <f>IF(AND(OR(IFERROR(FIND("交行",基本信息!BS486),0)&gt;0,IFERROR(FIND("交通银行",基本信息!BS486),0)&gt;0),计算结果!BT486&gt;0),基本信息!BR486,"")</f>
        <v/>
      </c>
      <c r="B497" s="40" t="str">
        <f>IF($A497="","",基本信息!BQ486)</f>
        <v/>
      </c>
      <c r="C497" s="50" t="str">
        <f>IF($A497="","",计算结果!BT486-G497-H497)</f>
        <v/>
      </c>
      <c r="D497" s="40" t="str">
        <f>IF($A497="","",基本信息!BS486)</f>
        <v/>
      </c>
      <c r="F497" s="40" t="str">
        <f>IF($A497="","",基本信息!A486)</f>
        <v/>
      </c>
      <c r="G497" s="50" t="str">
        <f>IF($A497="","",计算结果!BI486+计算结果!BJ486)</f>
        <v/>
      </c>
      <c r="H497" s="50" t="str">
        <f>IF($A497="","",计算结果!BK486)</f>
        <v/>
      </c>
    </row>
    <row r="498" spans="1:8">
      <c r="A498" s="40" t="str">
        <f>IF(AND(OR(IFERROR(FIND("交行",基本信息!BS487),0)&gt;0,IFERROR(FIND("交通银行",基本信息!BS487),0)&gt;0),计算结果!BT487&gt;0),基本信息!BR487,"")</f>
        <v/>
      </c>
      <c r="B498" s="40" t="str">
        <f>IF($A498="","",基本信息!BQ487)</f>
        <v/>
      </c>
      <c r="C498" s="50" t="str">
        <f>IF($A498="","",计算结果!BT487-G498-H498)</f>
        <v/>
      </c>
      <c r="D498" s="40" t="str">
        <f>IF($A498="","",基本信息!BS487)</f>
        <v/>
      </c>
      <c r="F498" s="40" t="str">
        <f>IF($A498="","",基本信息!A487)</f>
        <v/>
      </c>
      <c r="G498" s="50" t="str">
        <f>IF($A498="","",计算结果!BI487+计算结果!BJ487)</f>
        <v/>
      </c>
      <c r="H498" s="50" t="str">
        <f>IF($A498="","",计算结果!BK487)</f>
        <v/>
      </c>
    </row>
    <row r="499" spans="1:8">
      <c r="A499" s="40" t="str">
        <f>IF(AND(OR(IFERROR(FIND("交行",基本信息!BS488),0)&gt;0,IFERROR(FIND("交通银行",基本信息!BS488),0)&gt;0),计算结果!BT488&gt;0),基本信息!BR488,"")</f>
        <v/>
      </c>
      <c r="B499" s="40" t="str">
        <f>IF($A499="","",基本信息!BQ488)</f>
        <v/>
      </c>
      <c r="C499" s="50" t="str">
        <f>IF($A499="","",计算结果!BT488-G499-H499)</f>
        <v/>
      </c>
      <c r="D499" s="40" t="str">
        <f>IF($A499="","",基本信息!BS488)</f>
        <v/>
      </c>
      <c r="F499" s="40" t="str">
        <f>IF($A499="","",基本信息!A488)</f>
        <v/>
      </c>
      <c r="G499" s="50" t="str">
        <f>IF($A499="","",计算结果!BI488+计算结果!BJ488)</f>
        <v/>
      </c>
      <c r="H499" s="50" t="str">
        <f>IF($A499="","",计算结果!BK488)</f>
        <v/>
      </c>
    </row>
    <row r="500" spans="1:8">
      <c r="A500" s="40" t="str">
        <f>IF(AND(OR(IFERROR(FIND("交行",基本信息!BS489),0)&gt;0,IFERROR(FIND("交通银行",基本信息!BS489),0)&gt;0),计算结果!BT489&gt;0),基本信息!BR489,"")</f>
        <v/>
      </c>
      <c r="B500" s="40" t="str">
        <f>IF($A500="","",基本信息!BQ489)</f>
        <v/>
      </c>
      <c r="C500" s="50" t="str">
        <f>IF($A500="","",计算结果!BT489-G500-H500)</f>
        <v/>
      </c>
      <c r="D500" s="40" t="str">
        <f>IF($A500="","",基本信息!BS489)</f>
        <v/>
      </c>
      <c r="F500" s="40" t="str">
        <f>IF($A500="","",基本信息!A489)</f>
        <v/>
      </c>
      <c r="G500" s="50" t="str">
        <f>IF($A500="","",计算结果!BI489+计算结果!BJ489)</f>
        <v/>
      </c>
      <c r="H500" s="50" t="str">
        <f>IF($A500="","",计算结果!BK489)</f>
        <v/>
      </c>
    </row>
    <row r="501" spans="1:8">
      <c r="A501" s="40" t="str">
        <f>IF(AND(OR(IFERROR(FIND("交行",基本信息!BS490),0)&gt;0,IFERROR(FIND("交通银行",基本信息!BS490),0)&gt;0),计算结果!BT490&gt;0),基本信息!BR490,"")</f>
        <v/>
      </c>
      <c r="B501" s="40" t="str">
        <f>IF($A501="","",基本信息!BQ490)</f>
        <v/>
      </c>
      <c r="C501" s="50" t="str">
        <f>IF($A501="","",计算结果!BT490-G501-H501)</f>
        <v/>
      </c>
      <c r="D501" s="40" t="str">
        <f>IF($A501="","",基本信息!BS490)</f>
        <v/>
      </c>
      <c r="F501" s="40" t="str">
        <f>IF($A501="","",基本信息!A490)</f>
        <v/>
      </c>
      <c r="G501" s="50" t="str">
        <f>IF($A501="","",计算结果!BI490+计算结果!BJ490)</f>
        <v/>
      </c>
      <c r="H501" s="50" t="str">
        <f>IF($A501="","",计算结果!BK490)</f>
        <v/>
      </c>
    </row>
    <row r="502" spans="1:8">
      <c r="A502" s="40" t="str">
        <f>IF(AND(OR(IFERROR(FIND("交行",基本信息!BS491),0)&gt;0,IFERROR(FIND("交通银行",基本信息!BS491),0)&gt;0),计算结果!BT491&gt;0),基本信息!BR491,"")</f>
        <v/>
      </c>
      <c r="B502" s="40" t="str">
        <f>IF($A502="","",基本信息!BQ491)</f>
        <v/>
      </c>
      <c r="C502" s="50" t="str">
        <f>IF($A502="","",计算结果!BT491-G502-H502)</f>
        <v/>
      </c>
      <c r="D502" s="40" t="str">
        <f>IF($A502="","",基本信息!BS491)</f>
        <v/>
      </c>
      <c r="F502" s="40" t="str">
        <f>IF($A502="","",基本信息!A491)</f>
        <v/>
      </c>
      <c r="G502" s="50" t="str">
        <f>IF($A502="","",计算结果!BI491+计算结果!BJ491)</f>
        <v/>
      </c>
      <c r="H502" s="50" t="str">
        <f>IF($A502="","",计算结果!BK491)</f>
        <v/>
      </c>
    </row>
    <row r="503" spans="1:8">
      <c r="A503" s="40" t="str">
        <f>IF(AND(OR(IFERROR(FIND("交行",基本信息!BS492),0)&gt;0,IFERROR(FIND("交通银行",基本信息!BS492),0)&gt;0),计算结果!BT492&gt;0),基本信息!BR492,"")</f>
        <v/>
      </c>
      <c r="B503" s="40" t="str">
        <f>IF($A503="","",基本信息!BQ492)</f>
        <v/>
      </c>
      <c r="C503" s="50" t="str">
        <f>IF($A503="","",计算结果!BT492-G503-H503)</f>
        <v/>
      </c>
      <c r="D503" s="40" t="str">
        <f>IF($A503="","",基本信息!BS492)</f>
        <v/>
      </c>
      <c r="F503" s="40" t="str">
        <f>IF($A503="","",基本信息!A492)</f>
        <v/>
      </c>
      <c r="G503" s="50" t="str">
        <f>IF($A503="","",计算结果!BI492+计算结果!BJ492)</f>
        <v/>
      </c>
      <c r="H503" s="50" t="str">
        <f>IF($A503="","",计算结果!BK492)</f>
        <v/>
      </c>
    </row>
    <row r="504" spans="1:8">
      <c r="A504" s="40" t="str">
        <f>IF(AND(OR(IFERROR(FIND("交行",基本信息!BS493),0)&gt;0,IFERROR(FIND("交通银行",基本信息!BS493),0)&gt;0),计算结果!BT493&gt;0),基本信息!BR493,"")</f>
        <v/>
      </c>
      <c r="B504" s="40" t="str">
        <f>IF($A504="","",基本信息!BQ493)</f>
        <v/>
      </c>
      <c r="C504" s="50" t="str">
        <f>IF($A504="","",计算结果!BT493-G504-H504)</f>
        <v/>
      </c>
      <c r="D504" s="40" t="str">
        <f>IF($A504="","",基本信息!BS493)</f>
        <v/>
      </c>
      <c r="F504" s="40" t="str">
        <f>IF($A504="","",基本信息!A493)</f>
        <v/>
      </c>
      <c r="G504" s="50" t="str">
        <f>IF($A504="","",计算结果!BI493+计算结果!BJ493)</f>
        <v/>
      </c>
      <c r="H504" s="50" t="str">
        <f>IF($A504="","",计算结果!BK493)</f>
        <v/>
      </c>
    </row>
    <row r="505" spans="1:8">
      <c r="A505" s="40" t="str">
        <f>IF(AND(OR(IFERROR(FIND("交行",基本信息!BS494),0)&gt;0,IFERROR(FIND("交通银行",基本信息!BS494),0)&gt;0),计算结果!BT494&gt;0),基本信息!BR494,"")</f>
        <v/>
      </c>
      <c r="B505" s="40" t="str">
        <f>IF($A505="","",基本信息!BQ494)</f>
        <v/>
      </c>
      <c r="C505" s="50" t="str">
        <f>IF($A505="","",计算结果!BT494-G505-H505)</f>
        <v/>
      </c>
      <c r="D505" s="40" t="str">
        <f>IF($A505="","",基本信息!BS494)</f>
        <v/>
      </c>
      <c r="F505" s="40" t="str">
        <f>IF($A505="","",基本信息!A494)</f>
        <v/>
      </c>
      <c r="G505" s="50" t="str">
        <f>IF($A505="","",计算结果!BI494+计算结果!BJ494)</f>
        <v/>
      </c>
      <c r="H505" s="50" t="str">
        <f>IF($A505="","",计算结果!BK494)</f>
        <v/>
      </c>
    </row>
    <row r="506" spans="1:8">
      <c r="A506" s="40" t="str">
        <f>IF(AND(OR(IFERROR(FIND("交行",基本信息!BS495),0)&gt;0,IFERROR(FIND("交通银行",基本信息!BS495),0)&gt;0),计算结果!BT495&gt;0),基本信息!BR495,"")</f>
        <v/>
      </c>
      <c r="B506" s="40" t="str">
        <f>IF($A506="","",基本信息!BQ495)</f>
        <v/>
      </c>
      <c r="C506" s="50" t="str">
        <f>IF($A506="","",计算结果!BT495-G506-H506)</f>
        <v/>
      </c>
      <c r="D506" s="40" t="str">
        <f>IF($A506="","",基本信息!BS495)</f>
        <v/>
      </c>
      <c r="F506" s="40" t="str">
        <f>IF($A506="","",基本信息!A495)</f>
        <v/>
      </c>
      <c r="G506" s="50" t="str">
        <f>IF($A506="","",计算结果!BI495+计算结果!BJ495)</f>
        <v/>
      </c>
      <c r="H506" s="50" t="str">
        <f>IF($A506="","",计算结果!BK495)</f>
        <v/>
      </c>
    </row>
    <row r="507" spans="1:8">
      <c r="A507" s="40" t="str">
        <f>IF(AND(OR(IFERROR(FIND("交行",基本信息!BS496),0)&gt;0,IFERROR(FIND("交通银行",基本信息!BS496),0)&gt;0),计算结果!BT496&gt;0),基本信息!BR496,"")</f>
        <v/>
      </c>
      <c r="B507" s="40" t="str">
        <f>IF($A507="","",基本信息!BQ496)</f>
        <v/>
      </c>
      <c r="C507" s="50" t="str">
        <f>IF($A507="","",计算结果!BT496-G507-H507)</f>
        <v/>
      </c>
      <c r="D507" s="40" t="str">
        <f>IF($A507="","",基本信息!BS496)</f>
        <v/>
      </c>
      <c r="F507" s="40" t="str">
        <f>IF($A507="","",基本信息!A496)</f>
        <v/>
      </c>
      <c r="G507" s="50" t="str">
        <f>IF($A507="","",计算结果!BI496+计算结果!BJ496)</f>
        <v/>
      </c>
      <c r="H507" s="50" t="str">
        <f>IF($A507="","",计算结果!BK496)</f>
        <v/>
      </c>
    </row>
    <row r="508" spans="1:8">
      <c r="A508" s="40" t="str">
        <f>IF(AND(OR(IFERROR(FIND("交行",基本信息!BS497),0)&gt;0,IFERROR(FIND("交通银行",基本信息!BS497),0)&gt;0),计算结果!BT497&gt;0),基本信息!BR497,"")</f>
        <v/>
      </c>
      <c r="B508" s="40" t="str">
        <f>IF($A508="","",基本信息!BQ497)</f>
        <v/>
      </c>
      <c r="C508" s="50" t="str">
        <f>IF($A508="","",计算结果!BT497-G508-H508)</f>
        <v/>
      </c>
      <c r="D508" s="40" t="str">
        <f>IF($A508="","",基本信息!BS497)</f>
        <v/>
      </c>
      <c r="F508" s="40" t="str">
        <f>IF($A508="","",基本信息!A497)</f>
        <v/>
      </c>
      <c r="G508" s="50" t="str">
        <f>IF($A508="","",计算结果!BI497+计算结果!BJ497)</f>
        <v/>
      </c>
      <c r="H508" s="50" t="str">
        <f>IF($A508="","",计算结果!BK497)</f>
        <v/>
      </c>
    </row>
    <row r="509" spans="1:8">
      <c r="A509" s="40" t="str">
        <f>IF(AND(OR(IFERROR(FIND("交行",基本信息!BS498),0)&gt;0,IFERROR(FIND("交通银行",基本信息!BS498),0)&gt;0),计算结果!BT498&gt;0),基本信息!BR498,"")</f>
        <v/>
      </c>
      <c r="B509" s="40" t="str">
        <f>IF($A509="","",基本信息!BQ498)</f>
        <v/>
      </c>
      <c r="C509" s="50" t="str">
        <f>IF($A509="","",计算结果!BT498-G509-H509)</f>
        <v/>
      </c>
      <c r="D509" s="40" t="str">
        <f>IF($A509="","",基本信息!BS498)</f>
        <v/>
      </c>
      <c r="F509" s="40" t="str">
        <f>IF($A509="","",基本信息!A498)</f>
        <v/>
      </c>
      <c r="G509" s="50" t="str">
        <f>IF($A509="","",计算结果!BI498+计算结果!BJ498)</f>
        <v/>
      </c>
      <c r="H509" s="50" t="str">
        <f>IF($A509="","",计算结果!BK498)</f>
        <v/>
      </c>
    </row>
    <row r="510" spans="1:8">
      <c r="A510" s="40" t="str">
        <f>IF(AND(OR(IFERROR(FIND("交行",基本信息!BS499),0)&gt;0,IFERROR(FIND("交通银行",基本信息!BS499),0)&gt;0),计算结果!BT499&gt;0),基本信息!BR499,"")</f>
        <v/>
      </c>
      <c r="B510" s="40" t="str">
        <f>IF($A510="","",基本信息!BQ499)</f>
        <v/>
      </c>
      <c r="C510" s="50" t="str">
        <f>IF($A510="","",计算结果!BT499-G510-H510)</f>
        <v/>
      </c>
      <c r="D510" s="40" t="str">
        <f>IF($A510="","",基本信息!BS499)</f>
        <v/>
      </c>
      <c r="F510" s="40" t="str">
        <f>IF($A510="","",基本信息!A499)</f>
        <v/>
      </c>
      <c r="G510" s="50" t="str">
        <f>IF($A510="","",计算结果!BI499+计算结果!BJ499)</f>
        <v/>
      </c>
      <c r="H510" s="50" t="str">
        <f>IF($A510="","",计算结果!BK499)</f>
        <v/>
      </c>
    </row>
    <row r="511" spans="1:8">
      <c r="A511" s="40" t="str">
        <f>IF(AND(OR(IFERROR(FIND("交行",基本信息!BS500),0)&gt;0,IFERROR(FIND("交通银行",基本信息!BS500),0)&gt;0),计算结果!BT500&gt;0),基本信息!BR500,"")</f>
        <v/>
      </c>
      <c r="B511" s="40" t="str">
        <f>IF($A511="","",基本信息!BQ500)</f>
        <v/>
      </c>
      <c r="C511" s="50" t="str">
        <f>IF($A511="","",计算结果!BT500-G511-H511)</f>
        <v/>
      </c>
      <c r="D511" s="40" t="str">
        <f>IF($A511="","",基本信息!BS500)</f>
        <v/>
      </c>
      <c r="F511" s="40" t="str">
        <f>IF($A511="","",基本信息!A500)</f>
        <v/>
      </c>
      <c r="G511" s="50" t="str">
        <f>IF($A511="","",计算结果!BI500+计算结果!BJ500)</f>
        <v/>
      </c>
      <c r="H511" s="50" t="str">
        <f>IF($A511="","",计算结果!BK500)</f>
        <v/>
      </c>
    </row>
    <row r="512" spans="1:8">
      <c r="A512" s="40" t="str">
        <f>IF(AND(OR(IFERROR(FIND("交行",基本信息!BS501),0)&gt;0,IFERROR(FIND("交通银行",基本信息!BS501),0)&gt;0),计算结果!BT501&gt;0),基本信息!BR501,"")</f>
        <v/>
      </c>
      <c r="B512" s="40" t="str">
        <f>IF($A512="","",基本信息!BQ501)</f>
        <v/>
      </c>
      <c r="C512" s="50" t="str">
        <f>IF($A512="","",计算结果!BT501-G512-H512)</f>
        <v/>
      </c>
      <c r="D512" s="40" t="str">
        <f>IF($A512="","",基本信息!BS501)</f>
        <v/>
      </c>
      <c r="F512" s="40" t="str">
        <f>IF($A512="","",基本信息!A501)</f>
        <v/>
      </c>
      <c r="G512" s="50" t="str">
        <f>IF($A512="","",计算结果!BI501+计算结果!BJ501)</f>
        <v/>
      </c>
      <c r="H512" s="50" t="str">
        <f>IF($A512="","",计算结果!BK501)</f>
        <v/>
      </c>
    </row>
    <row r="513" spans="1:8">
      <c r="A513" s="40" t="str">
        <f>IF(AND(OR(IFERROR(FIND("交行",基本信息!BS502),0)&gt;0,IFERROR(FIND("交通银行",基本信息!BS502),0)&gt;0),计算结果!BT502&gt;0),基本信息!BR502,"")</f>
        <v/>
      </c>
      <c r="B513" s="40" t="str">
        <f>IF($A513="","",基本信息!BQ502)</f>
        <v/>
      </c>
      <c r="C513" s="50" t="str">
        <f>IF($A513="","",计算结果!BT502-G513-H513)</f>
        <v/>
      </c>
      <c r="D513" s="40" t="str">
        <f>IF($A513="","",基本信息!BS502)</f>
        <v/>
      </c>
      <c r="F513" s="40" t="str">
        <f>IF($A513="","",基本信息!A502)</f>
        <v/>
      </c>
      <c r="G513" s="50" t="str">
        <f>IF($A513="","",计算结果!BI502+计算结果!BJ502)</f>
        <v/>
      </c>
      <c r="H513" s="50" t="str">
        <f>IF($A513="","",计算结果!BK502)</f>
        <v/>
      </c>
    </row>
    <row r="514" spans="1:8">
      <c r="A514" s="40" t="str">
        <f>IF(AND(OR(IFERROR(FIND("交行",基本信息!BS503),0)&gt;0,IFERROR(FIND("交通银行",基本信息!BS503),0)&gt;0),计算结果!BT503&gt;0),基本信息!BR503,"")</f>
        <v/>
      </c>
      <c r="B514" s="40" t="str">
        <f>IF($A514="","",基本信息!BQ503)</f>
        <v/>
      </c>
      <c r="C514" s="50" t="str">
        <f>IF($A514="","",计算结果!BT503-G514-H514)</f>
        <v/>
      </c>
      <c r="D514" s="40" t="str">
        <f>IF($A514="","",基本信息!BS503)</f>
        <v/>
      </c>
      <c r="F514" s="40" t="str">
        <f>IF($A514="","",基本信息!A503)</f>
        <v/>
      </c>
      <c r="G514" s="50" t="str">
        <f>IF($A514="","",计算结果!BI503+计算结果!BJ503)</f>
        <v/>
      </c>
      <c r="H514" s="50" t="str">
        <f>IF($A514="","",计算结果!BK503)</f>
        <v/>
      </c>
    </row>
    <row r="515" spans="1:8">
      <c r="A515" s="40" t="str">
        <f>IF(AND(OR(IFERROR(FIND("交行",基本信息!BS504),0)&gt;0,IFERROR(FIND("交通银行",基本信息!BS504),0)&gt;0),计算结果!BT504&gt;0),基本信息!BR504,"")</f>
        <v/>
      </c>
      <c r="B515" s="40" t="str">
        <f>IF($A515="","",基本信息!BQ504)</f>
        <v/>
      </c>
      <c r="C515" s="50" t="str">
        <f>IF($A515="","",计算结果!BT504-G515-H515)</f>
        <v/>
      </c>
      <c r="D515" s="40" t="str">
        <f>IF($A515="","",基本信息!BS504)</f>
        <v/>
      </c>
      <c r="F515" s="40" t="str">
        <f>IF($A515="","",基本信息!A504)</f>
        <v/>
      </c>
      <c r="G515" s="50" t="str">
        <f>IF($A515="","",计算结果!BI504+计算结果!BJ504)</f>
        <v/>
      </c>
      <c r="H515" s="50" t="str">
        <f>IF($A515="","",计算结果!BK504)</f>
        <v/>
      </c>
    </row>
    <row r="516" spans="1:8">
      <c r="A516" s="40" t="str">
        <f>IF(AND(OR(IFERROR(FIND("交行",基本信息!BS505),0)&gt;0,IFERROR(FIND("交通银行",基本信息!BS505),0)&gt;0),计算结果!BT505&gt;0),基本信息!BR505,"")</f>
        <v/>
      </c>
      <c r="B516" s="40" t="str">
        <f>IF($A516="","",基本信息!BQ505)</f>
        <v/>
      </c>
      <c r="C516" s="50" t="str">
        <f>IF($A516="","",计算结果!BT505-G516-H516)</f>
        <v/>
      </c>
      <c r="D516" s="40" t="str">
        <f>IF($A516="","",基本信息!BS505)</f>
        <v/>
      </c>
      <c r="F516" s="40" t="str">
        <f>IF($A516="","",基本信息!A505)</f>
        <v/>
      </c>
      <c r="G516" s="50" t="str">
        <f>IF($A516="","",计算结果!BI505+计算结果!BJ505)</f>
        <v/>
      </c>
      <c r="H516" s="50" t="str">
        <f>IF($A516="","",计算结果!BK505)</f>
        <v/>
      </c>
    </row>
    <row r="517" spans="1:8">
      <c r="A517" s="40" t="str">
        <f>IF(AND(OR(IFERROR(FIND("交行",基本信息!BS506),0)&gt;0,IFERROR(FIND("交通银行",基本信息!BS506),0)&gt;0),计算结果!BT506&gt;0),基本信息!BR506,"")</f>
        <v/>
      </c>
      <c r="B517" s="40" t="str">
        <f>IF($A517="","",基本信息!BQ506)</f>
        <v/>
      </c>
      <c r="C517" s="50" t="str">
        <f>IF($A517="","",计算结果!BT506-G517-H517)</f>
        <v/>
      </c>
      <c r="D517" s="40" t="str">
        <f>IF($A517="","",基本信息!BS506)</f>
        <v/>
      </c>
      <c r="F517" s="40" t="str">
        <f>IF($A517="","",基本信息!A506)</f>
        <v/>
      </c>
      <c r="G517" s="50" t="str">
        <f>IF($A517="","",计算结果!BI506+计算结果!BJ506)</f>
        <v/>
      </c>
      <c r="H517" s="50" t="str">
        <f>IF($A517="","",计算结果!BK506)</f>
        <v/>
      </c>
    </row>
    <row r="518" spans="1:8">
      <c r="A518" s="40" t="str">
        <f>IF(AND(OR(IFERROR(FIND("交行",基本信息!BS507),0)&gt;0,IFERROR(FIND("交通银行",基本信息!BS507),0)&gt;0),计算结果!BT507&gt;0),基本信息!BR507,"")</f>
        <v/>
      </c>
      <c r="B518" s="40" t="str">
        <f>IF($A518="","",基本信息!BQ507)</f>
        <v/>
      </c>
      <c r="C518" s="50" t="str">
        <f>IF($A518="","",计算结果!BT507-G518-H518)</f>
        <v/>
      </c>
      <c r="D518" s="40" t="str">
        <f>IF($A518="","",基本信息!BS507)</f>
        <v/>
      </c>
      <c r="F518" s="40" t="str">
        <f>IF($A518="","",基本信息!A507)</f>
        <v/>
      </c>
      <c r="G518" s="50" t="str">
        <f>IF($A518="","",计算结果!BI507+计算结果!BJ507)</f>
        <v/>
      </c>
      <c r="H518" s="50" t="str">
        <f>IF($A518="","",计算结果!BK507)</f>
        <v/>
      </c>
    </row>
    <row r="519" spans="1:8">
      <c r="A519" s="40" t="str">
        <f>IF(AND(OR(IFERROR(FIND("交行",基本信息!BS508),0)&gt;0,IFERROR(FIND("交通银行",基本信息!BS508),0)&gt;0),计算结果!BT508&gt;0),基本信息!BR508,"")</f>
        <v/>
      </c>
      <c r="B519" s="40" t="str">
        <f>IF($A519="","",基本信息!BQ508)</f>
        <v/>
      </c>
      <c r="C519" s="50" t="str">
        <f>IF($A519="","",计算结果!BT508-G519-H519)</f>
        <v/>
      </c>
      <c r="D519" s="40" t="str">
        <f>IF($A519="","",基本信息!BS508)</f>
        <v/>
      </c>
      <c r="F519" s="40" t="str">
        <f>IF($A519="","",基本信息!A508)</f>
        <v/>
      </c>
      <c r="G519" s="50" t="str">
        <f>IF($A519="","",计算结果!BI508+计算结果!BJ508)</f>
        <v/>
      </c>
      <c r="H519" s="50" t="str">
        <f>IF($A519="","",计算结果!BK508)</f>
        <v/>
      </c>
    </row>
    <row r="520" spans="1:8">
      <c r="A520" s="40" t="str">
        <f>IF(AND(OR(IFERROR(FIND("交行",基本信息!BS509),0)&gt;0,IFERROR(FIND("交通银行",基本信息!BS509),0)&gt;0),计算结果!BT509&gt;0),基本信息!BR509,"")</f>
        <v/>
      </c>
      <c r="B520" s="40" t="str">
        <f>IF($A520="","",基本信息!BQ509)</f>
        <v/>
      </c>
      <c r="C520" s="50" t="str">
        <f>IF($A520="","",计算结果!BT509-G520-H520)</f>
        <v/>
      </c>
      <c r="D520" s="40" t="str">
        <f>IF($A520="","",基本信息!BS509)</f>
        <v/>
      </c>
      <c r="F520" s="40" t="str">
        <f>IF($A520="","",基本信息!A509)</f>
        <v/>
      </c>
      <c r="G520" s="50" t="str">
        <f>IF($A520="","",计算结果!BI509+计算结果!BJ509)</f>
        <v/>
      </c>
      <c r="H520" s="50" t="str">
        <f>IF($A520="","",计算结果!BK509)</f>
        <v/>
      </c>
    </row>
    <row r="521" spans="1:8">
      <c r="A521" s="40" t="str">
        <f>IF(AND(OR(IFERROR(FIND("交行",基本信息!BS510),0)&gt;0,IFERROR(FIND("交通银行",基本信息!BS510),0)&gt;0),计算结果!BT510&gt;0),基本信息!BR510,"")</f>
        <v/>
      </c>
      <c r="B521" s="40" t="str">
        <f>IF($A521="","",基本信息!BQ510)</f>
        <v/>
      </c>
      <c r="C521" s="50" t="str">
        <f>IF($A521="","",计算结果!BT510-G521-H521)</f>
        <v/>
      </c>
      <c r="D521" s="40" t="str">
        <f>IF($A521="","",基本信息!BS510)</f>
        <v/>
      </c>
      <c r="F521" s="40" t="str">
        <f>IF($A521="","",基本信息!A510)</f>
        <v/>
      </c>
      <c r="G521" s="50" t="str">
        <f>IF($A521="","",计算结果!BI510+计算结果!BJ510)</f>
        <v/>
      </c>
      <c r="H521" s="50" t="str">
        <f>IF($A521="","",计算结果!BK510)</f>
        <v/>
      </c>
    </row>
    <row r="522" spans="1:8">
      <c r="A522" s="40" t="str">
        <f>IF(AND(OR(IFERROR(FIND("交行",基本信息!BS511),0)&gt;0,IFERROR(FIND("交通银行",基本信息!BS511),0)&gt;0),计算结果!BT511&gt;0),基本信息!BR511,"")</f>
        <v/>
      </c>
      <c r="B522" s="40" t="str">
        <f>IF($A522="","",基本信息!BQ511)</f>
        <v/>
      </c>
      <c r="C522" s="50" t="str">
        <f>IF($A522="","",计算结果!BT511-G522-H522)</f>
        <v/>
      </c>
      <c r="D522" s="40" t="str">
        <f>IF($A522="","",基本信息!BS511)</f>
        <v/>
      </c>
      <c r="F522" s="40" t="str">
        <f>IF($A522="","",基本信息!A511)</f>
        <v/>
      </c>
      <c r="G522" s="50" t="str">
        <f>IF($A522="","",计算结果!BI511+计算结果!BJ511)</f>
        <v/>
      </c>
      <c r="H522" s="50" t="str">
        <f>IF($A522="","",计算结果!BK511)</f>
        <v/>
      </c>
    </row>
    <row r="523" spans="1:8">
      <c r="A523" s="40" t="str">
        <f>IF(AND(OR(IFERROR(FIND("交行",基本信息!BS512),0)&gt;0,IFERROR(FIND("交通银行",基本信息!BS512),0)&gt;0),计算结果!BT512&gt;0),基本信息!BR512,"")</f>
        <v/>
      </c>
      <c r="B523" s="40" t="str">
        <f>IF($A523="","",基本信息!BQ512)</f>
        <v/>
      </c>
      <c r="C523" s="50" t="str">
        <f>IF($A523="","",计算结果!BT512-G523-H523)</f>
        <v/>
      </c>
      <c r="D523" s="40" t="str">
        <f>IF($A523="","",基本信息!BS512)</f>
        <v/>
      </c>
      <c r="F523" s="40" t="str">
        <f>IF($A523="","",基本信息!A512)</f>
        <v/>
      </c>
      <c r="G523" s="50" t="str">
        <f>IF($A523="","",计算结果!BI512+计算结果!BJ512)</f>
        <v/>
      </c>
      <c r="H523" s="50" t="str">
        <f>IF($A523="","",计算结果!BK512)</f>
        <v/>
      </c>
    </row>
    <row r="524" spans="1:8">
      <c r="A524" s="40" t="str">
        <f>IF(AND(OR(IFERROR(FIND("交行",基本信息!BS513),0)&gt;0,IFERROR(FIND("交通银行",基本信息!BS513),0)&gt;0),计算结果!BT513&gt;0),基本信息!BR513,"")</f>
        <v/>
      </c>
      <c r="B524" s="40" t="str">
        <f>IF($A524="","",基本信息!BQ513)</f>
        <v/>
      </c>
      <c r="C524" s="50" t="str">
        <f>IF($A524="","",计算结果!BT513-G524-H524)</f>
        <v/>
      </c>
      <c r="D524" s="40" t="str">
        <f>IF($A524="","",基本信息!BS513)</f>
        <v/>
      </c>
      <c r="F524" s="40" t="str">
        <f>IF($A524="","",基本信息!A513)</f>
        <v/>
      </c>
      <c r="G524" s="50" t="str">
        <f>IF($A524="","",计算结果!BI513+计算结果!BJ513)</f>
        <v/>
      </c>
      <c r="H524" s="50" t="str">
        <f>IF($A524="","",计算结果!BK513)</f>
        <v/>
      </c>
    </row>
    <row r="525" spans="1:8">
      <c r="A525" s="40" t="str">
        <f>IF(AND(OR(IFERROR(FIND("交行",基本信息!BS514),0)&gt;0,IFERROR(FIND("交通银行",基本信息!BS514),0)&gt;0),计算结果!BT514&gt;0),基本信息!BR514,"")</f>
        <v/>
      </c>
      <c r="B525" s="40" t="str">
        <f>IF($A525="","",基本信息!BQ514)</f>
        <v/>
      </c>
      <c r="C525" s="50" t="str">
        <f>IF($A525="","",计算结果!BT514-G525-H525)</f>
        <v/>
      </c>
      <c r="D525" s="40" t="str">
        <f>IF($A525="","",基本信息!BS514)</f>
        <v/>
      </c>
      <c r="F525" s="40" t="str">
        <f>IF($A525="","",基本信息!A514)</f>
        <v/>
      </c>
      <c r="G525" s="50" t="str">
        <f>IF($A525="","",计算结果!BI514+计算结果!BJ514)</f>
        <v/>
      </c>
      <c r="H525" s="50" t="str">
        <f>IF($A525="","",计算结果!BK514)</f>
        <v/>
      </c>
    </row>
    <row r="526" spans="1:8">
      <c r="A526" s="40" t="str">
        <f>IF(AND(OR(IFERROR(FIND("交行",基本信息!BS515),0)&gt;0,IFERROR(FIND("交通银行",基本信息!BS515),0)&gt;0),计算结果!BT515&gt;0),基本信息!BR515,"")</f>
        <v/>
      </c>
      <c r="B526" s="40" t="str">
        <f>IF($A526="","",基本信息!BQ515)</f>
        <v/>
      </c>
      <c r="C526" s="50" t="str">
        <f>IF($A526="","",计算结果!BT515-G526-H526)</f>
        <v/>
      </c>
      <c r="D526" s="40" t="str">
        <f>IF($A526="","",基本信息!BS515)</f>
        <v/>
      </c>
      <c r="F526" s="40" t="str">
        <f>IF($A526="","",基本信息!A515)</f>
        <v/>
      </c>
      <c r="G526" s="50" t="str">
        <f>IF($A526="","",计算结果!BI515+计算结果!BJ515)</f>
        <v/>
      </c>
      <c r="H526" s="50" t="str">
        <f>IF($A526="","",计算结果!BK515)</f>
        <v/>
      </c>
    </row>
    <row r="527" spans="1:8">
      <c r="A527" s="40" t="str">
        <f>IF(AND(OR(IFERROR(FIND("交行",基本信息!BS516),0)&gt;0,IFERROR(FIND("交通银行",基本信息!BS516),0)&gt;0),计算结果!BT516&gt;0),基本信息!BR516,"")</f>
        <v/>
      </c>
      <c r="B527" s="40" t="str">
        <f>IF($A527="","",基本信息!BQ516)</f>
        <v/>
      </c>
      <c r="C527" s="50" t="str">
        <f>IF($A527="","",计算结果!BT516-G527-H527)</f>
        <v/>
      </c>
      <c r="D527" s="40" t="str">
        <f>IF($A527="","",基本信息!BS516)</f>
        <v/>
      </c>
      <c r="F527" s="40" t="str">
        <f>IF($A527="","",基本信息!A516)</f>
        <v/>
      </c>
      <c r="G527" s="50" t="str">
        <f>IF($A527="","",计算结果!BI516+计算结果!BJ516)</f>
        <v/>
      </c>
      <c r="H527" s="50" t="str">
        <f>IF($A527="","",计算结果!BK516)</f>
        <v/>
      </c>
    </row>
    <row r="528" spans="1:8">
      <c r="A528" s="40" t="str">
        <f>IF(AND(OR(IFERROR(FIND("交行",基本信息!BS517),0)&gt;0,IFERROR(FIND("交通银行",基本信息!BS517),0)&gt;0),计算结果!BT517&gt;0),基本信息!BR517,"")</f>
        <v/>
      </c>
      <c r="B528" s="40" t="str">
        <f>IF($A528="","",基本信息!BQ517)</f>
        <v/>
      </c>
      <c r="C528" s="50" t="str">
        <f>IF($A528="","",计算结果!BT517-G528-H528)</f>
        <v/>
      </c>
      <c r="D528" s="40" t="str">
        <f>IF($A528="","",基本信息!BS517)</f>
        <v/>
      </c>
      <c r="F528" s="40" t="str">
        <f>IF($A528="","",基本信息!A517)</f>
        <v/>
      </c>
      <c r="G528" s="50" t="str">
        <f>IF($A528="","",计算结果!BI517+计算结果!BJ517)</f>
        <v/>
      </c>
      <c r="H528" s="50" t="str">
        <f>IF($A528="","",计算结果!BK517)</f>
        <v/>
      </c>
    </row>
    <row r="529" spans="1:8">
      <c r="A529" s="40" t="str">
        <f>IF(AND(OR(IFERROR(FIND("交行",基本信息!BS518),0)&gt;0,IFERROR(FIND("交通银行",基本信息!BS518),0)&gt;0),计算结果!BT518&gt;0),基本信息!BR518,"")</f>
        <v/>
      </c>
      <c r="B529" s="40" t="str">
        <f>IF($A529="","",基本信息!BQ518)</f>
        <v/>
      </c>
      <c r="C529" s="50" t="str">
        <f>IF($A529="","",计算结果!BT518-G529-H529)</f>
        <v/>
      </c>
      <c r="D529" s="40" t="str">
        <f>IF($A529="","",基本信息!BS518)</f>
        <v/>
      </c>
      <c r="F529" s="40" t="str">
        <f>IF($A529="","",基本信息!A518)</f>
        <v/>
      </c>
      <c r="G529" s="50" t="str">
        <f>IF($A529="","",计算结果!BI518+计算结果!BJ518)</f>
        <v/>
      </c>
      <c r="H529" s="50" t="str">
        <f>IF($A529="","",计算结果!BK518)</f>
        <v/>
      </c>
    </row>
    <row r="530" spans="1:8">
      <c r="A530" s="40" t="str">
        <f>IF(AND(OR(IFERROR(FIND("交行",基本信息!BS519),0)&gt;0,IFERROR(FIND("交通银行",基本信息!BS519),0)&gt;0),计算结果!BT519&gt;0),基本信息!BR519,"")</f>
        <v/>
      </c>
      <c r="B530" s="40" t="str">
        <f>IF($A530="","",基本信息!BQ519)</f>
        <v/>
      </c>
      <c r="C530" s="50" t="str">
        <f>IF($A530="","",计算结果!BT519-G530-H530)</f>
        <v/>
      </c>
      <c r="D530" s="40" t="str">
        <f>IF($A530="","",基本信息!BS519)</f>
        <v/>
      </c>
      <c r="F530" s="40" t="str">
        <f>IF($A530="","",基本信息!A519)</f>
        <v/>
      </c>
      <c r="G530" s="50" t="str">
        <f>IF($A530="","",计算结果!BI519+计算结果!BJ519)</f>
        <v/>
      </c>
      <c r="H530" s="50" t="str">
        <f>IF($A530="","",计算结果!BK519)</f>
        <v/>
      </c>
    </row>
    <row r="531" spans="1:8">
      <c r="A531" s="40" t="str">
        <f>IF(AND(OR(IFERROR(FIND("交行",基本信息!BS520),0)&gt;0,IFERROR(FIND("交通银行",基本信息!BS520),0)&gt;0),计算结果!BT520&gt;0),基本信息!BR520,"")</f>
        <v/>
      </c>
      <c r="B531" s="40" t="str">
        <f>IF($A531="","",基本信息!BQ520)</f>
        <v/>
      </c>
      <c r="C531" s="50" t="str">
        <f>IF($A531="","",计算结果!BT520-G531-H531)</f>
        <v/>
      </c>
      <c r="D531" s="40" t="str">
        <f>IF($A531="","",基本信息!BS520)</f>
        <v/>
      </c>
      <c r="F531" s="40" t="str">
        <f>IF($A531="","",基本信息!A520)</f>
        <v/>
      </c>
      <c r="G531" s="50" t="str">
        <f>IF($A531="","",计算结果!BI520+计算结果!BJ520)</f>
        <v/>
      </c>
      <c r="H531" s="50" t="str">
        <f>IF($A531="","",计算结果!BK520)</f>
        <v/>
      </c>
    </row>
    <row r="532" spans="1:8">
      <c r="A532" s="40" t="str">
        <f>IF(AND(OR(IFERROR(FIND("交行",基本信息!BS521),0)&gt;0,IFERROR(FIND("交通银行",基本信息!BS521),0)&gt;0),计算结果!BT521&gt;0),基本信息!BR521,"")</f>
        <v/>
      </c>
      <c r="B532" s="40" t="str">
        <f>IF($A532="","",基本信息!BQ521)</f>
        <v/>
      </c>
      <c r="C532" s="50" t="str">
        <f>IF($A532="","",计算结果!BT521-G532-H532)</f>
        <v/>
      </c>
      <c r="D532" s="40" t="str">
        <f>IF($A532="","",基本信息!BS521)</f>
        <v/>
      </c>
      <c r="F532" s="40" t="str">
        <f>IF($A532="","",基本信息!A521)</f>
        <v/>
      </c>
      <c r="G532" s="50" t="str">
        <f>IF($A532="","",计算结果!BI521+计算结果!BJ521)</f>
        <v/>
      </c>
      <c r="H532" s="50" t="str">
        <f>IF($A532="","",计算结果!BK521)</f>
        <v/>
      </c>
    </row>
    <row r="533" spans="1:8">
      <c r="A533" s="40" t="str">
        <f>IF(AND(OR(IFERROR(FIND("交行",基本信息!BS522),0)&gt;0,IFERROR(FIND("交通银行",基本信息!BS522),0)&gt;0),计算结果!BT522&gt;0),基本信息!BR522,"")</f>
        <v/>
      </c>
      <c r="B533" s="40" t="str">
        <f>IF($A533="","",基本信息!BQ522)</f>
        <v/>
      </c>
      <c r="C533" s="50" t="str">
        <f>IF($A533="","",计算结果!BT522-G533-H533)</f>
        <v/>
      </c>
      <c r="D533" s="40" t="str">
        <f>IF($A533="","",基本信息!BS522)</f>
        <v/>
      </c>
      <c r="F533" s="40" t="str">
        <f>IF($A533="","",基本信息!A522)</f>
        <v/>
      </c>
      <c r="G533" s="50" t="str">
        <f>IF($A533="","",计算结果!BI522+计算结果!BJ522)</f>
        <v/>
      </c>
      <c r="H533" s="50" t="str">
        <f>IF($A533="","",计算结果!BK522)</f>
        <v/>
      </c>
    </row>
    <row r="534" spans="1:8">
      <c r="A534" s="40" t="str">
        <f>IF(AND(OR(IFERROR(FIND("交行",基本信息!BS523),0)&gt;0,IFERROR(FIND("交通银行",基本信息!BS523),0)&gt;0),计算结果!BT523&gt;0),基本信息!BR523,"")</f>
        <v/>
      </c>
      <c r="B534" s="40" t="str">
        <f>IF($A534="","",基本信息!BQ523)</f>
        <v/>
      </c>
      <c r="C534" s="50" t="str">
        <f>IF($A534="","",计算结果!BT523-G534-H534)</f>
        <v/>
      </c>
      <c r="D534" s="40" t="str">
        <f>IF($A534="","",基本信息!BS523)</f>
        <v/>
      </c>
      <c r="F534" s="40" t="str">
        <f>IF($A534="","",基本信息!A523)</f>
        <v/>
      </c>
      <c r="G534" s="50" t="str">
        <f>IF($A534="","",计算结果!BI523+计算结果!BJ523)</f>
        <v/>
      </c>
      <c r="H534" s="50" t="str">
        <f>IF($A534="","",计算结果!BK523)</f>
        <v/>
      </c>
    </row>
    <row r="535" spans="1:8">
      <c r="A535" s="40" t="str">
        <f>IF(AND(OR(IFERROR(FIND("交行",基本信息!BS524),0)&gt;0,IFERROR(FIND("交通银行",基本信息!BS524),0)&gt;0),计算结果!BT524&gt;0),基本信息!BR524,"")</f>
        <v/>
      </c>
      <c r="B535" s="40" t="str">
        <f>IF($A535="","",基本信息!BQ524)</f>
        <v/>
      </c>
      <c r="C535" s="50" t="str">
        <f>IF($A535="","",计算结果!BT524-G535-H535)</f>
        <v/>
      </c>
      <c r="D535" s="40" t="str">
        <f>IF($A535="","",基本信息!BS524)</f>
        <v/>
      </c>
      <c r="F535" s="40" t="str">
        <f>IF($A535="","",基本信息!A524)</f>
        <v/>
      </c>
      <c r="G535" s="50" t="str">
        <f>IF($A535="","",计算结果!BI524+计算结果!BJ524)</f>
        <v/>
      </c>
      <c r="H535" s="50" t="str">
        <f>IF($A535="","",计算结果!BK524)</f>
        <v/>
      </c>
    </row>
    <row r="536" spans="1:8">
      <c r="A536" s="40" t="str">
        <f>IF(AND(OR(IFERROR(FIND("交行",基本信息!BS525),0)&gt;0,IFERROR(FIND("交通银行",基本信息!BS525),0)&gt;0),计算结果!BT525&gt;0),基本信息!BR525,"")</f>
        <v/>
      </c>
      <c r="B536" s="40" t="str">
        <f>IF($A536="","",基本信息!BQ525)</f>
        <v/>
      </c>
      <c r="C536" s="50" t="str">
        <f>IF($A536="","",计算结果!BT525-G536-H536)</f>
        <v/>
      </c>
      <c r="D536" s="40" t="str">
        <f>IF($A536="","",基本信息!BS525)</f>
        <v/>
      </c>
      <c r="F536" s="40" t="str">
        <f>IF($A536="","",基本信息!A525)</f>
        <v/>
      </c>
      <c r="G536" s="50" t="str">
        <f>IF($A536="","",计算结果!BI525+计算结果!BJ525)</f>
        <v/>
      </c>
      <c r="H536" s="50" t="str">
        <f>IF($A536="","",计算结果!BK525)</f>
        <v/>
      </c>
    </row>
    <row r="537" spans="1:8">
      <c r="A537" s="40" t="str">
        <f>IF(AND(OR(IFERROR(FIND("交行",基本信息!BS526),0)&gt;0,IFERROR(FIND("交通银行",基本信息!BS526),0)&gt;0),计算结果!BT526&gt;0),基本信息!BR526,"")</f>
        <v/>
      </c>
      <c r="B537" s="40" t="str">
        <f>IF($A537="","",基本信息!BQ526)</f>
        <v/>
      </c>
      <c r="C537" s="50" t="str">
        <f>IF($A537="","",计算结果!BT526-G537-H537)</f>
        <v/>
      </c>
      <c r="D537" s="40" t="str">
        <f>IF($A537="","",基本信息!BS526)</f>
        <v/>
      </c>
      <c r="F537" s="40" t="str">
        <f>IF($A537="","",基本信息!A526)</f>
        <v/>
      </c>
      <c r="G537" s="50" t="str">
        <f>IF($A537="","",计算结果!BI526+计算结果!BJ526)</f>
        <v/>
      </c>
      <c r="H537" s="50" t="str">
        <f>IF($A537="","",计算结果!BK526)</f>
        <v/>
      </c>
    </row>
    <row r="538" spans="1:8">
      <c r="A538" s="40" t="str">
        <f>IF(AND(OR(IFERROR(FIND("交行",基本信息!BS527),0)&gt;0,IFERROR(FIND("交通银行",基本信息!BS527),0)&gt;0),计算结果!BT527&gt;0),基本信息!BR527,"")</f>
        <v/>
      </c>
      <c r="B538" s="40" t="str">
        <f>IF($A538="","",基本信息!BQ527)</f>
        <v/>
      </c>
      <c r="C538" s="50" t="str">
        <f>IF($A538="","",计算结果!BT527-G538-H538)</f>
        <v/>
      </c>
      <c r="D538" s="40" t="str">
        <f>IF($A538="","",基本信息!BS527)</f>
        <v/>
      </c>
      <c r="F538" s="40" t="str">
        <f>IF($A538="","",基本信息!A527)</f>
        <v/>
      </c>
      <c r="G538" s="50" t="str">
        <f>IF($A538="","",计算结果!BI527+计算结果!BJ527)</f>
        <v/>
      </c>
      <c r="H538" s="50" t="str">
        <f>IF($A538="","",计算结果!BK527)</f>
        <v/>
      </c>
    </row>
    <row r="539" spans="1:8">
      <c r="A539" s="40" t="str">
        <f>IF(AND(OR(IFERROR(FIND("交行",基本信息!BS528),0)&gt;0,IFERROR(FIND("交通银行",基本信息!BS528),0)&gt;0),计算结果!BT528&gt;0),基本信息!BR528,"")</f>
        <v/>
      </c>
      <c r="B539" s="40" t="str">
        <f>IF($A539="","",基本信息!BQ528)</f>
        <v/>
      </c>
      <c r="C539" s="50" t="str">
        <f>IF($A539="","",计算结果!BT528-G539-H539)</f>
        <v/>
      </c>
      <c r="D539" s="40" t="str">
        <f>IF($A539="","",基本信息!BS528)</f>
        <v/>
      </c>
      <c r="F539" s="40" t="str">
        <f>IF($A539="","",基本信息!A528)</f>
        <v/>
      </c>
      <c r="G539" s="50" t="str">
        <f>IF($A539="","",计算结果!BI528+计算结果!BJ528)</f>
        <v/>
      </c>
      <c r="H539" s="50" t="str">
        <f>IF($A539="","",计算结果!BK528)</f>
        <v/>
      </c>
    </row>
    <row r="540" spans="1:8">
      <c r="A540" s="40" t="str">
        <f>IF(AND(OR(IFERROR(FIND("交行",基本信息!BS529),0)&gt;0,IFERROR(FIND("交通银行",基本信息!BS529),0)&gt;0),计算结果!BT529&gt;0),基本信息!BR529,"")</f>
        <v/>
      </c>
      <c r="B540" s="40" t="str">
        <f>IF($A540="","",基本信息!BQ529)</f>
        <v/>
      </c>
      <c r="C540" s="50" t="str">
        <f>IF($A540="","",计算结果!BT529-G540-H540)</f>
        <v/>
      </c>
      <c r="D540" s="40" t="str">
        <f>IF($A540="","",基本信息!BS529)</f>
        <v/>
      </c>
      <c r="F540" s="40" t="str">
        <f>IF($A540="","",基本信息!A529)</f>
        <v/>
      </c>
      <c r="G540" s="50" t="str">
        <f>IF($A540="","",计算结果!BI529+计算结果!BJ529)</f>
        <v/>
      </c>
      <c r="H540" s="50" t="str">
        <f>IF($A540="","",计算结果!BK529)</f>
        <v/>
      </c>
    </row>
    <row r="541" spans="1:8">
      <c r="A541" s="40" t="str">
        <f>IF(AND(OR(IFERROR(FIND("交行",基本信息!BS530),0)&gt;0,IFERROR(FIND("交通银行",基本信息!BS530),0)&gt;0),计算结果!BT530&gt;0),基本信息!BR530,"")</f>
        <v/>
      </c>
      <c r="B541" s="40" t="str">
        <f>IF($A541="","",基本信息!BQ530)</f>
        <v/>
      </c>
      <c r="C541" s="50" t="str">
        <f>IF($A541="","",计算结果!BT530-G541-H541)</f>
        <v/>
      </c>
      <c r="D541" s="40" t="str">
        <f>IF($A541="","",基本信息!BS530)</f>
        <v/>
      </c>
      <c r="F541" s="40" t="str">
        <f>IF($A541="","",基本信息!A530)</f>
        <v/>
      </c>
      <c r="G541" s="50" t="str">
        <f>IF($A541="","",计算结果!BI530+计算结果!BJ530)</f>
        <v/>
      </c>
      <c r="H541" s="50" t="str">
        <f>IF($A541="","",计算结果!BK530)</f>
        <v/>
      </c>
    </row>
    <row r="542" spans="1:8">
      <c r="A542" s="40" t="str">
        <f>IF(AND(OR(IFERROR(FIND("交行",基本信息!BS531),0)&gt;0,IFERROR(FIND("交通银行",基本信息!BS531),0)&gt;0),计算结果!BT531&gt;0),基本信息!BR531,"")</f>
        <v/>
      </c>
      <c r="B542" s="40" t="str">
        <f>IF($A542="","",基本信息!BQ531)</f>
        <v/>
      </c>
      <c r="C542" s="50" t="str">
        <f>IF($A542="","",计算结果!BT531-G542-H542)</f>
        <v/>
      </c>
      <c r="D542" s="40" t="str">
        <f>IF($A542="","",基本信息!BS531)</f>
        <v/>
      </c>
      <c r="F542" s="40" t="str">
        <f>IF($A542="","",基本信息!A531)</f>
        <v/>
      </c>
      <c r="G542" s="50" t="str">
        <f>IF($A542="","",计算结果!BI531+计算结果!BJ531)</f>
        <v/>
      </c>
      <c r="H542" s="50" t="str">
        <f>IF($A542="","",计算结果!BK531)</f>
        <v/>
      </c>
    </row>
    <row r="543" spans="1:8">
      <c r="A543" s="40" t="str">
        <f>IF(AND(OR(IFERROR(FIND("交行",基本信息!BS532),0)&gt;0,IFERROR(FIND("交通银行",基本信息!BS532),0)&gt;0),计算结果!BT532&gt;0),基本信息!BR532,"")</f>
        <v/>
      </c>
      <c r="B543" s="40" t="str">
        <f>IF($A543="","",基本信息!BQ532)</f>
        <v/>
      </c>
      <c r="C543" s="50" t="str">
        <f>IF($A543="","",计算结果!BT532-G543-H543)</f>
        <v/>
      </c>
      <c r="D543" s="40" t="str">
        <f>IF($A543="","",基本信息!BS532)</f>
        <v/>
      </c>
      <c r="F543" s="40" t="str">
        <f>IF($A543="","",基本信息!A532)</f>
        <v/>
      </c>
      <c r="G543" s="50" t="str">
        <f>IF($A543="","",计算结果!BI532+计算结果!BJ532)</f>
        <v/>
      </c>
      <c r="H543" s="50" t="str">
        <f>IF($A543="","",计算结果!BK532)</f>
        <v/>
      </c>
    </row>
    <row r="544" spans="1:8">
      <c r="A544" s="40" t="str">
        <f>IF(AND(OR(IFERROR(FIND("交行",基本信息!BS533),0)&gt;0,IFERROR(FIND("交通银行",基本信息!BS533),0)&gt;0),计算结果!BT533&gt;0),基本信息!BR533,"")</f>
        <v/>
      </c>
      <c r="B544" s="40" t="str">
        <f>IF($A544="","",基本信息!BQ533)</f>
        <v/>
      </c>
      <c r="C544" s="50" t="str">
        <f>IF($A544="","",计算结果!BT533-G544-H544)</f>
        <v/>
      </c>
      <c r="D544" s="40" t="str">
        <f>IF($A544="","",基本信息!BS533)</f>
        <v/>
      </c>
      <c r="F544" s="40" t="str">
        <f>IF($A544="","",基本信息!A533)</f>
        <v/>
      </c>
      <c r="G544" s="50" t="str">
        <f>IF($A544="","",计算结果!BI533+计算结果!BJ533)</f>
        <v/>
      </c>
      <c r="H544" s="50" t="str">
        <f>IF($A544="","",计算结果!BK533)</f>
        <v/>
      </c>
    </row>
    <row r="545" spans="1:8">
      <c r="A545" s="40" t="str">
        <f>IF(AND(OR(IFERROR(FIND("交行",基本信息!BS534),0)&gt;0,IFERROR(FIND("交通银行",基本信息!BS534),0)&gt;0),计算结果!BT534&gt;0),基本信息!BR534,"")</f>
        <v/>
      </c>
      <c r="B545" s="40" t="str">
        <f>IF($A545="","",基本信息!BQ534)</f>
        <v/>
      </c>
      <c r="C545" s="50" t="str">
        <f>IF($A545="","",计算结果!BT534-G545-H545)</f>
        <v/>
      </c>
      <c r="D545" s="40" t="str">
        <f>IF($A545="","",基本信息!BS534)</f>
        <v/>
      </c>
      <c r="F545" s="40" t="str">
        <f>IF($A545="","",基本信息!A534)</f>
        <v/>
      </c>
      <c r="G545" s="50" t="str">
        <f>IF($A545="","",计算结果!BI534+计算结果!BJ534)</f>
        <v/>
      </c>
      <c r="H545" s="50" t="str">
        <f>IF($A545="","",计算结果!BK534)</f>
        <v/>
      </c>
    </row>
    <row r="546" spans="1:8">
      <c r="A546" s="40" t="str">
        <f>IF(AND(OR(IFERROR(FIND("交行",基本信息!BS535),0)&gt;0,IFERROR(FIND("交通银行",基本信息!BS535),0)&gt;0),计算结果!BT535&gt;0),基本信息!BR535,"")</f>
        <v/>
      </c>
      <c r="B546" s="40" t="str">
        <f>IF($A546="","",基本信息!BQ535)</f>
        <v/>
      </c>
      <c r="C546" s="50" t="str">
        <f>IF($A546="","",计算结果!BT535-G546-H546)</f>
        <v/>
      </c>
      <c r="D546" s="40" t="str">
        <f>IF($A546="","",基本信息!BS535)</f>
        <v/>
      </c>
      <c r="F546" s="40" t="str">
        <f>IF($A546="","",基本信息!A535)</f>
        <v/>
      </c>
      <c r="G546" s="50" t="str">
        <f>IF($A546="","",计算结果!BI535+计算结果!BJ535)</f>
        <v/>
      </c>
      <c r="H546" s="50" t="str">
        <f>IF($A546="","",计算结果!BK535)</f>
        <v/>
      </c>
    </row>
    <row r="547" spans="1:8">
      <c r="A547" s="40" t="str">
        <f>IF(AND(OR(IFERROR(FIND("交行",基本信息!BS536),0)&gt;0,IFERROR(FIND("交通银行",基本信息!BS536),0)&gt;0),计算结果!BT536&gt;0),基本信息!BR536,"")</f>
        <v/>
      </c>
      <c r="B547" s="40" t="str">
        <f>IF($A547="","",基本信息!BQ536)</f>
        <v/>
      </c>
      <c r="C547" s="50" t="str">
        <f>IF($A547="","",计算结果!BT536-G547-H547)</f>
        <v/>
      </c>
      <c r="D547" s="40" t="str">
        <f>IF($A547="","",基本信息!BS536)</f>
        <v/>
      </c>
      <c r="F547" s="40" t="str">
        <f>IF($A547="","",基本信息!A536)</f>
        <v/>
      </c>
      <c r="G547" s="50" t="str">
        <f>IF($A547="","",计算结果!BI536+计算结果!BJ536)</f>
        <v/>
      </c>
      <c r="H547" s="50" t="str">
        <f>IF($A547="","",计算结果!BK536)</f>
        <v/>
      </c>
    </row>
    <row r="548" spans="1:8">
      <c r="A548" s="40" t="str">
        <f>IF(AND(OR(IFERROR(FIND("交行",基本信息!BS537),0)&gt;0,IFERROR(FIND("交通银行",基本信息!BS537),0)&gt;0),计算结果!BT537&gt;0),基本信息!BR537,"")</f>
        <v/>
      </c>
      <c r="B548" s="40" t="str">
        <f>IF($A548="","",基本信息!BQ537)</f>
        <v/>
      </c>
      <c r="C548" s="50" t="str">
        <f>IF($A548="","",计算结果!BT537-G548-H548)</f>
        <v/>
      </c>
      <c r="D548" s="40" t="str">
        <f>IF($A548="","",基本信息!BS537)</f>
        <v/>
      </c>
      <c r="F548" s="40" t="str">
        <f>IF($A548="","",基本信息!A537)</f>
        <v/>
      </c>
      <c r="G548" s="50" t="str">
        <f>IF($A548="","",计算结果!BI537+计算结果!BJ537)</f>
        <v/>
      </c>
      <c r="H548" s="50" t="str">
        <f>IF($A548="","",计算结果!BK537)</f>
        <v/>
      </c>
    </row>
    <row r="549" spans="1:8">
      <c r="A549" s="40" t="str">
        <f>IF(AND(OR(IFERROR(FIND("交行",基本信息!BS538),0)&gt;0,IFERROR(FIND("交通银行",基本信息!BS538),0)&gt;0),计算结果!BT538&gt;0),基本信息!BR538,"")</f>
        <v/>
      </c>
      <c r="B549" s="40" t="str">
        <f>IF($A549="","",基本信息!BQ538)</f>
        <v/>
      </c>
      <c r="C549" s="50" t="str">
        <f>IF($A549="","",计算结果!BT538-G549-H549)</f>
        <v/>
      </c>
      <c r="D549" s="40" t="str">
        <f>IF($A549="","",基本信息!BS538)</f>
        <v/>
      </c>
      <c r="F549" s="40" t="str">
        <f>IF($A549="","",基本信息!A538)</f>
        <v/>
      </c>
      <c r="G549" s="50" t="str">
        <f>IF($A549="","",计算结果!BI538+计算结果!BJ538)</f>
        <v/>
      </c>
      <c r="H549" s="50" t="str">
        <f>IF($A549="","",计算结果!BK538)</f>
        <v/>
      </c>
    </row>
    <row r="550" spans="1:8">
      <c r="A550" s="40" t="str">
        <f>IF(AND(OR(IFERROR(FIND("交行",基本信息!BS539),0)&gt;0,IFERROR(FIND("交通银行",基本信息!BS539),0)&gt;0),计算结果!BT539&gt;0),基本信息!BR539,"")</f>
        <v/>
      </c>
      <c r="B550" s="40" t="str">
        <f>IF($A550="","",基本信息!BQ539)</f>
        <v/>
      </c>
      <c r="C550" s="50" t="str">
        <f>IF($A550="","",计算结果!BT539-G550-H550)</f>
        <v/>
      </c>
      <c r="D550" s="40" t="str">
        <f>IF($A550="","",基本信息!BS539)</f>
        <v/>
      </c>
      <c r="F550" s="40" t="str">
        <f>IF($A550="","",基本信息!A539)</f>
        <v/>
      </c>
      <c r="G550" s="50" t="str">
        <f>IF($A550="","",计算结果!BI539+计算结果!BJ539)</f>
        <v/>
      </c>
      <c r="H550" s="50" t="str">
        <f>IF($A550="","",计算结果!BK539)</f>
        <v/>
      </c>
    </row>
    <row r="551" spans="1:8">
      <c r="A551" s="40" t="str">
        <f>IF(AND(OR(IFERROR(FIND("交行",基本信息!BS540),0)&gt;0,IFERROR(FIND("交通银行",基本信息!BS540),0)&gt;0),计算结果!BT540&gt;0),基本信息!BR540,"")</f>
        <v/>
      </c>
      <c r="B551" s="40" t="str">
        <f>IF($A551="","",基本信息!BQ540)</f>
        <v/>
      </c>
      <c r="C551" s="50" t="str">
        <f>IF($A551="","",计算结果!BT540-G551-H551)</f>
        <v/>
      </c>
      <c r="D551" s="40" t="str">
        <f>IF($A551="","",基本信息!BS540)</f>
        <v/>
      </c>
      <c r="F551" s="40" t="str">
        <f>IF($A551="","",基本信息!A540)</f>
        <v/>
      </c>
      <c r="G551" s="50" t="str">
        <f>IF($A551="","",计算结果!BI540+计算结果!BJ540)</f>
        <v/>
      </c>
      <c r="H551" s="50" t="str">
        <f>IF($A551="","",计算结果!BK540)</f>
        <v/>
      </c>
    </row>
    <row r="552" spans="1:8">
      <c r="A552" s="40" t="str">
        <f>IF(AND(OR(IFERROR(FIND("交行",基本信息!BS541),0)&gt;0,IFERROR(FIND("交通银行",基本信息!BS541),0)&gt;0),计算结果!BT541&gt;0),基本信息!BR541,"")</f>
        <v/>
      </c>
      <c r="B552" s="40" t="str">
        <f>IF($A552="","",基本信息!BQ541)</f>
        <v/>
      </c>
      <c r="C552" s="50" t="str">
        <f>IF($A552="","",计算结果!BT541-G552-H552)</f>
        <v/>
      </c>
      <c r="D552" s="40" t="str">
        <f>IF($A552="","",基本信息!BS541)</f>
        <v/>
      </c>
      <c r="F552" s="40" t="str">
        <f>IF($A552="","",基本信息!A541)</f>
        <v/>
      </c>
      <c r="G552" s="50" t="str">
        <f>IF($A552="","",计算结果!BI541+计算结果!BJ541)</f>
        <v/>
      </c>
      <c r="H552" s="50" t="str">
        <f>IF($A552="","",计算结果!BK541)</f>
        <v/>
      </c>
    </row>
    <row r="553" spans="1:8">
      <c r="A553" s="40" t="str">
        <f>IF(AND(OR(IFERROR(FIND("交行",基本信息!BS542),0)&gt;0,IFERROR(FIND("交通银行",基本信息!BS542),0)&gt;0),计算结果!BT542&gt;0),基本信息!BR542,"")</f>
        <v/>
      </c>
      <c r="B553" s="40" t="str">
        <f>IF($A553="","",基本信息!BQ542)</f>
        <v/>
      </c>
      <c r="C553" s="50" t="str">
        <f>IF($A553="","",计算结果!BT542-G553-H553)</f>
        <v/>
      </c>
      <c r="D553" s="40" t="str">
        <f>IF($A553="","",基本信息!BS542)</f>
        <v/>
      </c>
      <c r="F553" s="40" t="str">
        <f>IF($A553="","",基本信息!A542)</f>
        <v/>
      </c>
      <c r="G553" s="50" t="str">
        <f>IF($A553="","",计算结果!BI542+计算结果!BJ542)</f>
        <v/>
      </c>
      <c r="H553" s="50" t="str">
        <f>IF($A553="","",计算结果!BK542)</f>
        <v/>
      </c>
    </row>
    <row r="554" spans="1:8">
      <c r="A554" s="40" t="str">
        <f>IF(AND(OR(IFERROR(FIND("交行",基本信息!BS543),0)&gt;0,IFERROR(FIND("交通银行",基本信息!BS543),0)&gt;0),计算结果!BT543&gt;0),基本信息!BR543,"")</f>
        <v/>
      </c>
      <c r="B554" s="40" t="str">
        <f>IF($A554="","",基本信息!BQ543)</f>
        <v/>
      </c>
      <c r="C554" s="50" t="str">
        <f>IF($A554="","",计算结果!BT543-G554-H554)</f>
        <v/>
      </c>
      <c r="D554" s="40" t="str">
        <f>IF($A554="","",基本信息!BS543)</f>
        <v/>
      </c>
      <c r="F554" s="40" t="str">
        <f>IF($A554="","",基本信息!A543)</f>
        <v/>
      </c>
      <c r="G554" s="50" t="str">
        <f>IF($A554="","",计算结果!BI543+计算结果!BJ543)</f>
        <v/>
      </c>
      <c r="H554" s="50" t="str">
        <f>IF($A554="","",计算结果!BK543)</f>
        <v/>
      </c>
    </row>
    <row r="555" spans="1:8">
      <c r="A555" s="40" t="str">
        <f>IF(AND(OR(IFERROR(FIND("交行",基本信息!BS544),0)&gt;0,IFERROR(FIND("交通银行",基本信息!BS544),0)&gt;0),计算结果!BT544&gt;0),基本信息!BR544,"")</f>
        <v/>
      </c>
      <c r="B555" s="40" t="str">
        <f>IF($A555="","",基本信息!BQ544)</f>
        <v/>
      </c>
      <c r="C555" s="50" t="str">
        <f>IF($A555="","",计算结果!BT544-G555-H555)</f>
        <v/>
      </c>
      <c r="D555" s="40" t="str">
        <f>IF($A555="","",基本信息!BS544)</f>
        <v/>
      </c>
      <c r="F555" s="40" t="str">
        <f>IF($A555="","",基本信息!A544)</f>
        <v/>
      </c>
      <c r="G555" s="50" t="str">
        <f>IF($A555="","",计算结果!BI544+计算结果!BJ544)</f>
        <v/>
      </c>
      <c r="H555" s="50" t="str">
        <f>IF($A555="","",计算结果!BK544)</f>
        <v/>
      </c>
    </row>
    <row r="556" spans="1:8">
      <c r="A556" s="40" t="str">
        <f>IF(AND(OR(IFERROR(FIND("交行",基本信息!BS545),0)&gt;0,IFERROR(FIND("交通银行",基本信息!BS545),0)&gt;0),计算结果!BT545&gt;0),基本信息!BR545,"")</f>
        <v/>
      </c>
      <c r="B556" s="40" t="str">
        <f>IF($A556="","",基本信息!BQ545)</f>
        <v/>
      </c>
      <c r="C556" s="50" t="str">
        <f>IF($A556="","",计算结果!BT545-G556-H556)</f>
        <v/>
      </c>
      <c r="D556" s="40" t="str">
        <f>IF($A556="","",基本信息!BS545)</f>
        <v/>
      </c>
      <c r="F556" s="40" t="str">
        <f>IF($A556="","",基本信息!A545)</f>
        <v/>
      </c>
      <c r="G556" s="50" t="str">
        <f>IF($A556="","",计算结果!BI545+计算结果!BJ545)</f>
        <v/>
      </c>
      <c r="H556" s="50" t="str">
        <f>IF($A556="","",计算结果!BK545)</f>
        <v/>
      </c>
    </row>
    <row r="557" spans="1:8">
      <c r="A557" s="40" t="str">
        <f>IF(AND(OR(IFERROR(FIND("交行",基本信息!BS546),0)&gt;0,IFERROR(FIND("交通银行",基本信息!BS546),0)&gt;0),计算结果!BT546&gt;0),基本信息!BR546,"")</f>
        <v/>
      </c>
      <c r="B557" s="40" t="str">
        <f>IF($A557="","",基本信息!BQ546)</f>
        <v/>
      </c>
      <c r="C557" s="50" t="str">
        <f>IF($A557="","",计算结果!BT546-G557-H557)</f>
        <v/>
      </c>
      <c r="D557" s="40" t="str">
        <f>IF($A557="","",基本信息!BS546)</f>
        <v/>
      </c>
      <c r="F557" s="40" t="str">
        <f>IF($A557="","",基本信息!A546)</f>
        <v/>
      </c>
      <c r="G557" s="50" t="str">
        <f>IF($A557="","",计算结果!BI546+计算结果!BJ546)</f>
        <v/>
      </c>
      <c r="H557" s="50" t="str">
        <f>IF($A557="","",计算结果!BK546)</f>
        <v/>
      </c>
    </row>
    <row r="558" spans="1:8">
      <c r="A558" s="40" t="str">
        <f>IF(AND(OR(IFERROR(FIND("交行",基本信息!BS547),0)&gt;0,IFERROR(FIND("交通银行",基本信息!BS547),0)&gt;0),计算结果!BT547&gt;0),基本信息!BR547,"")</f>
        <v/>
      </c>
      <c r="B558" s="40" t="str">
        <f>IF($A558="","",基本信息!BQ547)</f>
        <v/>
      </c>
      <c r="C558" s="50" t="str">
        <f>IF($A558="","",计算结果!BT547-G558-H558)</f>
        <v/>
      </c>
      <c r="D558" s="40" t="str">
        <f>IF($A558="","",基本信息!BS547)</f>
        <v/>
      </c>
      <c r="F558" s="40" t="str">
        <f>IF($A558="","",基本信息!A547)</f>
        <v/>
      </c>
      <c r="G558" s="50" t="str">
        <f>IF($A558="","",计算结果!BI547+计算结果!BJ547)</f>
        <v/>
      </c>
      <c r="H558" s="50" t="str">
        <f>IF($A558="","",计算结果!BK547)</f>
        <v/>
      </c>
    </row>
    <row r="559" spans="1:8">
      <c r="A559" s="40" t="str">
        <f>IF(AND(OR(IFERROR(FIND("交行",基本信息!BS548),0)&gt;0,IFERROR(FIND("交通银行",基本信息!BS548),0)&gt;0),计算结果!BT548&gt;0),基本信息!BR548,"")</f>
        <v/>
      </c>
      <c r="B559" s="40" t="str">
        <f>IF($A559="","",基本信息!BQ548)</f>
        <v/>
      </c>
      <c r="C559" s="50" t="str">
        <f>IF($A559="","",计算结果!BT548-G559-H559)</f>
        <v/>
      </c>
      <c r="D559" s="40" t="str">
        <f>IF($A559="","",基本信息!BS548)</f>
        <v/>
      </c>
      <c r="F559" s="40" t="str">
        <f>IF($A559="","",基本信息!A548)</f>
        <v/>
      </c>
      <c r="G559" s="50" t="str">
        <f>IF($A559="","",计算结果!BI548+计算结果!BJ548)</f>
        <v/>
      </c>
      <c r="H559" s="50" t="str">
        <f>IF($A559="","",计算结果!BK548)</f>
        <v/>
      </c>
    </row>
    <row r="560" spans="1:8">
      <c r="A560" s="40" t="str">
        <f>IF(AND(OR(IFERROR(FIND("交行",基本信息!BS549),0)&gt;0,IFERROR(FIND("交通银行",基本信息!BS549),0)&gt;0),计算结果!BT549&gt;0),基本信息!BR549,"")</f>
        <v/>
      </c>
      <c r="B560" s="40" t="str">
        <f>IF($A560="","",基本信息!BQ549)</f>
        <v/>
      </c>
      <c r="C560" s="50" t="str">
        <f>IF($A560="","",计算结果!BT549-G560-H560)</f>
        <v/>
      </c>
      <c r="D560" s="40" t="str">
        <f>IF($A560="","",基本信息!BS549)</f>
        <v/>
      </c>
      <c r="F560" s="40" t="str">
        <f>IF($A560="","",基本信息!A549)</f>
        <v/>
      </c>
      <c r="G560" s="50" t="str">
        <f>IF($A560="","",计算结果!BI549+计算结果!BJ549)</f>
        <v/>
      </c>
      <c r="H560" s="50" t="str">
        <f>IF($A560="","",计算结果!BK549)</f>
        <v/>
      </c>
    </row>
    <row r="561" spans="1:8">
      <c r="A561" s="40" t="str">
        <f>IF(AND(OR(IFERROR(FIND("交行",基本信息!BS550),0)&gt;0,IFERROR(FIND("交通银行",基本信息!BS550),0)&gt;0),计算结果!BT550&gt;0),基本信息!BR550,"")</f>
        <v/>
      </c>
      <c r="B561" s="40" t="str">
        <f>IF($A561="","",基本信息!BQ550)</f>
        <v/>
      </c>
      <c r="C561" s="50" t="str">
        <f>IF($A561="","",计算结果!BT550-G561-H561)</f>
        <v/>
      </c>
      <c r="D561" s="40" t="str">
        <f>IF($A561="","",基本信息!BS550)</f>
        <v/>
      </c>
      <c r="F561" s="40" t="str">
        <f>IF($A561="","",基本信息!A550)</f>
        <v/>
      </c>
      <c r="G561" s="50" t="str">
        <f>IF($A561="","",计算结果!BI550+计算结果!BJ550)</f>
        <v/>
      </c>
      <c r="H561" s="50" t="str">
        <f>IF($A561="","",计算结果!BK550)</f>
        <v/>
      </c>
    </row>
    <row r="562" spans="1:8">
      <c r="A562" s="40" t="str">
        <f>IF(AND(OR(IFERROR(FIND("交行",基本信息!BS551),0)&gt;0,IFERROR(FIND("交通银行",基本信息!BS551),0)&gt;0),计算结果!BT551&gt;0),基本信息!BR551,"")</f>
        <v/>
      </c>
      <c r="B562" s="40" t="str">
        <f>IF($A562="","",基本信息!BQ551)</f>
        <v/>
      </c>
      <c r="C562" s="50" t="str">
        <f>IF($A562="","",计算结果!BT551-G562-H562)</f>
        <v/>
      </c>
      <c r="D562" s="40" t="str">
        <f>IF($A562="","",基本信息!BS551)</f>
        <v/>
      </c>
      <c r="F562" s="40" t="str">
        <f>IF($A562="","",基本信息!A551)</f>
        <v/>
      </c>
      <c r="G562" s="50" t="str">
        <f>IF($A562="","",计算结果!BI551+计算结果!BJ551)</f>
        <v/>
      </c>
      <c r="H562" s="50" t="str">
        <f>IF($A562="","",计算结果!BK551)</f>
        <v/>
      </c>
    </row>
    <row r="563" spans="1:8">
      <c r="A563" s="40" t="str">
        <f>IF(AND(OR(IFERROR(FIND("交行",基本信息!BS552),0)&gt;0,IFERROR(FIND("交通银行",基本信息!BS552),0)&gt;0),计算结果!BT552&gt;0),基本信息!BR552,"")</f>
        <v/>
      </c>
      <c r="B563" s="40" t="str">
        <f>IF($A563="","",基本信息!BQ552)</f>
        <v/>
      </c>
      <c r="C563" s="50" t="str">
        <f>IF($A563="","",计算结果!BT552-G563-H563)</f>
        <v/>
      </c>
      <c r="D563" s="40" t="str">
        <f>IF($A563="","",基本信息!BS552)</f>
        <v/>
      </c>
      <c r="F563" s="40" t="str">
        <f>IF($A563="","",基本信息!A552)</f>
        <v/>
      </c>
      <c r="G563" s="50" t="str">
        <f>IF($A563="","",计算结果!BI552+计算结果!BJ552)</f>
        <v/>
      </c>
      <c r="H563" s="50" t="str">
        <f>IF($A563="","",计算结果!BK552)</f>
        <v/>
      </c>
    </row>
    <row r="564" spans="1:8">
      <c r="A564" s="40" t="str">
        <f>IF(AND(OR(IFERROR(FIND("交行",基本信息!BS553),0)&gt;0,IFERROR(FIND("交通银行",基本信息!BS553),0)&gt;0),计算结果!BT553&gt;0),基本信息!BR553,"")</f>
        <v/>
      </c>
      <c r="B564" s="40" t="str">
        <f>IF($A564="","",基本信息!BQ553)</f>
        <v/>
      </c>
      <c r="C564" s="50" t="str">
        <f>IF($A564="","",计算结果!BT553-G564-H564)</f>
        <v/>
      </c>
      <c r="D564" s="40" t="str">
        <f>IF($A564="","",基本信息!BS553)</f>
        <v/>
      </c>
      <c r="F564" s="40" t="str">
        <f>IF($A564="","",基本信息!A553)</f>
        <v/>
      </c>
      <c r="G564" s="50" t="str">
        <f>IF($A564="","",计算结果!BI553+计算结果!BJ553)</f>
        <v/>
      </c>
      <c r="H564" s="50" t="str">
        <f>IF($A564="","",计算结果!BK553)</f>
        <v/>
      </c>
    </row>
    <row r="565" spans="1:8">
      <c r="A565" s="40" t="str">
        <f>IF(AND(OR(IFERROR(FIND("交行",基本信息!BS554),0)&gt;0,IFERROR(FIND("交通银行",基本信息!BS554),0)&gt;0),计算结果!BT554&gt;0),基本信息!BR554,"")</f>
        <v/>
      </c>
      <c r="B565" s="40" t="str">
        <f>IF($A565="","",基本信息!BQ554)</f>
        <v/>
      </c>
      <c r="C565" s="50" t="str">
        <f>IF($A565="","",计算结果!BT554-G565-H565)</f>
        <v/>
      </c>
      <c r="D565" s="40" t="str">
        <f>IF($A565="","",基本信息!BS554)</f>
        <v/>
      </c>
      <c r="F565" s="40" t="str">
        <f>IF($A565="","",基本信息!A554)</f>
        <v/>
      </c>
      <c r="G565" s="50" t="str">
        <f>IF($A565="","",计算结果!BI554+计算结果!BJ554)</f>
        <v/>
      </c>
      <c r="H565" s="50" t="str">
        <f>IF($A565="","",计算结果!BK554)</f>
        <v/>
      </c>
    </row>
    <row r="566" spans="1:8">
      <c r="A566" s="40" t="str">
        <f>IF(AND(OR(IFERROR(FIND("交行",基本信息!BS555),0)&gt;0,IFERROR(FIND("交通银行",基本信息!BS555),0)&gt;0),计算结果!BT555&gt;0),基本信息!BR555,"")</f>
        <v/>
      </c>
      <c r="B566" s="40" t="str">
        <f>IF($A566="","",基本信息!BQ555)</f>
        <v/>
      </c>
      <c r="C566" s="50" t="str">
        <f>IF($A566="","",计算结果!BT555-G566-H566)</f>
        <v/>
      </c>
      <c r="D566" s="40" t="str">
        <f>IF($A566="","",基本信息!BS555)</f>
        <v/>
      </c>
      <c r="F566" s="40" t="str">
        <f>IF($A566="","",基本信息!A555)</f>
        <v/>
      </c>
      <c r="G566" s="50" t="str">
        <f>IF($A566="","",计算结果!BI555+计算结果!BJ555)</f>
        <v/>
      </c>
      <c r="H566" s="50" t="str">
        <f>IF($A566="","",计算结果!BK555)</f>
        <v/>
      </c>
    </row>
    <row r="567" spans="1:8">
      <c r="A567" s="40" t="str">
        <f>IF(AND(OR(IFERROR(FIND("交行",基本信息!BS556),0)&gt;0,IFERROR(FIND("交通银行",基本信息!BS556),0)&gt;0),计算结果!BT556&gt;0),基本信息!BR556,"")</f>
        <v/>
      </c>
      <c r="B567" s="40" t="str">
        <f>IF($A567="","",基本信息!BQ556)</f>
        <v/>
      </c>
      <c r="C567" s="50" t="str">
        <f>IF($A567="","",计算结果!BT556-G567-H567)</f>
        <v/>
      </c>
      <c r="D567" s="40" t="str">
        <f>IF($A567="","",基本信息!BS556)</f>
        <v/>
      </c>
      <c r="F567" s="40" t="str">
        <f>IF($A567="","",基本信息!A556)</f>
        <v/>
      </c>
      <c r="G567" s="50" t="str">
        <f>IF($A567="","",计算结果!BI556+计算结果!BJ556)</f>
        <v/>
      </c>
      <c r="H567" s="50" t="str">
        <f>IF($A567="","",计算结果!BK556)</f>
        <v/>
      </c>
    </row>
    <row r="568" spans="1:8">
      <c r="A568" s="40" t="str">
        <f>IF(AND(OR(IFERROR(FIND("交行",基本信息!BS557),0)&gt;0,IFERROR(FIND("交通银行",基本信息!BS557),0)&gt;0),计算结果!BT557&gt;0),基本信息!BR557,"")</f>
        <v/>
      </c>
      <c r="B568" s="40" t="str">
        <f>IF($A568="","",基本信息!BQ557)</f>
        <v/>
      </c>
      <c r="C568" s="50" t="str">
        <f>IF($A568="","",计算结果!BT557-G568-H568)</f>
        <v/>
      </c>
      <c r="D568" s="40" t="str">
        <f>IF($A568="","",基本信息!BS557)</f>
        <v/>
      </c>
      <c r="F568" s="40" t="str">
        <f>IF($A568="","",基本信息!A557)</f>
        <v/>
      </c>
      <c r="G568" s="50" t="str">
        <f>IF($A568="","",计算结果!BI557+计算结果!BJ557)</f>
        <v/>
      </c>
      <c r="H568" s="50" t="str">
        <f>IF($A568="","",计算结果!BK557)</f>
        <v/>
      </c>
    </row>
    <row r="569" spans="1:8">
      <c r="A569" s="40" t="str">
        <f>IF(AND(OR(IFERROR(FIND("交行",基本信息!BS558),0)&gt;0,IFERROR(FIND("交通银行",基本信息!BS558),0)&gt;0),计算结果!BT558&gt;0),基本信息!BR558,"")</f>
        <v/>
      </c>
      <c r="B569" s="40" t="str">
        <f>IF($A569="","",基本信息!BQ558)</f>
        <v/>
      </c>
      <c r="C569" s="50" t="str">
        <f>IF($A569="","",计算结果!BT558-G569-H569)</f>
        <v/>
      </c>
      <c r="D569" s="40" t="str">
        <f>IF($A569="","",基本信息!BS558)</f>
        <v/>
      </c>
      <c r="F569" s="40" t="str">
        <f>IF($A569="","",基本信息!A558)</f>
        <v/>
      </c>
      <c r="G569" s="50" t="str">
        <f>IF($A569="","",计算结果!BI558+计算结果!BJ558)</f>
        <v/>
      </c>
      <c r="H569" s="50" t="str">
        <f>IF($A569="","",计算结果!BK558)</f>
        <v/>
      </c>
    </row>
    <row r="570" spans="1:8">
      <c r="A570" s="40" t="str">
        <f>IF(AND(OR(IFERROR(FIND("交行",基本信息!BS559),0)&gt;0,IFERROR(FIND("交通银行",基本信息!BS559),0)&gt;0),计算结果!BT559&gt;0),基本信息!BR559,"")</f>
        <v/>
      </c>
      <c r="B570" s="40" t="str">
        <f>IF($A570="","",基本信息!BQ559)</f>
        <v/>
      </c>
      <c r="C570" s="50" t="str">
        <f>IF($A570="","",计算结果!BT559-G570-H570)</f>
        <v/>
      </c>
      <c r="D570" s="40" t="str">
        <f>IF($A570="","",基本信息!BS559)</f>
        <v/>
      </c>
      <c r="F570" s="40" t="str">
        <f>IF($A570="","",基本信息!A559)</f>
        <v/>
      </c>
      <c r="G570" s="50" t="str">
        <f>IF($A570="","",计算结果!BI559+计算结果!BJ559)</f>
        <v/>
      </c>
      <c r="H570" s="50" t="str">
        <f>IF($A570="","",计算结果!BK559)</f>
        <v/>
      </c>
    </row>
    <row r="571" spans="1:8">
      <c r="A571" s="40" t="str">
        <f>IF(AND(OR(IFERROR(FIND("交行",基本信息!BS560),0)&gt;0,IFERROR(FIND("交通银行",基本信息!BS560),0)&gt;0),计算结果!BT560&gt;0),基本信息!BR560,"")</f>
        <v/>
      </c>
      <c r="B571" s="40" t="str">
        <f>IF($A571="","",基本信息!BQ560)</f>
        <v/>
      </c>
      <c r="C571" s="50" t="str">
        <f>IF($A571="","",计算结果!BT560-G571-H571)</f>
        <v/>
      </c>
      <c r="D571" s="40" t="str">
        <f>IF($A571="","",基本信息!BS560)</f>
        <v/>
      </c>
      <c r="F571" s="40" t="str">
        <f>IF($A571="","",基本信息!A560)</f>
        <v/>
      </c>
      <c r="G571" s="50" t="str">
        <f>IF($A571="","",计算结果!BI560+计算结果!BJ560)</f>
        <v/>
      </c>
      <c r="H571" s="50" t="str">
        <f>IF($A571="","",计算结果!BK560)</f>
        <v/>
      </c>
    </row>
    <row r="572" spans="1:8">
      <c r="A572" s="40" t="str">
        <f>IF(AND(OR(IFERROR(FIND("交行",基本信息!BS561),0)&gt;0,IFERROR(FIND("交通银行",基本信息!BS561),0)&gt;0),计算结果!BT561&gt;0),基本信息!BR561,"")</f>
        <v/>
      </c>
      <c r="B572" s="40" t="str">
        <f>IF($A572="","",基本信息!BQ561)</f>
        <v/>
      </c>
      <c r="C572" s="50" t="str">
        <f>IF($A572="","",计算结果!BT561-G572-H572)</f>
        <v/>
      </c>
      <c r="D572" s="40" t="str">
        <f>IF($A572="","",基本信息!BS561)</f>
        <v/>
      </c>
      <c r="F572" s="40" t="str">
        <f>IF($A572="","",基本信息!A561)</f>
        <v/>
      </c>
      <c r="G572" s="50" t="str">
        <f>IF($A572="","",计算结果!BI561+计算结果!BJ561)</f>
        <v/>
      </c>
      <c r="H572" s="50" t="str">
        <f>IF($A572="","",计算结果!BK561)</f>
        <v/>
      </c>
    </row>
    <row r="573" spans="1:8">
      <c r="A573" s="40" t="str">
        <f>IF(AND(OR(IFERROR(FIND("交行",基本信息!BS562),0)&gt;0,IFERROR(FIND("交通银行",基本信息!BS562),0)&gt;0),计算结果!BT562&gt;0),基本信息!BR562,"")</f>
        <v/>
      </c>
      <c r="B573" s="40" t="str">
        <f>IF($A573="","",基本信息!BQ562)</f>
        <v/>
      </c>
      <c r="C573" s="50" t="str">
        <f>IF($A573="","",计算结果!BT562-G573-H573)</f>
        <v/>
      </c>
      <c r="D573" s="40" t="str">
        <f>IF($A573="","",基本信息!BS562)</f>
        <v/>
      </c>
      <c r="F573" s="40" t="str">
        <f>IF($A573="","",基本信息!A562)</f>
        <v/>
      </c>
      <c r="G573" s="50" t="str">
        <f>IF($A573="","",计算结果!BI562+计算结果!BJ562)</f>
        <v/>
      </c>
      <c r="H573" s="50" t="str">
        <f>IF($A573="","",计算结果!BK562)</f>
        <v/>
      </c>
    </row>
    <row r="574" spans="1:8">
      <c r="A574" s="40" t="str">
        <f>IF(AND(OR(IFERROR(FIND("交行",基本信息!BS563),0)&gt;0,IFERROR(FIND("交通银行",基本信息!BS563),0)&gt;0),计算结果!BT563&gt;0),基本信息!BR563,"")</f>
        <v/>
      </c>
      <c r="B574" s="40" t="str">
        <f>IF($A574="","",基本信息!BQ563)</f>
        <v/>
      </c>
      <c r="C574" s="50" t="str">
        <f>IF($A574="","",计算结果!BT563-G574-H574)</f>
        <v/>
      </c>
      <c r="D574" s="40" t="str">
        <f>IF($A574="","",基本信息!BS563)</f>
        <v/>
      </c>
      <c r="F574" s="40" t="str">
        <f>IF($A574="","",基本信息!A563)</f>
        <v/>
      </c>
      <c r="G574" s="50" t="str">
        <f>IF($A574="","",计算结果!BI563+计算结果!BJ563)</f>
        <v/>
      </c>
      <c r="H574" s="50" t="str">
        <f>IF($A574="","",计算结果!BK563)</f>
        <v/>
      </c>
    </row>
    <row r="575" spans="1:8">
      <c r="A575" s="40" t="str">
        <f>IF(AND(OR(IFERROR(FIND("交行",基本信息!BS564),0)&gt;0,IFERROR(FIND("交通银行",基本信息!BS564),0)&gt;0),计算结果!BT564&gt;0),基本信息!BR564,"")</f>
        <v/>
      </c>
      <c r="B575" s="40" t="str">
        <f>IF($A575="","",基本信息!BQ564)</f>
        <v/>
      </c>
      <c r="C575" s="50" t="str">
        <f>IF($A575="","",计算结果!BT564-G575-H575)</f>
        <v/>
      </c>
      <c r="D575" s="40" t="str">
        <f>IF($A575="","",基本信息!BS564)</f>
        <v/>
      </c>
      <c r="F575" s="40" t="str">
        <f>IF($A575="","",基本信息!A564)</f>
        <v/>
      </c>
      <c r="G575" s="50" t="str">
        <f>IF($A575="","",计算结果!BI564+计算结果!BJ564)</f>
        <v/>
      </c>
      <c r="H575" s="50" t="str">
        <f>IF($A575="","",计算结果!BK564)</f>
        <v/>
      </c>
    </row>
    <row r="576" spans="1:8">
      <c r="A576" s="40" t="str">
        <f>IF(AND(OR(IFERROR(FIND("交行",基本信息!BS565),0)&gt;0,IFERROR(FIND("交通银行",基本信息!BS565),0)&gt;0),计算结果!BT565&gt;0),基本信息!BR565,"")</f>
        <v/>
      </c>
      <c r="B576" s="40" t="str">
        <f>IF($A576="","",基本信息!BQ565)</f>
        <v/>
      </c>
      <c r="C576" s="50" t="str">
        <f>IF($A576="","",计算结果!BT565-G576-H576)</f>
        <v/>
      </c>
      <c r="D576" s="40" t="str">
        <f>IF($A576="","",基本信息!BS565)</f>
        <v/>
      </c>
      <c r="F576" s="40" t="str">
        <f>IF($A576="","",基本信息!A565)</f>
        <v/>
      </c>
      <c r="G576" s="50" t="str">
        <f>IF($A576="","",计算结果!BI565+计算结果!BJ565)</f>
        <v/>
      </c>
      <c r="H576" s="50" t="str">
        <f>IF($A576="","",计算结果!BK565)</f>
        <v/>
      </c>
    </row>
    <row r="577" spans="1:8">
      <c r="A577" s="40" t="str">
        <f>IF(AND(OR(IFERROR(FIND("交行",基本信息!BS566),0)&gt;0,IFERROR(FIND("交通银行",基本信息!BS566),0)&gt;0),计算结果!BT566&gt;0),基本信息!BR566,"")</f>
        <v/>
      </c>
      <c r="B577" s="40" t="str">
        <f>IF($A577="","",基本信息!BQ566)</f>
        <v/>
      </c>
      <c r="C577" s="50" t="str">
        <f>IF($A577="","",计算结果!BT566-G577-H577)</f>
        <v/>
      </c>
      <c r="D577" s="40" t="str">
        <f>IF($A577="","",基本信息!BS566)</f>
        <v/>
      </c>
      <c r="F577" s="40" t="str">
        <f>IF($A577="","",基本信息!A566)</f>
        <v/>
      </c>
      <c r="G577" s="50" t="str">
        <f>IF($A577="","",计算结果!BI566+计算结果!BJ566)</f>
        <v/>
      </c>
      <c r="H577" s="50" t="str">
        <f>IF($A577="","",计算结果!BK566)</f>
        <v/>
      </c>
    </row>
    <row r="578" spans="1:8">
      <c r="A578" s="40" t="str">
        <f>IF(AND(OR(IFERROR(FIND("交行",基本信息!BS567),0)&gt;0,IFERROR(FIND("交通银行",基本信息!BS567),0)&gt;0),计算结果!BT567&gt;0),基本信息!BR567,"")</f>
        <v/>
      </c>
      <c r="B578" s="40" t="str">
        <f>IF($A578="","",基本信息!BQ567)</f>
        <v/>
      </c>
      <c r="C578" s="50" t="str">
        <f>IF($A578="","",计算结果!BT567-G578-H578)</f>
        <v/>
      </c>
      <c r="D578" s="40" t="str">
        <f>IF($A578="","",基本信息!BS567)</f>
        <v/>
      </c>
      <c r="F578" s="40" t="str">
        <f>IF($A578="","",基本信息!A567)</f>
        <v/>
      </c>
      <c r="G578" s="50" t="str">
        <f>IF($A578="","",计算结果!BI567+计算结果!BJ567)</f>
        <v/>
      </c>
      <c r="H578" s="50" t="str">
        <f>IF($A578="","",计算结果!BK567)</f>
        <v/>
      </c>
    </row>
    <row r="579" spans="1:8">
      <c r="A579" s="40" t="str">
        <f>IF(AND(OR(IFERROR(FIND("交行",基本信息!BS568),0)&gt;0,IFERROR(FIND("交通银行",基本信息!BS568),0)&gt;0),计算结果!BT568&gt;0),基本信息!BR568,"")</f>
        <v/>
      </c>
      <c r="B579" s="40" t="str">
        <f>IF($A579="","",基本信息!BQ568)</f>
        <v/>
      </c>
      <c r="C579" s="50" t="str">
        <f>IF($A579="","",计算结果!BT568-G579-H579)</f>
        <v/>
      </c>
      <c r="D579" s="40" t="str">
        <f>IF($A579="","",基本信息!BS568)</f>
        <v/>
      </c>
      <c r="F579" s="40" t="str">
        <f>IF($A579="","",基本信息!A568)</f>
        <v/>
      </c>
      <c r="G579" s="50" t="str">
        <f>IF($A579="","",计算结果!BI568+计算结果!BJ568)</f>
        <v/>
      </c>
      <c r="H579" s="50" t="str">
        <f>IF($A579="","",计算结果!BK568)</f>
        <v/>
      </c>
    </row>
    <row r="580" spans="1:8">
      <c r="A580" s="40" t="str">
        <f>IF(AND(OR(IFERROR(FIND("交行",基本信息!BS569),0)&gt;0,IFERROR(FIND("交通银行",基本信息!BS569),0)&gt;0),计算结果!BT569&gt;0),基本信息!BR569,"")</f>
        <v/>
      </c>
      <c r="B580" s="40" t="str">
        <f>IF($A580="","",基本信息!BQ569)</f>
        <v/>
      </c>
      <c r="C580" s="50" t="str">
        <f>IF($A580="","",计算结果!BT569-G580-H580)</f>
        <v/>
      </c>
      <c r="D580" s="40" t="str">
        <f>IF($A580="","",基本信息!BS569)</f>
        <v/>
      </c>
      <c r="F580" s="40" t="str">
        <f>IF($A580="","",基本信息!A569)</f>
        <v/>
      </c>
      <c r="G580" s="50" t="str">
        <f>IF($A580="","",计算结果!BI569+计算结果!BJ569)</f>
        <v/>
      </c>
      <c r="H580" s="50" t="str">
        <f>IF($A580="","",计算结果!BK569)</f>
        <v/>
      </c>
    </row>
    <row r="581" spans="1:8">
      <c r="A581" s="40" t="str">
        <f>IF(AND(OR(IFERROR(FIND("交行",基本信息!BS570),0)&gt;0,IFERROR(FIND("交通银行",基本信息!BS570),0)&gt;0),计算结果!BT570&gt;0),基本信息!BR570,"")</f>
        <v/>
      </c>
      <c r="B581" s="40" t="str">
        <f>IF($A581="","",基本信息!BQ570)</f>
        <v/>
      </c>
      <c r="C581" s="50" t="str">
        <f>IF($A581="","",计算结果!BT570-G581-H581)</f>
        <v/>
      </c>
      <c r="D581" s="40" t="str">
        <f>IF($A581="","",基本信息!BS570)</f>
        <v/>
      </c>
      <c r="F581" s="40" t="str">
        <f>IF($A581="","",基本信息!A570)</f>
        <v/>
      </c>
      <c r="G581" s="50" t="str">
        <f>IF($A581="","",计算结果!BI570+计算结果!BJ570)</f>
        <v/>
      </c>
      <c r="H581" s="50" t="str">
        <f>IF($A581="","",计算结果!BK570)</f>
        <v/>
      </c>
    </row>
    <row r="582" spans="1:8">
      <c r="A582" s="40" t="str">
        <f>IF(AND(OR(IFERROR(FIND("交行",基本信息!BS571),0)&gt;0,IFERROR(FIND("交通银行",基本信息!BS571),0)&gt;0),计算结果!BT571&gt;0),基本信息!BR571,"")</f>
        <v/>
      </c>
      <c r="B582" s="40" t="str">
        <f>IF($A582="","",基本信息!BQ571)</f>
        <v/>
      </c>
      <c r="C582" s="50" t="str">
        <f>IF($A582="","",计算结果!BT571-G582-H582)</f>
        <v/>
      </c>
      <c r="D582" s="40" t="str">
        <f>IF($A582="","",基本信息!BS571)</f>
        <v/>
      </c>
      <c r="F582" s="40" t="str">
        <f>IF($A582="","",基本信息!A571)</f>
        <v/>
      </c>
      <c r="G582" s="50" t="str">
        <f>IF($A582="","",计算结果!BI571+计算结果!BJ571)</f>
        <v/>
      </c>
      <c r="H582" s="50" t="str">
        <f>IF($A582="","",计算结果!BK571)</f>
        <v/>
      </c>
    </row>
    <row r="583" spans="1:8">
      <c r="A583" s="40" t="str">
        <f>IF(AND(OR(IFERROR(FIND("交行",基本信息!BS572),0)&gt;0,IFERROR(FIND("交通银行",基本信息!BS572),0)&gt;0),计算结果!BT572&gt;0),基本信息!BR572,"")</f>
        <v/>
      </c>
      <c r="B583" s="40" t="str">
        <f>IF($A583="","",基本信息!BQ572)</f>
        <v/>
      </c>
      <c r="C583" s="50" t="str">
        <f>IF($A583="","",计算结果!BT572-G583-H583)</f>
        <v/>
      </c>
      <c r="D583" s="40" t="str">
        <f>IF($A583="","",基本信息!BS572)</f>
        <v/>
      </c>
      <c r="F583" s="40" t="str">
        <f>IF($A583="","",基本信息!A572)</f>
        <v/>
      </c>
      <c r="G583" s="50" t="str">
        <f>IF($A583="","",计算结果!BI572+计算结果!BJ572)</f>
        <v/>
      </c>
      <c r="H583" s="50" t="str">
        <f>IF($A583="","",计算结果!BK572)</f>
        <v/>
      </c>
    </row>
    <row r="584" spans="1:8">
      <c r="A584" s="40" t="str">
        <f>IF(AND(OR(IFERROR(FIND("交行",基本信息!BS573),0)&gt;0,IFERROR(FIND("交通银行",基本信息!BS573),0)&gt;0),计算结果!BT573&gt;0),基本信息!BR573,"")</f>
        <v/>
      </c>
      <c r="B584" s="40" t="str">
        <f>IF($A584="","",基本信息!BQ573)</f>
        <v/>
      </c>
      <c r="C584" s="50" t="str">
        <f>IF($A584="","",计算结果!BT573-G584-H584)</f>
        <v/>
      </c>
      <c r="D584" s="40" t="str">
        <f>IF($A584="","",基本信息!BS573)</f>
        <v/>
      </c>
      <c r="F584" s="40" t="str">
        <f>IF($A584="","",基本信息!A573)</f>
        <v/>
      </c>
      <c r="G584" s="50" t="str">
        <f>IF($A584="","",计算结果!BI573+计算结果!BJ573)</f>
        <v/>
      </c>
      <c r="H584" s="50" t="str">
        <f>IF($A584="","",计算结果!BK573)</f>
        <v/>
      </c>
    </row>
    <row r="585" spans="1:8">
      <c r="A585" s="40" t="str">
        <f>IF(AND(OR(IFERROR(FIND("交行",基本信息!#REF!),0)&gt;0,IFERROR(FIND("交通银行",基本信息!#REF!),0)&gt;0),计算结果!BT574&gt;0),基本信息!#REF!,"")</f>
        <v/>
      </c>
      <c r="B585" s="40" t="str">
        <f>IF($A585="","",基本信息!#REF!)</f>
        <v/>
      </c>
      <c r="C585" s="50" t="str">
        <f>IF($A585="","",计算结果!BT574-G585-H585)</f>
        <v/>
      </c>
      <c r="D585" s="40" t="str">
        <f>IF($A585="","",基本信息!#REF!)</f>
        <v/>
      </c>
      <c r="F585" s="40" t="str">
        <f>IF($A585="","",基本信息!#REF!)</f>
        <v/>
      </c>
      <c r="G585" s="50" t="str">
        <f>IF($A585="","",计算结果!BI574)</f>
        <v/>
      </c>
      <c r="H585" s="50" t="str">
        <f>IF($A585="","",计算结果!BK574)</f>
        <v/>
      </c>
    </row>
    <row r="586" spans="1:8">
      <c r="A586" s="40" t="str">
        <f>IF(AND(OR(IFERROR(FIND("交行",基本信息!#REF!),0)&gt;0,IFERROR(FIND("交通银行",基本信息!#REF!),0)&gt;0),计算结果!BT575&gt;0),基本信息!#REF!,"")</f>
        <v/>
      </c>
      <c r="B586" s="40" t="str">
        <f>IF($A586="","",基本信息!#REF!)</f>
        <v/>
      </c>
      <c r="C586" s="50" t="str">
        <f>IF($A586="","",计算结果!BT575-G586-H586)</f>
        <v/>
      </c>
      <c r="D586" s="40" t="str">
        <f>IF($A586="","",基本信息!#REF!)</f>
        <v/>
      </c>
      <c r="F586" s="40" t="str">
        <f>IF($A586="","",基本信息!#REF!)</f>
        <v/>
      </c>
      <c r="G586" s="50" t="str">
        <f>IF($A586="","",计算结果!BI575)</f>
        <v/>
      </c>
      <c r="H586" s="50" t="str">
        <f>IF($A586="","",计算结果!BK575)</f>
        <v/>
      </c>
    </row>
    <row r="587" spans="1:8">
      <c r="A587" s="40" t="str">
        <f>IF(AND(OR(IFERROR(FIND("交行",基本信息!#REF!),0)&gt;0,IFERROR(FIND("交通银行",基本信息!#REF!),0)&gt;0),计算结果!BT576&gt;0),基本信息!#REF!,"")</f>
        <v/>
      </c>
      <c r="B587" s="40" t="str">
        <f>IF($A587="","",基本信息!#REF!)</f>
        <v/>
      </c>
      <c r="C587" s="50" t="str">
        <f>IF($A587="","",计算结果!BT576-G587-H587)</f>
        <v/>
      </c>
      <c r="D587" s="40" t="str">
        <f>IF($A587="","",基本信息!#REF!)</f>
        <v/>
      </c>
      <c r="F587" s="40" t="str">
        <f>IF($A587="","",基本信息!#REF!)</f>
        <v/>
      </c>
      <c r="G587" s="50" t="str">
        <f>IF($A587="","",计算结果!BI576)</f>
        <v/>
      </c>
      <c r="H587" s="50" t="str">
        <f>IF($A587="","",计算结果!BK576)</f>
        <v/>
      </c>
    </row>
    <row r="588" spans="1:8">
      <c r="A588" s="40" t="str">
        <f>IF(AND(OR(IFERROR(FIND("交行",基本信息!#REF!),0)&gt;0,IFERROR(FIND("交通银行",基本信息!#REF!),0)&gt;0),计算结果!BT577&gt;0),基本信息!#REF!,"")</f>
        <v/>
      </c>
      <c r="B588" s="40" t="str">
        <f>IF($A588="","",基本信息!#REF!)</f>
        <v/>
      </c>
      <c r="C588" s="50" t="str">
        <f>IF($A588="","",计算结果!BT577-G588-H588)</f>
        <v/>
      </c>
      <c r="D588" s="40" t="str">
        <f>IF($A588="","",基本信息!#REF!)</f>
        <v/>
      </c>
      <c r="F588" s="40" t="str">
        <f>IF($A588="","",基本信息!#REF!)</f>
        <v/>
      </c>
      <c r="G588" s="50" t="str">
        <f>IF($A588="","",计算结果!BI577)</f>
        <v/>
      </c>
      <c r="H588" s="50" t="str">
        <f>IF($A588="","",计算结果!BK577)</f>
        <v/>
      </c>
    </row>
    <row r="589" spans="1:8">
      <c r="A589" s="40" t="str">
        <f>IF(AND(OR(IFERROR(FIND("交行",基本信息!#REF!),0)&gt;0,IFERROR(FIND("交通银行",基本信息!#REF!),0)&gt;0),计算结果!BT578&gt;0),基本信息!#REF!,"")</f>
        <v/>
      </c>
      <c r="B589" s="40" t="str">
        <f>IF($A589="","",基本信息!#REF!)</f>
        <v/>
      </c>
      <c r="C589" s="50" t="str">
        <f>IF($A589="","",计算结果!BT578-G589-H589)</f>
        <v/>
      </c>
      <c r="D589" s="40" t="str">
        <f>IF($A589="","",基本信息!#REF!)</f>
        <v/>
      </c>
      <c r="F589" s="40" t="str">
        <f>IF($A589="","",基本信息!#REF!)</f>
        <v/>
      </c>
      <c r="G589" s="50" t="str">
        <f>IF($A589="","",计算结果!BI578)</f>
        <v/>
      </c>
      <c r="H589" s="50" t="str">
        <f>IF($A589="","",计算结果!BK578)</f>
        <v/>
      </c>
    </row>
    <row r="590" spans="1:8">
      <c r="A590" s="40" t="str">
        <f>IF(AND(OR(IFERROR(FIND("交行",基本信息!#REF!),0)&gt;0,IFERROR(FIND("交通银行",基本信息!#REF!),0)&gt;0),计算结果!BT579&gt;0),基本信息!#REF!,"")</f>
        <v/>
      </c>
      <c r="B590" s="40" t="str">
        <f>IF($A590="","",基本信息!#REF!)</f>
        <v/>
      </c>
      <c r="C590" s="50" t="str">
        <f>IF($A590="","",计算结果!BT579-G590-H590)</f>
        <v/>
      </c>
      <c r="D590" s="40" t="str">
        <f>IF($A590="","",基本信息!#REF!)</f>
        <v/>
      </c>
      <c r="F590" s="40" t="str">
        <f>IF($A590="","",基本信息!#REF!)</f>
        <v/>
      </c>
      <c r="G590" s="50" t="str">
        <f>IF($A590="","",计算结果!BI579)</f>
        <v/>
      </c>
      <c r="H590" s="50" t="str">
        <f>IF($A590="","",计算结果!BK579)</f>
        <v/>
      </c>
    </row>
    <row r="591" spans="1:8">
      <c r="A591" s="40" t="str">
        <f>IF(AND(OR(IFERROR(FIND("交行",基本信息!#REF!),0)&gt;0,IFERROR(FIND("交通银行",基本信息!#REF!),0)&gt;0),计算结果!BT580&gt;0),基本信息!#REF!,"")</f>
        <v/>
      </c>
      <c r="B591" s="40" t="str">
        <f>IF($A591="","",基本信息!#REF!)</f>
        <v/>
      </c>
      <c r="C591" s="50" t="str">
        <f>IF($A591="","",计算结果!BT580-G591-H591)</f>
        <v/>
      </c>
      <c r="D591" s="40" t="str">
        <f>IF($A591="","",基本信息!#REF!)</f>
        <v/>
      </c>
      <c r="F591" s="40" t="str">
        <f>IF($A591="","",基本信息!#REF!)</f>
        <v/>
      </c>
      <c r="G591" s="50" t="str">
        <f>IF($A591="","",计算结果!BI580)</f>
        <v/>
      </c>
      <c r="H591" s="50" t="str">
        <f>IF($A591="","",计算结果!BK580)</f>
        <v/>
      </c>
    </row>
    <row r="592" spans="1:8">
      <c r="A592" s="40" t="str">
        <f>IF(AND(OR(IFERROR(FIND("交行",基本信息!#REF!),0)&gt;0,IFERROR(FIND("交通银行",基本信息!#REF!),0)&gt;0),计算结果!BT581&gt;0),基本信息!#REF!,"")</f>
        <v/>
      </c>
      <c r="B592" s="40" t="str">
        <f>IF($A592="","",基本信息!#REF!)</f>
        <v/>
      </c>
      <c r="C592" s="50" t="str">
        <f>IF($A592="","",计算结果!BT581-G592-H592)</f>
        <v/>
      </c>
      <c r="D592" s="40" t="str">
        <f>IF($A592="","",基本信息!#REF!)</f>
        <v/>
      </c>
      <c r="F592" s="40" t="str">
        <f>IF($A592="","",基本信息!#REF!)</f>
        <v/>
      </c>
      <c r="G592" s="50" t="str">
        <f>IF($A592="","",计算结果!BI581)</f>
        <v/>
      </c>
      <c r="H592" s="50" t="str">
        <f>IF($A592="","",计算结果!BK581)</f>
        <v/>
      </c>
    </row>
    <row r="593" spans="1:8">
      <c r="A593" s="40" t="str">
        <f>IF(AND(OR(IFERROR(FIND("交行",基本信息!#REF!),0)&gt;0,IFERROR(FIND("交通银行",基本信息!#REF!),0)&gt;0),计算结果!BT582&gt;0),基本信息!#REF!,"")</f>
        <v/>
      </c>
      <c r="B593" s="40" t="str">
        <f>IF($A593="","",基本信息!#REF!)</f>
        <v/>
      </c>
      <c r="C593" s="50" t="str">
        <f>IF($A593="","",计算结果!BT582-G593-H593)</f>
        <v/>
      </c>
      <c r="D593" s="40" t="str">
        <f>IF($A593="","",基本信息!#REF!)</f>
        <v/>
      </c>
      <c r="F593" s="40" t="str">
        <f>IF($A593="","",基本信息!#REF!)</f>
        <v/>
      </c>
      <c r="G593" s="50" t="str">
        <f>IF($A593="","",计算结果!BI582)</f>
        <v/>
      </c>
      <c r="H593" s="50" t="str">
        <f>IF($A593="","",计算结果!BK582)</f>
        <v/>
      </c>
    </row>
    <row r="594" spans="1:8">
      <c r="A594" s="40" t="str">
        <f>IF(AND(OR(IFERROR(FIND("交行",基本信息!#REF!),0)&gt;0,IFERROR(FIND("交通银行",基本信息!#REF!),0)&gt;0),计算结果!BT583&gt;0),基本信息!#REF!,"")</f>
        <v/>
      </c>
      <c r="B594" s="40" t="str">
        <f>IF($A594="","",基本信息!#REF!)</f>
        <v/>
      </c>
      <c r="C594" s="50" t="str">
        <f>IF($A594="","",计算结果!BT583-G594-H594)</f>
        <v/>
      </c>
      <c r="D594" s="40" t="str">
        <f>IF($A594="","",基本信息!#REF!)</f>
        <v/>
      </c>
      <c r="F594" s="40" t="str">
        <f>IF($A594="","",基本信息!#REF!)</f>
        <v/>
      </c>
      <c r="G594" s="50" t="str">
        <f>IF($A594="","",计算结果!BI583)</f>
        <v/>
      </c>
      <c r="H594" s="50" t="str">
        <f>IF($A594="","",计算结果!BK583)</f>
        <v/>
      </c>
    </row>
  </sheetData>
  <phoneticPr fontId="2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H389"/>
  <sheetViews>
    <sheetView workbookViewId="0">
      <selection activeCell="A2" sqref="A2:H2"/>
    </sheetView>
  </sheetViews>
  <sheetFormatPr defaultColWidth="9.28515625" defaultRowHeight="12.95"/>
  <cols>
    <col min="1" max="1" width="22" style="40" bestFit="1" customWidth="1"/>
    <col min="2" max="2" width="27" style="40" bestFit="1" customWidth="1"/>
    <col min="3" max="3" width="10.42578125" style="50" bestFit="1" customWidth="1"/>
    <col min="4" max="4" width="41.5703125" style="40" bestFit="1" customWidth="1"/>
    <col min="5" max="5" width="7.28515625" style="40" bestFit="1" customWidth="1"/>
    <col min="6" max="6" width="14.7109375" style="40" bestFit="1" customWidth="1"/>
    <col min="7" max="7" width="8.7109375" style="41" bestFit="1" customWidth="1"/>
    <col min="8" max="8" width="13.28515625" style="41" bestFit="1" customWidth="1"/>
    <col min="9" max="16384" width="9.28515625" style="41"/>
  </cols>
  <sheetData>
    <row r="1" spans="1:8">
      <c r="A1" s="40" t="str">
        <f>基本信息!BR1</f>
        <v>银行账号</v>
      </c>
      <c r="B1" s="40" t="str">
        <f>基本信息!BQ1</f>
        <v>银行户名</v>
      </c>
      <c r="C1" s="58" t="str">
        <f>计算结果!BU1</f>
        <v>实发</v>
      </c>
      <c r="D1" s="40" t="str">
        <f>基本信息!BS1</f>
        <v>银行</v>
      </c>
      <c r="E1" s="40" t="s">
        <v>547</v>
      </c>
      <c r="F1" s="40" t="str">
        <f>基本信息!A1</f>
        <v>客户简称</v>
      </c>
      <c r="G1" s="57" t="s">
        <v>548</v>
      </c>
      <c r="H1" s="41" t="s">
        <v>428</v>
      </c>
    </row>
    <row r="2" spans="1:8">
      <c r="A2" s="40" t="str">
        <f>IF(OR(OR(IFERROR(FIND("交行",基本信息!BS2),0)&gt;0,IFERROR(FIND("交通银行",基本信息!BS2),0)&gt;0),计算结果!BT2=0),"",基本信息!BR2)</f>
        <v>6227007200020223600</v>
      </c>
      <c r="B2" s="40" t="str">
        <f>IF($A2="","",基本信息!BQ2)</f>
        <v>杨明华</v>
      </c>
      <c r="C2" s="50">
        <f ca="1">IF($A2="","",计算结果!BU2-G2-H2)</f>
        <v>30353.93</v>
      </c>
      <c r="D2" s="40" t="str">
        <f>IF($A2="","",基本信息!BS2)</f>
        <v>中国建设银行股份有限公司深圳分行福田支行</v>
      </c>
      <c r="F2" s="40" t="str">
        <f>IF($A2="","",基本信息!A2)</f>
        <v>NNRoad-Hermetic Solutions</v>
      </c>
      <c r="G2" s="50">
        <f>IF($A2="","",计算结果!BI2+计算结果!BJ2)</f>
        <v>0</v>
      </c>
      <c r="H2" s="50">
        <f>IF($A2="","",计算结果!BK2)</f>
        <v>0</v>
      </c>
    </row>
    <row r="3" spans="1:8">
      <c r="A3" s="40" t="str">
        <f>IF(OR(OR(IFERROR(FIND("交行",基本信息!BS3),0)&gt;0,IFERROR(FIND("交通银行",基本信息!BS3),0)&gt;0),计算结果!BT3=0),"",基本信息!BR3)</f>
        <v/>
      </c>
      <c r="B3" s="40" t="str">
        <f>IF($A3="","",基本信息!BQ3)</f>
        <v/>
      </c>
      <c r="C3" s="50" t="str">
        <f>IF($A3="","",计算结果!BT3-G3-H3)</f>
        <v/>
      </c>
      <c r="D3" s="40" t="str">
        <f>IF($A3="","",基本信息!BS3)</f>
        <v/>
      </c>
      <c r="F3" s="40" t="str">
        <f>IF($A3="","",基本信息!A3)</f>
        <v/>
      </c>
      <c r="G3" s="50" t="str">
        <f>IF($A3="","",计算结果!BI3+计算结果!BJ3)</f>
        <v/>
      </c>
      <c r="H3" s="50" t="str">
        <f>IF($A3="","",计算结果!BK3)</f>
        <v/>
      </c>
    </row>
    <row r="4" spans="1:8">
      <c r="A4" s="40" t="str">
        <f>IF(OR(OR(IFERROR(FIND("交行",基本信息!BS4),0)&gt;0,IFERROR(FIND("交通银行",基本信息!BS4),0)&gt;0),计算结果!BT4=0),"",基本信息!BR4)</f>
        <v/>
      </c>
      <c r="B4" s="40" t="str">
        <f>IF($A4="","",基本信息!BQ4)</f>
        <v/>
      </c>
      <c r="C4" s="50" t="str">
        <f>IF($A4="","",计算结果!BT4-G4-H4)</f>
        <v/>
      </c>
      <c r="D4" s="40" t="str">
        <f>IF($A4="","",基本信息!BS4)</f>
        <v/>
      </c>
      <c r="F4" s="40" t="str">
        <f>IF($A4="","",基本信息!A4)</f>
        <v/>
      </c>
      <c r="G4" s="50" t="str">
        <f>IF($A4="","",计算结果!BI4+计算结果!BJ4)</f>
        <v/>
      </c>
      <c r="H4" s="50" t="str">
        <f>IF($A4="","",计算结果!BK4)</f>
        <v/>
      </c>
    </row>
    <row r="5" spans="1:8">
      <c r="A5" s="40" t="str">
        <f>IF(OR(OR(IFERROR(FIND("交行",基本信息!BS5),0)&gt;0,IFERROR(FIND("交通银行",基本信息!BS5),0)&gt;0),计算结果!BT5=0),"",基本信息!BR5)</f>
        <v/>
      </c>
      <c r="B5" s="40" t="str">
        <f>IF($A5="","",基本信息!BQ5)</f>
        <v/>
      </c>
      <c r="C5" s="50" t="str">
        <f>IF($A5="","",计算结果!BT5-G5-H5)</f>
        <v/>
      </c>
      <c r="D5" s="40" t="str">
        <f>IF($A5="","",基本信息!BS5)</f>
        <v/>
      </c>
      <c r="F5" s="40" t="str">
        <f>IF($A5="","",基本信息!A5)</f>
        <v/>
      </c>
      <c r="G5" s="50" t="str">
        <f>IF($A5="","",计算结果!BI5+计算结果!BJ5)</f>
        <v/>
      </c>
      <c r="H5" s="50" t="str">
        <f>IF($A5="","",计算结果!BK5)</f>
        <v/>
      </c>
    </row>
    <row r="6" spans="1:8">
      <c r="A6" s="40" t="str">
        <f>IF(OR(OR(IFERROR(FIND("交行",基本信息!BS6),0)&gt;0,IFERROR(FIND("交通银行",基本信息!BS6),0)&gt;0),计算结果!BT6=0),"",基本信息!BR6)</f>
        <v/>
      </c>
      <c r="B6" s="40" t="str">
        <f>IF($A6="","",基本信息!BQ6)</f>
        <v/>
      </c>
      <c r="C6" s="50" t="str">
        <f>IF($A6="","",计算结果!BT6-G6-H6)</f>
        <v/>
      </c>
      <c r="D6" s="40" t="str">
        <f>IF($A6="","",基本信息!BS6)</f>
        <v/>
      </c>
      <c r="F6" s="40" t="str">
        <f>IF($A6="","",基本信息!A6)</f>
        <v/>
      </c>
      <c r="G6" s="50" t="str">
        <f>IF($A6="","",计算结果!BI6+计算结果!BJ6)</f>
        <v/>
      </c>
      <c r="H6" s="50" t="str">
        <f>IF($A6="","",计算结果!BK6)</f>
        <v/>
      </c>
    </row>
    <row r="7" spans="1:8">
      <c r="A7" s="40" t="str">
        <f>IF(OR(OR(IFERROR(FIND("交行",基本信息!BS7),0)&gt;0,IFERROR(FIND("交通银行",基本信息!BS7),0)&gt;0),计算结果!BT7=0),"",基本信息!BR7)</f>
        <v/>
      </c>
      <c r="B7" s="40" t="str">
        <f>IF($A7="","",基本信息!BQ7)</f>
        <v/>
      </c>
      <c r="C7" s="50" t="str">
        <f>IF($A7="","",计算结果!BT7-G7-H7)</f>
        <v/>
      </c>
      <c r="D7" s="40" t="str">
        <f>IF($A7="","",基本信息!BS7)</f>
        <v/>
      </c>
      <c r="F7" s="40" t="str">
        <f>IF($A7="","",基本信息!A7)</f>
        <v/>
      </c>
      <c r="G7" s="50" t="str">
        <f>IF($A7="","",计算结果!BI7+计算结果!BJ7)</f>
        <v/>
      </c>
      <c r="H7" s="50" t="str">
        <f>IF($A7="","",计算结果!BK7)</f>
        <v/>
      </c>
    </row>
    <row r="8" spans="1:8">
      <c r="A8" s="40" t="str">
        <f>IF(OR(OR(IFERROR(FIND("交行",基本信息!BS8),0)&gt;0,IFERROR(FIND("交通银行",基本信息!BS8),0)&gt;0),计算结果!BT8=0),"",基本信息!BR8)</f>
        <v/>
      </c>
      <c r="B8" s="40" t="str">
        <f>IF($A8="","",基本信息!BQ8)</f>
        <v/>
      </c>
      <c r="C8" s="50" t="str">
        <f>IF($A8="","",计算结果!BT8-G8-H8)</f>
        <v/>
      </c>
      <c r="D8" s="40" t="str">
        <f>IF($A8="","",基本信息!BS8)</f>
        <v/>
      </c>
      <c r="F8" s="40" t="str">
        <f>IF($A8="","",基本信息!A8)</f>
        <v/>
      </c>
      <c r="G8" s="50" t="str">
        <f>IF($A8="","",计算结果!BI8+计算结果!BJ8)</f>
        <v/>
      </c>
      <c r="H8" s="50" t="str">
        <f>IF($A8="","",计算结果!BK8)</f>
        <v/>
      </c>
    </row>
    <row r="9" spans="1:8">
      <c r="A9" s="40" t="str">
        <f>IF(OR(OR(IFERROR(FIND("交行",基本信息!BS9),0)&gt;0,IFERROR(FIND("交通银行",基本信息!BS9),0)&gt;0),计算结果!BT9=0),"",基本信息!BR9)</f>
        <v/>
      </c>
      <c r="B9" s="40" t="str">
        <f>IF($A9="","",基本信息!BQ9)</f>
        <v/>
      </c>
      <c r="C9" s="50" t="str">
        <f>IF($A9="","",计算结果!BT9-G9-H9)</f>
        <v/>
      </c>
      <c r="D9" s="40" t="str">
        <f>IF($A9="","",基本信息!BS9)</f>
        <v/>
      </c>
      <c r="F9" s="40" t="str">
        <f>IF($A9="","",基本信息!A9)</f>
        <v/>
      </c>
      <c r="G9" s="50" t="str">
        <f>IF($A9="","",计算结果!BI9+计算结果!BJ9)</f>
        <v/>
      </c>
      <c r="H9" s="50" t="str">
        <f>IF($A9="","",计算结果!BK9)</f>
        <v/>
      </c>
    </row>
    <row r="10" spans="1:8">
      <c r="A10" s="40" t="str">
        <f>IF(OR(OR(IFERROR(FIND("交行",基本信息!BS10),0)&gt;0,IFERROR(FIND("交通银行",基本信息!BS10),0)&gt;0),计算结果!BT10=0),"",基本信息!BR10)</f>
        <v/>
      </c>
      <c r="B10" s="40" t="str">
        <f>IF($A10="","",基本信息!BQ10)</f>
        <v/>
      </c>
      <c r="C10" s="50" t="str">
        <f>IF($A10="","",计算结果!BT10-G10-H10)</f>
        <v/>
      </c>
      <c r="D10" s="40" t="str">
        <f>IF($A10="","",基本信息!BS10)</f>
        <v/>
      </c>
      <c r="F10" s="40" t="str">
        <f>IF($A10="","",基本信息!A10)</f>
        <v/>
      </c>
      <c r="G10" s="50" t="str">
        <f>IF($A10="","",计算结果!BI10+计算结果!BJ10)</f>
        <v/>
      </c>
      <c r="H10" s="50" t="str">
        <f>IF($A10="","",计算结果!BK10)</f>
        <v/>
      </c>
    </row>
    <row r="11" spans="1:8">
      <c r="A11" s="40" t="str">
        <f>IF(OR(OR(IFERROR(FIND("交行",基本信息!BS11),0)&gt;0,IFERROR(FIND("交通银行",基本信息!BS11),0)&gt;0),计算结果!BT11=0),"",基本信息!BR11)</f>
        <v/>
      </c>
      <c r="B11" s="40" t="str">
        <f>IF($A11="","",基本信息!BQ11)</f>
        <v/>
      </c>
      <c r="C11" s="50" t="str">
        <f>IF($A11="","",计算结果!BT11-G11-H11)</f>
        <v/>
      </c>
      <c r="D11" s="40" t="str">
        <f>IF($A11="","",基本信息!BS11)</f>
        <v/>
      </c>
      <c r="F11" s="40" t="str">
        <f>IF($A11="","",基本信息!A11)</f>
        <v/>
      </c>
      <c r="G11" s="50" t="str">
        <f>IF($A11="","",计算结果!BI11+计算结果!BJ11)</f>
        <v/>
      </c>
      <c r="H11" s="50" t="str">
        <f>IF($A11="","",计算结果!BK11)</f>
        <v/>
      </c>
    </row>
    <row r="12" spans="1:8">
      <c r="A12" s="40" t="str">
        <f>IF(OR(OR(IFERROR(FIND("交行",基本信息!BS12),0)&gt;0,IFERROR(FIND("交通银行",基本信息!BS12),0)&gt;0),计算结果!BT12=0),"",基本信息!BR12)</f>
        <v/>
      </c>
      <c r="B12" s="40" t="str">
        <f>IF($A12="","",基本信息!BQ12)</f>
        <v/>
      </c>
      <c r="C12" s="50" t="str">
        <f>IF($A12="","",计算结果!BT12-G12-H12)</f>
        <v/>
      </c>
      <c r="D12" s="40" t="str">
        <f>IF($A12="","",基本信息!BS12)</f>
        <v/>
      </c>
      <c r="F12" s="40" t="str">
        <f>IF($A12="","",基本信息!A12)</f>
        <v/>
      </c>
      <c r="G12" s="50" t="str">
        <f>IF($A12="","",计算结果!BI12+计算结果!BJ12)</f>
        <v/>
      </c>
      <c r="H12" s="50" t="str">
        <f>IF($A12="","",计算结果!BK12)</f>
        <v/>
      </c>
    </row>
    <row r="13" spans="1:8">
      <c r="A13" s="40" t="str">
        <f>IF(OR(OR(IFERROR(FIND("交行",基本信息!BS13),0)&gt;0,IFERROR(FIND("交通银行",基本信息!BS13),0)&gt;0),计算结果!BT13=0),"",基本信息!BR13)</f>
        <v/>
      </c>
      <c r="B13" s="40" t="str">
        <f>IF($A13="","",基本信息!BQ13)</f>
        <v/>
      </c>
      <c r="C13" s="50" t="str">
        <f>IF($A13="","",计算结果!BT13-G13-H13)</f>
        <v/>
      </c>
      <c r="D13" s="40" t="str">
        <f>IF($A13="","",基本信息!BS13)</f>
        <v/>
      </c>
      <c r="F13" s="40" t="str">
        <f>IF($A13="","",基本信息!A13)</f>
        <v/>
      </c>
      <c r="G13" s="50" t="str">
        <f>IF($A13="","",计算结果!BI13+计算结果!BJ13)</f>
        <v/>
      </c>
      <c r="H13" s="50" t="str">
        <f>IF($A13="","",计算结果!BK13)</f>
        <v/>
      </c>
    </row>
    <row r="14" spans="1:8">
      <c r="A14" s="40" t="str">
        <f>IF(OR(OR(IFERROR(FIND("交行",基本信息!BS14),0)&gt;0,IFERROR(FIND("交通银行",基本信息!BS14),0)&gt;0),计算结果!BT14=0),"",基本信息!BR14)</f>
        <v/>
      </c>
      <c r="B14" s="40" t="str">
        <f>IF($A14="","",基本信息!BQ14)</f>
        <v/>
      </c>
      <c r="C14" s="50" t="str">
        <f>IF($A14="","",计算结果!BT14-G14-H14)</f>
        <v/>
      </c>
      <c r="D14" s="40" t="str">
        <f>IF($A14="","",基本信息!BS14)</f>
        <v/>
      </c>
      <c r="F14" s="40" t="str">
        <f>IF($A14="","",基本信息!A14)</f>
        <v/>
      </c>
      <c r="G14" s="50" t="str">
        <f>IF($A14="","",计算结果!BI14+计算结果!BJ14)</f>
        <v/>
      </c>
      <c r="H14" s="50" t="str">
        <f>IF($A14="","",计算结果!BK14)</f>
        <v/>
      </c>
    </row>
    <row r="15" spans="1:8">
      <c r="A15" s="40" t="str">
        <f>IF(OR(OR(IFERROR(FIND("交行",基本信息!BS15),0)&gt;0,IFERROR(FIND("交通银行",基本信息!BS15),0)&gt;0),计算结果!BT15=0),"",基本信息!BR15)</f>
        <v/>
      </c>
      <c r="B15" s="40" t="str">
        <f>IF($A15="","",基本信息!BQ15)</f>
        <v/>
      </c>
      <c r="C15" s="50" t="str">
        <f>IF($A15="","",计算结果!BT15-G15-H15)</f>
        <v/>
      </c>
      <c r="D15" s="40" t="str">
        <f>IF($A15="","",基本信息!BS15)</f>
        <v/>
      </c>
      <c r="F15" s="40" t="str">
        <f>IF($A15="","",基本信息!A15)</f>
        <v/>
      </c>
      <c r="G15" s="50" t="str">
        <f>IF($A15="","",计算结果!BI15+计算结果!BJ15)</f>
        <v/>
      </c>
      <c r="H15" s="50" t="str">
        <f>IF($A15="","",计算结果!BK15)</f>
        <v/>
      </c>
    </row>
    <row r="16" spans="1:8">
      <c r="A16" s="40" t="str">
        <f>IF(OR(OR(IFERROR(FIND("交行",基本信息!BS16),0)&gt;0,IFERROR(FIND("交通银行",基本信息!BS16),0)&gt;0),计算结果!BT16=0),"",基本信息!BR16)</f>
        <v/>
      </c>
      <c r="B16" s="40" t="str">
        <f>IF($A16="","",基本信息!BQ16)</f>
        <v/>
      </c>
      <c r="C16" s="50" t="str">
        <f>IF($A16="","",计算结果!BT16-G16-H16)</f>
        <v/>
      </c>
      <c r="D16" s="40" t="str">
        <f>IF($A16="","",基本信息!BS16)</f>
        <v/>
      </c>
      <c r="F16" s="40" t="str">
        <f>IF($A16="","",基本信息!A16)</f>
        <v/>
      </c>
      <c r="G16" s="50" t="str">
        <f>IF($A16="","",计算结果!BI16+计算结果!BJ16)</f>
        <v/>
      </c>
      <c r="H16" s="50" t="str">
        <f>IF($A16="","",计算结果!BK16)</f>
        <v/>
      </c>
    </row>
    <row r="17" spans="1:8">
      <c r="A17" s="40" t="str">
        <f>IF(OR(OR(IFERROR(FIND("交行",基本信息!BS17),0)&gt;0,IFERROR(FIND("交通银行",基本信息!BS17),0)&gt;0),计算结果!BT17=0),"",基本信息!BR17)</f>
        <v/>
      </c>
      <c r="B17" s="40" t="str">
        <f>IF($A17="","",基本信息!BQ17)</f>
        <v/>
      </c>
      <c r="C17" s="50" t="str">
        <f>IF($A17="","",计算结果!BT17-G17-H17)</f>
        <v/>
      </c>
      <c r="D17" s="40" t="str">
        <f>IF($A17="","",基本信息!BS17)</f>
        <v/>
      </c>
      <c r="F17" s="40" t="str">
        <f>IF($A17="","",基本信息!A17)</f>
        <v/>
      </c>
      <c r="G17" s="50" t="str">
        <f>IF($A17="","",计算结果!BI17+计算结果!BJ17)</f>
        <v/>
      </c>
      <c r="H17" s="50" t="str">
        <f>IF($A17="","",计算结果!BK17)</f>
        <v/>
      </c>
    </row>
    <row r="18" spans="1:8">
      <c r="A18" s="40" t="str">
        <f>IF(OR(OR(IFERROR(FIND("交行",基本信息!BS18),0)&gt;0,IFERROR(FIND("交通银行",基本信息!BS18),0)&gt;0),计算结果!BT18=0),"",基本信息!BR18)</f>
        <v/>
      </c>
      <c r="B18" s="40" t="str">
        <f>IF($A18="","",基本信息!BQ18)</f>
        <v/>
      </c>
      <c r="C18" s="50" t="str">
        <f>IF($A18="","",计算结果!BT18-G18-H18)</f>
        <v/>
      </c>
      <c r="D18" s="40" t="str">
        <f>IF($A18="","",基本信息!BS18)</f>
        <v/>
      </c>
      <c r="F18" s="40" t="str">
        <f>IF($A18="","",基本信息!A18)</f>
        <v/>
      </c>
      <c r="G18" s="50" t="str">
        <f>IF($A18="","",计算结果!BI18+计算结果!BJ18)</f>
        <v/>
      </c>
      <c r="H18" s="50" t="str">
        <f>IF($A18="","",计算结果!BK18)</f>
        <v/>
      </c>
    </row>
    <row r="19" spans="1:8">
      <c r="A19" s="40" t="str">
        <f>IF(OR(OR(IFERROR(FIND("交行",基本信息!BS19),0)&gt;0,IFERROR(FIND("交通银行",基本信息!BS19),0)&gt;0),计算结果!BT19=0),"",基本信息!BR19)</f>
        <v/>
      </c>
      <c r="B19" s="40" t="str">
        <f>IF($A19="","",基本信息!BQ19)</f>
        <v/>
      </c>
      <c r="C19" s="50" t="str">
        <f>IF($A19="","",计算结果!BT19-G19-H19)</f>
        <v/>
      </c>
      <c r="D19" s="40" t="str">
        <f>IF($A19="","",基本信息!BS19)</f>
        <v/>
      </c>
      <c r="F19" s="40" t="str">
        <f>IF($A19="","",基本信息!A19)</f>
        <v/>
      </c>
      <c r="G19" s="50" t="str">
        <f>IF($A19="","",计算结果!BI19+计算结果!BJ19)</f>
        <v/>
      </c>
      <c r="H19" s="50" t="str">
        <f>IF($A19="","",计算结果!BK19)</f>
        <v/>
      </c>
    </row>
    <row r="20" spans="1:8">
      <c r="A20" s="40" t="str">
        <f>IF(OR(OR(IFERROR(FIND("交行",基本信息!BS20),0)&gt;0,IFERROR(FIND("交通银行",基本信息!BS20),0)&gt;0),计算结果!BT20=0),"",基本信息!BR20)</f>
        <v/>
      </c>
      <c r="B20" s="40" t="str">
        <f>IF($A20="","",基本信息!BQ20)</f>
        <v/>
      </c>
      <c r="C20" s="50" t="str">
        <f>IF($A20="","",计算结果!BT20-G20-H20)</f>
        <v/>
      </c>
      <c r="D20" s="40" t="str">
        <f>IF($A20="","",基本信息!BS20)</f>
        <v/>
      </c>
      <c r="F20" s="40" t="str">
        <f>IF($A20="","",基本信息!A20)</f>
        <v/>
      </c>
      <c r="G20" s="50" t="str">
        <f>IF($A20="","",计算结果!BI20+计算结果!BJ20)</f>
        <v/>
      </c>
      <c r="H20" s="50" t="str">
        <f>IF($A20="","",计算结果!BK20)</f>
        <v/>
      </c>
    </row>
    <row r="21" spans="1:8">
      <c r="A21" s="40" t="str">
        <f>IF(OR(OR(IFERROR(FIND("交行",基本信息!BS21),0)&gt;0,IFERROR(FIND("交通银行",基本信息!BS21),0)&gt;0),计算结果!BT21=0),"",基本信息!BR21)</f>
        <v/>
      </c>
      <c r="B21" s="40" t="str">
        <f>IF($A21="","",基本信息!BQ21)</f>
        <v/>
      </c>
      <c r="C21" s="50" t="str">
        <f>IF($A21="","",计算结果!BT21-G21-H21)</f>
        <v/>
      </c>
      <c r="D21" s="40" t="str">
        <f>IF($A21="","",基本信息!BS21)</f>
        <v/>
      </c>
      <c r="F21" s="40" t="str">
        <f>IF($A21="","",基本信息!A21)</f>
        <v/>
      </c>
      <c r="G21" s="50" t="str">
        <f>IF($A21="","",计算结果!BI21+计算结果!BJ21)</f>
        <v/>
      </c>
      <c r="H21" s="50" t="str">
        <f>IF($A21="","",计算结果!BK21)</f>
        <v/>
      </c>
    </row>
    <row r="22" spans="1:8">
      <c r="A22" s="40" t="str">
        <f>IF(OR(OR(IFERROR(FIND("交行",基本信息!BS22),0)&gt;0,IFERROR(FIND("交通银行",基本信息!BS22),0)&gt;0),计算结果!BT22=0),"",基本信息!BR22)</f>
        <v/>
      </c>
      <c r="B22" s="40" t="str">
        <f>IF($A22="","",基本信息!BQ22)</f>
        <v/>
      </c>
      <c r="C22" s="50" t="str">
        <f>IF($A22="","",计算结果!BT22-G22-H22)</f>
        <v/>
      </c>
      <c r="D22" s="40" t="str">
        <f>IF($A22="","",基本信息!BS22)</f>
        <v/>
      </c>
      <c r="F22" s="40" t="str">
        <f>IF($A22="","",基本信息!A22)</f>
        <v/>
      </c>
      <c r="G22" s="50" t="str">
        <f>IF($A22="","",计算结果!BI22+计算结果!BJ22)</f>
        <v/>
      </c>
      <c r="H22" s="50" t="str">
        <f>IF($A22="","",计算结果!BK22)</f>
        <v/>
      </c>
    </row>
    <row r="23" spans="1:8">
      <c r="A23" s="40" t="str">
        <f>IF(OR(OR(IFERROR(FIND("交行",基本信息!BS23),0)&gt;0,IFERROR(FIND("交通银行",基本信息!BS23),0)&gt;0),计算结果!BT23=0),"",基本信息!BR23)</f>
        <v/>
      </c>
      <c r="B23" s="40" t="str">
        <f>IF($A23="","",基本信息!BQ23)</f>
        <v/>
      </c>
      <c r="C23" s="50" t="str">
        <f>IF($A23="","",计算结果!BT23-G23-H23)</f>
        <v/>
      </c>
      <c r="D23" s="40" t="str">
        <f>IF($A23="","",基本信息!BS23)</f>
        <v/>
      </c>
      <c r="F23" s="40" t="str">
        <f>IF($A23="","",基本信息!A23)</f>
        <v/>
      </c>
      <c r="G23" s="50" t="str">
        <f>IF($A23="","",计算结果!BI23+计算结果!BJ23)</f>
        <v/>
      </c>
      <c r="H23" s="50" t="str">
        <f>IF($A23="","",计算结果!BK23)</f>
        <v/>
      </c>
    </row>
    <row r="24" spans="1:8">
      <c r="A24" s="40" t="str">
        <f>IF(OR(OR(IFERROR(FIND("交行",基本信息!BS24),0)&gt;0,IFERROR(FIND("交通银行",基本信息!BS24),0)&gt;0),计算结果!BT24=0),"",基本信息!BR24)</f>
        <v/>
      </c>
      <c r="B24" s="40" t="str">
        <f>IF($A24="","",基本信息!BQ24)</f>
        <v/>
      </c>
      <c r="C24" s="50" t="str">
        <f>IF($A24="","",计算结果!BT24-G24-H24)</f>
        <v/>
      </c>
      <c r="D24" s="40" t="str">
        <f>IF($A24="","",基本信息!BS24)</f>
        <v/>
      </c>
      <c r="F24" s="40" t="str">
        <f>IF($A24="","",基本信息!A24)</f>
        <v/>
      </c>
      <c r="G24" s="50" t="str">
        <f>IF($A24="","",计算结果!BI24+计算结果!BJ24)</f>
        <v/>
      </c>
      <c r="H24" s="50" t="str">
        <f>IF($A24="","",计算结果!BK24)</f>
        <v/>
      </c>
    </row>
    <row r="25" spans="1:8">
      <c r="A25" s="40" t="str">
        <f>IF(OR(OR(IFERROR(FIND("交行",基本信息!BS25),0)&gt;0,IFERROR(FIND("交通银行",基本信息!BS25),0)&gt;0),计算结果!BT25=0),"",基本信息!BR25)</f>
        <v/>
      </c>
      <c r="B25" s="40" t="str">
        <f>IF($A25="","",基本信息!BQ25)</f>
        <v/>
      </c>
      <c r="C25" s="50" t="str">
        <f>IF($A25="","",计算结果!BT25-G25-H25)</f>
        <v/>
      </c>
      <c r="D25" s="40" t="str">
        <f>IF($A25="","",基本信息!BS25)</f>
        <v/>
      </c>
      <c r="F25" s="40" t="str">
        <f>IF($A25="","",基本信息!A25)</f>
        <v/>
      </c>
      <c r="G25" s="50" t="str">
        <f>IF($A25="","",计算结果!BI25+计算结果!BJ25)</f>
        <v/>
      </c>
      <c r="H25" s="50" t="str">
        <f>IF($A25="","",计算结果!BK25)</f>
        <v/>
      </c>
    </row>
    <row r="26" spans="1:8">
      <c r="A26" s="40" t="str">
        <f>IF(OR(OR(IFERROR(FIND("交行",基本信息!BS26),0)&gt;0,IFERROR(FIND("交通银行",基本信息!BS26),0)&gt;0),计算结果!BT26=0),"",基本信息!BR26)</f>
        <v/>
      </c>
      <c r="B26" s="40" t="str">
        <f>IF($A26="","",基本信息!BQ26)</f>
        <v/>
      </c>
      <c r="C26" s="50" t="str">
        <f>IF($A26="","",计算结果!BT26-G26-H26)</f>
        <v/>
      </c>
      <c r="D26" s="40" t="str">
        <f>IF($A26="","",基本信息!BS26)</f>
        <v/>
      </c>
      <c r="F26" s="40" t="str">
        <f>IF($A26="","",基本信息!A26)</f>
        <v/>
      </c>
      <c r="G26" s="50" t="str">
        <f>IF($A26="","",计算结果!BI26+计算结果!BJ26)</f>
        <v/>
      </c>
      <c r="H26" s="50" t="str">
        <f>IF($A26="","",计算结果!BK26)</f>
        <v/>
      </c>
    </row>
    <row r="27" spans="1:8">
      <c r="A27" s="40" t="str">
        <f>IF(OR(OR(IFERROR(FIND("交行",基本信息!BS27),0)&gt;0,IFERROR(FIND("交通银行",基本信息!BS27),0)&gt;0),计算结果!BT27=0),"",基本信息!BR27)</f>
        <v/>
      </c>
      <c r="B27" s="40" t="str">
        <f>IF($A27="","",基本信息!BQ27)</f>
        <v/>
      </c>
      <c r="C27" s="50" t="str">
        <f>IF($A27="","",计算结果!BT27-G27-H27)</f>
        <v/>
      </c>
      <c r="D27" s="40" t="str">
        <f>IF($A27="","",基本信息!BS27)</f>
        <v/>
      </c>
      <c r="F27" s="40" t="str">
        <f>IF($A27="","",基本信息!A27)</f>
        <v/>
      </c>
      <c r="G27" s="50" t="str">
        <f>IF($A27="","",计算结果!BI27+计算结果!BJ27)</f>
        <v/>
      </c>
      <c r="H27" s="50" t="str">
        <f>IF($A27="","",计算结果!BK27)</f>
        <v/>
      </c>
    </row>
    <row r="28" spans="1:8">
      <c r="A28" s="40" t="str">
        <f>IF(OR(OR(IFERROR(FIND("交行",基本信息!BS28),0)&gt;0,IFERROR(FIND("交通银行",基本信息!BS28),0)&gt;0),计算结果!BT28=0),"",基本信息!BR28)</f>
        <v/>
      </c>
      <c r="B28" s="40" t="str">
        <f>IF($A28="","",基本信息!BQ28)</f>
        <v/>
      </c>
      <c r="C28" s="50" t="str">
        <f>IF($A28="","",计算结果!BT28-G28-H28)</f>
        <v/>
      </c>
      <c r="D28" s="40" t="str">
        <f>IF($A28="","",基本信息!BS28)</f>
        <v/>
      </c>
      <c r="F28" s="40" t="str">
        <f>IF($A28="","",基本信息!A28)</f>
        <v/>
      </c>
      <c r="G28" s="50" t="str">
        <f>IF($A28="","",计算结果!BI28+计算结果!BJ28)</f>
        <v/>
      </c>
      <c r="H28" s="50" t="str">
        <f>IF($A28="","",计算结果!BK28)</f>
        <v/>
      </c>
    </row>
    <row r="29" spans="1:8">
      <c r="A29" s="40" t="str">
        <f>IF(OR(OR(IFERROR(FIND("交行",基本信息!BS29),0)&gt;0,IFERROR(FIND("交通银行",基本信息!BS29),0)&gt;0),计算结果!BT29=0),"",基本信息!BR29)</f>
        <v/>
      </c>
      <c r="B29" s="40" t="str">
        <f>IF($A29="","",基本信息!BQ29)</f>
        <v/>
      </c>
      <c r="C29" s="50" t="str">
        <f>IF($A29="","",计算结果!BT29-G29-H29)</f>
        <v/>
      </c>
      <c r="D29" s="40" t="str">
        <f>IF($A29="","",基本信息!BS29)</f>
        <v/>
      </c>
      <c r="F29" s="40" t="str">
        <f>IF($A29="","",基本信息!A29)</f>
        <v/>
      </c>
      <c r="G29" s="50" t="str">
        <f>IF($A29="","",计算结果!BI29+计算结果!BJ29)</f>
        <v/>
      </c>
      <c r="H29" s="50" t="str">
        <f>IF($A29="","",计算结果!BK29)</f>
        <v/>
      </c>
    </row>
    <row r="30" spans="1:8">
      <c r="A30" s="40" t="str">
        <f>IF(OR(OR(IFERROR(FIND("交行",基本信息!BS30),0)&gt;0,IFERROR(FIND("交通银行",基本信息!BS30),0)&gt;0),计算结果!BT30=0),"",基本信息!BR30)</f>
        <v/>
      </c>
      <c r="B30" s="40" t="str">
        <f>IF($A30="","",基本信息!BQ30)</f>
        <v/>
      </c>
      <c r="C30" s="50" t="str">
        <f>IF($A30="","",计算结果!BT30-G30-H30)</f>
        <v/>
      </c>
      <c r="D30" s="40" t="str">
        <f>IF($A30="","",基本信息!BS30)</f>
        <v/>
      </c>
      <c r="F30" s="40" t="str">
        <f>IF($A30="","",基本信息!A30)</f>
        <v/>
      </c>
      <c r="G30" s="50" t="str">
        <f>IF($A30="","",计算结果!BI30+计算结果!BJ30)</f>
        <v/>
      </c>
      <c r="H30" s="50" t="str">
        <f>IF($A30="","",计算结果!BK30)</f>
        <v/>
      </c>
    </row>
    <row r="31" spans="1:8">
      <c r="A31" s="40" t="str">
        <f>IF(OR(OR(IFERROR(FIND("交行",基本信息!BS31),0)&gt;0,IFERROR(FIND("交通银行",基本信息!BS31),0)&gt;0),计算结果!BT31=0),"",基本信息!BR31)</f>
        <v/>
      </c>
      <c r="B31" s="40" t="str">
        <f>IF($A31="","",基本信息!BQ31)</f>
        <v/>
      </c>
      <c r="C31" s="50" t="str">
        <f>IF($A31="","",计算结果!BT31-G31-H31)</f>
        <v/>
      </c>
      <c r="D31" s="40" t="str">
        <f>IF($A31="","",基本信息!BS31)</f>
        <v/>
      </c>
      <c r="F31" s="40" t="str">
        <f>IF($A31="","",基本信息!A31)</f>
        <v/>
      </c>
      <c r="G31" s="50" t="str">
        <f>IF($A31="","",计算结果!BI31+计算结果!BJ31)</f>
        <v/>
      </c>
      <c r="H31" s="50" t="str">
        <f>IF($A31="","",计算结果!BK31)</f>
        <v/>
      </c>
    </row>
    <row r="32" spans="1:8">
      <c r="A32" s="40" t="str">
        <f>IF(OR(OR(IFERROR(FIND("交行",基本信息!BS32),0)&gt;0,IFERROR(FIND("交通银行",基本信息!BS32),0)&gt;0),计算结果!BT32=0),"",基本信息!BR32)</f>
        <v/>
      </c>
      <c r="B32" s="40" t="str">
        <f>IF($A32="","",基本信息!BQ32)</f>
        <v/>
      </c>
      <c r="C32" s="50" t="str">
        <f>IF($A32="","",计算结果!BT32-G32-H32)</f>
        <v/>
      </c>
      <c r="D32" s="40" t="str">
        <f>IF($A32="","",基本信息!BS32)</f>
        <v/>
      </c>
      <c r="F32" s="40" t="str">
        <f>IF($A32="","",基本信息!A32)</f>
        <v/>
      </c>
      <c r="G32" s="50" t="str">
        <f>IF($A32="","",计算结果!BI32+计算结果!BJ32)</f>
        <v/>
      </c>
      <c r="H32" s="50" t="str">
        <f>IF($A32="","",计算结果!BK32)</f>
        <v/>
      </c>
    </row>
    <row r="33" spans="1:8">
      <c r="A33" s="40" t="str">
        <f>IF(OR(OR(IFERROR(FIND("交行",基本信息!BS33),0)&gt;0,IFERROR(FIND("交通银行",基本信息!BS33),0)&gt;0),计算结果!BT33=0),"",基本信息!BR33)</f>
        <v/>
      </c>
      <c r="B33" s="40" t="str">
        <f>IF($A33="","",基本信息!BQ33)</f>
        <v/>
      </c>
      <c r="C33" s="50" t="str">
        <f>IF($A33="","",计算结果!BT33-G33-H33)</f>
        <v/>
      </c>
      <c r="D33" s="40" t="str">
        <f>IF($A33="","",基本信息!BS33)</f>
        <v/>
      </c>
      <c r="F33" s="40" t="str">
        <f>IF($A33="","",基本信息!A33)</f>
        <v/>
      </c>
      <c r="G33" s="50" t="str">
        <f>IF($A33="","",计算结果!BI33+计算结果!BJ33)</f>
        <v/>
      </c>
      <c r="H33" s="50" t="str">
        <f>IF($A33="","",计算结果!BK33)</f>
        <v/>
      </c>
    </row>
    <row r="34" spans="1:8">
      <c r="A34" s="40" t="str">
        <f>IF(OR(OR(IFERROR(FIND("交行",基本信息!BS34),0)&gt;0,IFERROR(FIND("交通银行",基本信息!BS34),0)&gt;0),计算结果!BT34=0),"",基本信息!BR34)</f>
        <v/>
      </c>
      <c r="B34" s="40" t="str">
        <f>IF($A34="","",基本信息!BQ34)</f>
        <v/>
      </c>
      <c r="C34" s="50" t="str">
        <f>IF($A34="","",计算结果!BT34-G34-H34)</f>
        <v/>
      </c>
      <c r="D34" s="40" t="str">
        <f>IF($A34="","",基本信息!BS34)</f>
        <v/>
      </c>
      <c r="F34" s="40" t="str">
        <f>IF($A34="","",基本信息!A34)</f>
        <v/>
      </c>
      <c r="G34" s="50" t="str">
        <f>IF($A34="","",计算结果!BI34+计算结果!BJ34)</f>
        <v/>
      </c>
      <c r="H34" s="50" t="str">
        <f>IF($A34="","",计算结果!BK34)</f>
        <v/>
      </c>
    </row>
    <row r="35" spans="1:8">
      <c r="A35" s="40" t="str">
        <f>IF(OR(OR(IFERROR(FIND("交行",基本信息!BS35),0)&gt;0,IFERROR(FIND("交通银行",基本信息!BS35),0)&gt;0),计算结果!BT35=0),"",基本信息!BR35)</f>
        <v/>
      </c>
      <c r="B35" s="40" t="str">
        <f>IF($A35="","",基本信息!BQ35)</f>
        <v/>
      </c>
      <c r="C35" s="50" t="str">
        <f>IF($A35="","",计算结果!BT35-G35-H35)</f>
        <v/>
      </c>
      <c r="D35" s="40" t="str">
        <f>IF($A35="","",基本信息!BS35)</f>
        <v/>
      </c>
      <c r="F35" s="40" t="str">
        <f>IF($A35="","",基本信息!A35)</f>
        <v/>
      </c>
      <c r="G35" s="50" t="str">
        <f>IF($A35="","",计算结果!BI35+计算结果!BJ35)</f>
        <v/>
      </c>
      <c r="H35" s="50" t="str">
        <f>IF($A35="","",计算结果!BK35)</f>
        <v/>
      </c>
    </row>
    <row r="36" spans="1:8">
      <c r="A36" s="40" t="str">
        <f>IF(OR(OR(IFERROR(FIND("交行",基本信息!BS36),0)&gt;0,IFERROR(FIND("交通银行",基本信息!BS36),0)&gt;0),计算结果!BT36=0),"",基本信息!BR36)</f>
        <v/>
      </c>
      <c r="B36" s="40" t="str">
        <f>IF($A36="","",基本信息!BQ36)</f>
        <v/>
      </c>
      <c r="C36" s="50" t="str">
        <f>IF($A36="","",计算结果!BT36-G36-H36)</f>
        <v/>
      </c>
      <c r="D36" s="40" t="str">
        <f>IF($A36="","",基本信息!BS36)</f>
        <v/>
      </c>
      <c r="F36" s="40" t="str">
        <f>IF($A36="","",基本信息!A36)</f>
        <v/>
      </c>
      <c r="G36" s="50" t="str">
        <f>IF($A36="","",计算结果!BI36+计算结果!BJ36)</f>
        <v/>
      </c>
      <c r="H36" s="50" t="str">
        <f>IF($A36="","",计算结果!BK36)</f>
        <v/>
      </c>
    </row>
    <row r="37" spans="1:8">
      <c r="A37" s="40" t="str">
        <f>IF(OR(OR(IFERROR(FIND("交行",基本信息!BS37),0)&gt;0,IFERROR(FIND("交通银行",基本信息!BS37),0)&gt;0),计算结果!BT37=0),"",基本信息!BR37)</f>
        <v/>
      </c>
      <c r="B37" s="40" t="str">
        <f>IF($A37="","",基本信息!BQ37)</f>
        <v/>
      </c>
      <c r="C37" s="50" t="str">
        <f>IF($A37="","",计算结果!BT37-G37-H37)</f>
        <v/>
      </c>
      <c r="D37" s="40" t="str">
        <f>IF($A37="","",基本信息!BS37)</f>
        <v/>
      </c>
      <c r="F37" s="40" t="str">
        <f>IF($A37="","",基本信息!A37)</f>
        <v/>
      </c>
      <c r="G37" s="50" t="str">
        <f>IF($A37="","",计算结果!BI37+计算结果!BJ37)</f>
        <v/>
      </c>
      <c r="H37" s="50" t="str">
        <f>IF($A37="","",计算结果!BK37)</f>
        <v/>
      </c>
    </row>
    <row r="38" spans="1:8">
      <c r="A38" s="40" t="str">
        <f>IF(OR(OR(IFERROR(FIND("交行",基本信息!BS38),0)&gt;0,IFERROR(FIND("交通银行",基本信息!BS38),0)&gt;0),计算结果!BT38=0),"",基本信息!BR38)</f>
        <v/>
      </c>
      <c r="B38" s="40" t="str">
        <f>IF($A38="","",基本信息!BQ38)</f>
        <v/>
      </c>
      <c r="C38" s="50" t="str">
        <f>IF($A38="","",计算结果!BT38-G38-H38)</f>
        <v/>
      </c>
      <c r="D38" s="40" t="str">
        <f>IF($A38="","",基本信息!BS38)</f>
        <v/>
      </c>
      <c r="F38" s="40" t="str">
        <f>IF($A38="","",基本信息!A38)</f>
        <v/>
      </c>
      <c r="G38" s="50" t="str">
        <f>IF($A38="","",计算结果!BI38+计算结果!BJ38)</f>
        <v/>
      </c>
      <c r="H38" s="50" t="str">
        <f>IF($A38="","",计算结果!BK38)</f>
        <v/>
      </c>
    </row>
    <row r="39" spans="1:8">
      <c r="A39" s="40" t="str">
        <f>IF(OR(OR(IFERROR(FIND("交行",基本信息!BS39),0)&gt;0,IFERROR(FIND("交通银行",基本信息!BS39),0)&gt;0),计算结果!BT39=0),"",基本信息!BR39)</f>
        <v/>
      </c>
      <c r="B39" s="40" t="str">
        <f>IF($A39="","",基本信息!BQ39)</f>
        <v/>
      </c>
      <c r="C39" s="50" t="str">
        <f>IF($A39="","",计算结果!BT39-G39-H39)</f>
        <v/>
      </c>
      <c r="D39" s="40" t="str">
        <f>IF($A39="","",基本信息!BS39)</f>
        <v/>
      </c>
      <c r="F39" s="40" t="str">
        <f>IF($A39="","",基本信息!A39)</f>
        <v/>
      </c>
      <c r="G39" s="50" t="str">
        <f>IF($A39="","",计算结果!BI39+计算结果!BJ39)</f>
        <v/>
      </c>
      <c r="H39" s="50" t="str">
        <f>IF($A39="","",计算结果!BK39)</f>
        <v/>
      </c>
    </row>
    <row r="40" spans="1:8">
      <c r="A40" s="40" t="str">
        <f>IF(OR(OR(IFERROR(FIND("交行",基本信息!BS40),0)&gt;0,IFERROR(FIND("交通银行",基本信息!BS40),0)&gt;0),计算结果!BT40=0),"",基本信息!BR40)</f>
        <v/>
      </c>
      <c r="B40" s="40" t="str">
        <f>IF($A40="","",基本信息!BQ40)</f>
        <v/>
      </c>
      <c r="C40" s="50" t="str">
        <f>IF($A40="","",计算结果!BT40-G40-H40)</f>
        <v/>
      </c>
      <c r="D40" s="40" t="str">
        <f>IF($A40="","",基本信息!BS40)</f>
        <v/>
      </c>
      <c r="F40" s="40" t="str">
        <f>IF($A40="","",基本信息!A40)</f>
        <v/>
      </c>
      <c r="G40" s="50" t="str">
        <f>IF($A40="","",计算结果!BI40+计算结果!BJ40)</f>
        <v/>
      </c>
      <c r="H40" s="50" t="str">
        <f>IF($A40="","",计算结果!BK40)</f>
        <v/>
      </c>
    </row>
    <row r="41" spans="1:8">
      <c r="A41" s="40" t="str">
        <f>IF(OR(OR(IFERROR(FIND("交行",基本信息!BS41),0)&gt;0,IFERROR(FIND("交通银行",基本信息!BS41),0)&gt;0),计算结果!BT41=0),"",基本信息!BR41)</f>
        <v/>
      </c>
      <c r="B41" s="40" t="str">
        <f>IF($A41="","",基本信息!BQ41)</f>
        <v/>
      </c>
      <c r="C41" s="50" t="str">
        <f>IF($A41="","",计算结果!BT41-G41-H41)</f>
        <v/>
      </c>
      <c r="D41" s="40" t="str">
        <f>IF($A41="","",基本信息!BS41)</f>
        <v/>
      </c>
      <c r="F41" s="40" t="str">
        <f>IF($A41="","",基本信息!A41)</f>
        <v/>
      </c>
      <c r="G41" s="50" t="str">
        <f>IF($A41="","",计算结果!BI41+计算结果!BJ41)</f>
        <v/>
      </c>
      <c r="H41" s="50" t="str">
        <f>IF($A41="","",计算结果!BK41)</f>
        <v/>
      </c>
    </row>
    <row r="42" spans="1:8">
      <c r="A42" s="40" t="str">
        <f>IF(OR(OR(IFERROR(FIND("交行",基本信息!BS42),0)&gt;0,IFERROR(FIND("交通银行",基本信息!BS42),0)&gt;0),计算结果!BT42=0),"",基本信息!BR42)</f>
        <v/>
      </c>
      <c r="B42" s="40" t="str">
        <f>IF($A42="","",基本信息!BQ42)</f>
        <v/>
      </c>
      <c r="C42" s="50" t="str">
        <f>IF($A42="","",计算结果!BT42-G42-H42)</f>
        <v/>
      </c>
      <c r="D42" s="40" t="str">
        <f>IF($A42="","",基本信息!BS42)</f>
        <v/>
      </c>
      <c r="F42" s="40" t="str">
        <f>IF($A42="","",基本信息!A42)</f>
        <v/>
      </c>
      <c r="G42" s="50" t="str">
        <f>IF($A42="","",计算结果!BI42+计算结果!BJ42)</f>
        <v/>
      </c>
      <c r="H42" s="50" t="str">
        <f>IF($A42="","",计算结果!BK42)</f>
        <v/>
      </c>
    </row>
    <row r="43" spans="1:8">
      <c r="A43" s="40" t="str">
        <f>IF(OR(OR(IFERROR(FIND("交行",基本信息!BS43),0)&gt;0,IFERROR(FIND("交通银行",基本信息!BS43),0)&gt;0),计算结果!BT43=0),"",基本信息!BR43)</f>
        <v/>
      </c>
      <c r="B43" s="40" t="str">
        <f>IF($A43="","",基本信息!BQ43)</f>
        <v/>
      </c>
      <c r="C43" s="50" t="str">
        <f>IF($A43="","",计算结果!BT43-G43-H43)</f>
        <v/>
      </c>
      <c r="D43" s="40" t="str">
        <f>IF($A43="","",基本信息!BS43)</f>
        <v/>
      </c>
      <c r="F43" s="40" t="str">
        <f>IF($A43="","",基本信息!A43)</f>
        <v/>
      </c>
      <c r="G43" s="50" t="str">
        <f>IF($A43="","",计算结果!BI43+计算结果!BJ43)</f>
        <v/>
      </c>
      <c r="H43" s="50" t="str">
        <f>IF($A43="","",计算结果!BK43)</f>
        <v/>
      </c>
    </row>
    <row r="44" spans="1:8">
      <c r="A44" s="40" t="str">
        <f>IF(OR(OR(IFERROR(FIND("交行",基本信息!BS44),0)&gt;0,IFERROR(FIND("交通银行",基本信息!BS44),0)&gt;0),计算结果!BT44=0),"",基本信息!BR44)</f>
        <v/>
      </c>
      <c r="B44" s="40" t="str">
        <f>IF($A44="","",基本信息!BQ44)</f>
        <v/>
      </c>
      <c r="C44" s="50" t="str">
        <f>IF($A44="","",计算结果!BT44-G44-H44)</f>
        <v/>
      </c>
      <c r="D44" s="40" t="str">
        <f>IF($A44="","",基本信息!BS44)</f>
        <v/>
      </c>
      <c r="F44" s="40" t="str">
        <f>IF($A44="","",基本信息!A44)</f>
        <v/>
      </c>
      <c r="G44" s="50" t="str">
        <f>IF($A44="","",计算结果!BI44+计算结果!BJ44)</f>
        <v/>
      </c>
      <c r="H44" s="50" t="str">
        <f>IF($A44="","",计算结果!BK44)</f>
        <v/>
      </c>
    </row>
    <row r="45" spans="1:8">
      <c r="A45" s="40" t="str">
        <f>IF(OR(OR(IFERROR(FIND("交行",基本信息!BS45),0)&gt;0,IFERROR(FIND("交通银行",基本信息!BS45),0)&gt;0),计算结果!BT45=0),"",基本信息!BR45)</f>
        <v/>
      </c>
      <c r="B45" s="40" t="str">
        <f>IF($A45="","",基本信息!BQ45)</f>
        <v/>
      </c>
      <c r="C45" s="50" t="str">
        <f>IF($A45="","",计算结果!BT45-G45-H45)</f>
        <v/>
      </c>
      <c r="D45" s="40" t="str">
        <f>IF($A45="","",基本信息!BS45)</f>
        <v/>
      </c>
      <c r="F45" s="40" t="str">
        <f>IF($A45="","",基本信息!A45)</f>
        <v/>
      </c>
      <c r="G45" s="50" t="str">
        <f>IF($A45="","",计算结果!BI45+计算结果!BJ45)</f>
        <v/>
      </c>
      <c r="H45" s="50" t="str">
        <f>IF($A45="","",计算结果!BK45)</f>
        <v/>
      </c>
    </row>
    <row r="46" spans="1:8">
      <c r="A46" s="40" t="str">
        <f>IF(OR(OR(IFERROR(FIND("交行",基本信息!BS46),0)&gt;0,IFERROR(FIND("交通银行",基本信息!BS46),0)&gt;0),计算结果!BT46=0),"",基本信息!BR46)</f>
        <v/>
      </c>
      <c r="B46" s="40" t="str">
        <f>IF($A46="","",基本信息!BQ46)</f>
        <v/>
      </c>
      <c r="C46" s="50" t="str">
        <f>IF($A46="","",计算结果!BT46-G46-H46)</f>
        <v/>
      </c>
      <c r="D46" s="40" t="str">
        <f>IF($A46="","",基本信息!BS46)</f>
        <v/>
      </c>
      <c r="F46" s="40" t="str">
        <f>IF($A46="","",基本信息!A46)</f>
        <v/>
      </c>
      <c r="G46" s="50" t="str">
        <f>IF($A46="","",计算结果!BI46+计算结果!BJ46)</f>
        <v/>
      </c>
      <c r="H46" s="50" t="str">
        <f>IF($A46="","",计算结果!BK46)</f>
        <v/>
      </c>
    </row>
    <row r="47" spans="1:8">
      <c r="A47" s="40" t="str">
        <f>IF(OR(OR(IFERROR(FIND("交行",基本信息!BS47),0)&gt;0,IFERROR(FIND("交通银行",基本信息!BS47),0)&gt;0),计算结果!BT47=0),"",基本信息!BR47)</f>
        <v/>
      </c>
      <c r="B47" s="40" t="str">
        <f>IF($A47="","",基本信息!BQ47)</f>
        <v/>
      </c>
      <c r="C47" s="50" t="str">
        <f>IF($A47="","",计算结果!BT47-G47-H47)</f>
        <v/>
      </c>
      <c r="D47" s="40" t="str">
        <f>IF($A47="","",基本信息!BS47)</f>
        <v/>
      </c>
      <c r="F47" s="40" t="str">
        <f>IF($A47="","",基本信息!A47)</f>
        <v/>
      </c>
      <c r="G47" s="50" t="str">
        <f>IF($A47="","",计算结果!BI47+计算结果!BJ47)</f>
        <v/>
      </c>
      <c r="H47" s="50" t="str">
        <f>IF($A47="","",计算结果!BK47)</f>
        <v/>
      </c>
    </row>
    <row r="48" spans="1:8">
      <c r="A48" s="40" t="str">
        <f>IF(OR(OR(IFERROR(FIND("交行",基本信息!BS48),0)&gt;0,IFERROR(FIND("交通银行",基本信息!BS48),0)&gt;0),计算结果!BT48=0),"",基本信息!BR48)</f>
        <v/>
      </c>
      <c r="B48" s="40" t="str">
        <f>IF($A48="","",基本信息!BQ48)</f>
        <v/>
      </c>
      <c r="C48" s="50" t="str">
        <f>IF($A48="","",计算结果!BT48-G48-H48)</f>
        <v/>
      </c>
      <c r="D48" s="40" t="str">
        <f>IF($A48="","",基本信息!BS48)</f>
        <v/>
      </c>
      <c r="F48" s="40" t="str">
        <f>IF($A48="","",基本信息!A48)</f>
        <v/>
      </c>
      <c r="G48" s="50" t="str">
        <f>IF($A48="","",计算结果!BI48+计算结果!BJ48)</f>
        <v/>
      </c>
      <c r="H48" s="50" t="str">
        <f>IF($A48="","",计算结果!BK48)</f>
        <v/>
      </c>
    </row>
    <row r="49" spans="1:8">
      <c r="A49" s="40" t="str">
        <f>IF(OR(OR(IFERROR(FIND("交行",基本信息!BS49),0)&gt;0,IFERROR(FIND("交通银行",基本信息!BS49),0)&gt;0),计算结果!BT49=0),"",基本信息!BR49)</f>
        <v/>
      </c>
      <c r="B49" s="40" t="str">
        <f>IF($A49="","",基本信息!BQ49)</f>
        <v/>
      </c>
      <c r="C49" s="50" t="str">
        <f>IF($A49="","",计算结果!BT49-G49-H49)</f>
        <v/>
      </c>
      <c r="D49" s="40" t="str">
        <f>IF($A49="","",基本信息!BS49)</f>
        <v/>
      </c>
      <c r="F49" s="40" t="str">
        <f>IF($A49="","",基本信息!A49)</f>
        <v/>
      </c>
      <c r="G49" s="50" t="str">
        <f>IF($A49="","",计算结果!BI49+计算结果!BJ49)</f>
        <v/>
      </c>
      <c r="H49" s="50" t="str">
        <f>IF($A49="","",计算结果!BK49)</f>
        <v/>
      </c>
    </row>
    <row r="50" spans="1:8">
      <c r="A50" s="40" t="str">
        <f>IF(OR(OR(IFERROR(FIND("交行",基本信息!BS50),0)&gt;0,IFERROR(FIND("交通银行",基本信息!BS50),0)&gt;0),计算结果!BT50=0),"",基本信息!BR50)</f>
        <v/>
      </c>
      <c r="B50" s="40" t="str">
        <f>IF($A50="","",基本信息!BQ50)</f>
        <v/>
      </c>
      <c r="C50" s="50" t="str">
        <f>IF($A50="","",计算结果!BT50-G50-H50)</f>
        <v/>
      </c>
      <c r="D50" s="40" t="str">
        <f>IF($A50="","",基本信息!BS50)</f>
        <v/>
      </c>
      <c r="F50" s="40" t="str">
        <f>IF($A50="","",基本信息!A50)</f>
        <v/>
      </c>
      <c r="G50" s="50" t="str">
        <f>IF($A50="","",计算结果!BI50+计算结果!BJ50)</f>
        <v/>
      </c>
      <c r="H50" s="50" t="str">
        <f>IF($A50="","",计算结果!BK50)</f>
        <v/>
      </c>
    </row>
    <row r="51" spans="1:8">
      <c r="A51" s="40" t="str">
        <f>IF(OR(OR(IFERROR(FIND("交行",基本信息!BS51),0)&gt;0,IFERROR(FIND("交通银行",基本信息!BS51),0)&gt;0),计算结果!BT51=0),"",基本信息!BR51)</f>
        <v/>
      </c>
      <c r="B51" s="40" t="str">
        <f>IF($A51="","",基本信息!BQ51)</f>
        <v/>
      </c>
      <c r="C51" s="50" t="str">
        <f>IF($A51="","",计算结果!BT51-G51-H51)</f>
        <v/>
      </c>
      <c r="D51" s="40" t="str">
        <f>IF($A51="","",基本信息!BS51)</f>
        <v/>
      </c>
      <c r="F51" s="40" t="str">
        <f>IF($A51="","",基本信息!A51)</f>
        <v/>
      </c>
      <c r="G51" s="50" t="str">
        <f>IF($A51="","",计算结果!BI51+计算结果!BJ51)</f>
        <v/>
      </c>
      <c r="H51" s="50" t="str">
        <f>IF($A51="","",计算结果!BK51)</f>
        <v/>
      </c>
    </row>
    <row r="52" spans="1:8">
      <c r="A52" s="40" t="str">
        <f>IF(OR(OR(IFERROR(FIND("交行",基本信息!BS52),0)&gt;0,IFERROR(FIND("交通银行",基本信息!BS52),0)&gt;0),计算结果!BT52=0),"",基本信息!BR52)</f>
        <v/>
      </c>
      <c r="B52" s="40" t="str">
        <f>IF($A52="","",基本信息!BQ52)</f>
        <v/>
      </c>
      <c r="C52" s="50" t="str">
        <f>IF($A52="","",计算结果!BT52-G52-H52)</f>
        <v/>
      </c>
      <c r="D52" s="40" t="str">
        <f>IF($A52="","",基本信息!BS52)</f>
        <v/>
      </c>
      <c r="F52" s="40" t="str">
        <f>IF($A52="","",基本信息!A52)</f>
        <v/>
      </c>
      <c r="G52" s="50" t="str">
        <f>IF($A52="","",计算结果!BI52+计算结果!BJ52)</f>
        <v/>
      </c>
      <c r="H52" s="50" t="str">
        <f>IF($A52="","",计算结果!BK52)</f>
        <v/>
      </c>
    </row>
    <row r="53" spans="1:8">
      <c r="A53" s="40" t="str">
        <f>IF(OR(OR(IFERROR(FIND("交行",基本信息!BS53),0)&gt;0,IFERROR(FIND("交通银行",基本信息!BS53),0)&gt;0),计算结果!BT53=0),"",基本信息!BR53)</f>
        <v/>
      </c>
      <c r="B53" s="40" t="str">
        <f>IF($A53="","",基本信息!BQ53)</f>
        <v/>
      </c>
      <c r="C53" s="50" t="str">
        <f>IF($A53="","",计算结果!BT53-G53-H53)</f>
        <v/>
      </c>
      <c r="D53" s="40" t="str">
        <f>IF($A53="","",基本信息!BS53)</f>
        <v/>
      </c>
      <c r="F53" s="40" t="str">
        <f>IF($A53="","",基本信息!A53)</f>
        <v/>
      </c>
      <c r="G53" s="50" t="str">
        <f>IF($A53="","",计算结果!BI53+计算结果!BJ53)</f>
        <v/>
      </c>
      <c r="H53" s="50" t="str">
        <f>IF($A53="","",计算结果!BK53)</f>
        <v/>
      </c>
    </row>
    <row r="54" spans="1:8">
      <c r="A54" s="40" t="str">
        <f>IF(OR(OR(IFERROR(FIND("交行",基本信息!BS54),0)&gt;0,IFERROR(FIND("交通银行",基本信息!BS54),0)&gt;0),计算结果!BT54=0),"",基本信息!BR54)</f>
        <v/>
      </c>
      <c r="B54" s="40" t="str">
        <f>IF($A54="","",基本信息!BQ54)</f>
        <v/>
      </c>
      <c r="C54" s="50" t="str">
        <f>IF($A54="","",计算结果!BT54-G54-H54)</f>
        <v/>
      </c>
      <c r="D54" s="40" t="str">
        <f>IF($A54="","",基本信息!BS54)</f>
        <v/>
      </c>
      <c r="F54" s="40" t="str">
        <f>IF($A54="","",基本信息!A54)</f>
        <v/>
      </c>
      <c r="G54" s="50" t="str">
        <f>IF($A54="","",计算结果!BI54+计算结果!BJ54)</f>
        <v/>
      </c>
      <c r="H54" s="50" t="str">
        <f>IF($A54="","",计算结果!BK54)</f>
        <v/>
      </c>
    </row>
    <row r="55" spans="1:8">
      <c r="A55" s="40" t="str">
        <f>IF(OR(OR(IFERROR(FIND("交行",基本信息!BS55),0)&gt;0,IFERROR(FIND("交通银行",基本信息!BS55),0)&gt;0),计算结果!BT55=0),"",基本信息!BR55)</f>
        <v/>
      </c>
      <c r="B55" s="40" t="str">
        <f>IF($A55="","",基本信息!BQ55)</f>
        <v/>
      </c>
      <c r="C55" s="50" t="str">
        <f>IF($A55="","",计算结果!BT55-G55-H55)</f>
        <v/>
      </c>
      <c r="D55" s="40" t="str">
        <f>IF($A55="","",基本信息!BS55)</f>
        <v/>
      </c>
      <c r="F55" s="40" t="str">
        <f>IF($A55="","",基本信息!A55)</f>
        <v/>
      </c>
      <c r="G55" s="50" t="str">
        <f>IF($A55="","",计算结果!BI55+计算结果!BJ55)</f>
        <v/>
      </c>
      <c r="H55" s="50" t="str">
        <f>IF($A55="","",计算结果!BK55)</f>
        <v/>
      </c>
    </row>
    <row r="56" spans="1:8">
      <c r="A56" s="40" t="str">
        <f>IF(OR(OR(IFERROR(FIND("交行",基本信息!BS56),0)&gt;0,IFERROR(FIND("交通银行",基本信息!BS56),0)&gt;0),计算结果!BT56=0),"",基本信息!BR56)</f>
        <v/>
      </c>
      <c r="B56" s="40" t="str">
        <f>IF($A56="","",基本信息!BQ56)</f>
        <v/>
      </c>
      <c r="C56" s="50" t="str">
        <f>IF($A56="","",计算结果!BT56-G56-H56)</f>
        <v/>
      </c>
      <c r="D56" s="40" t="str">
        <f>IF($A56="","",基本信息!BS56)</f>
        <v/>
      </c>
      <c r="F56" s="40" t="str">
        <f>IF($A56="","",基本信息!A56)</f>
        <v/>
      </c>
      <c r="G56" s="50" t="str">
        <f>IF($A56="","",计算结果!BI56+计算结果!BJ56)</f>
        <v/>
      </c>
      <c r="H56" s="50" t="str">
        <f>IF($A56="","",计算结果!BK56)</f>
        <v/>
      </c>
    </row>
    <row r="57" spans="1:8">
      <c r="A57" s="40" t="str">
        <f>IF(OR(OR(IFERROR(FIND("交行",基本信息!BS57),0)&gt;0,IFERROR(FIND("交通银行",基本信息!BS57),0)&gt;0),计算结果!BT57=0),"",基本信息!BR57)</f>
        <v/>
      </c>
      <c r="B57" s="40" t="str">
        <f>IF($A57="","",基本信息!BQ57)</f>
        <v/>
      </c>
      <c r="C57" s="50" t="str">
        <f>IF($A57="","",计算结果!BT57-G57-H57)</f>
        <v/>
      </c>
      <c r="D57" s="40" t="str">
        <f>IF($A57="","",基本信息!BS57)</f>
        <v/>
      </c>
      <c r="F57" s="40" t="str">
        <f>IF($A57="","",基本信息!A57)</f>
        <v/>
      </c>
      <c r="G57" s="50" t="str">
        <f>IF($A57="","",计算结果!BI57+计算结果!BJ57)</f>
        <v/>
      </c>
      <c r="H57" s="50" t="str">
        <f>IF($A57="","",计算结果!BK57)</f>
        <v/>
      </c>
    </row>
    <row r="58" spans="1:8">
      <c r="A58" s="40" t="str">
        <f>IF(OR(OR(IFERROR(FIND("交行",基本信息!BS58),0)&gt;0,IFERROR(FIND("交通银行",基本信息!BS58),0)&gt;0),计算结果!BT58=0),"",基本信息!BR58)</f>
        <v/>
      </c>
      <c r="B58" s="40" t="str">
        <f>IF($A58="","",基本信息!BQ58)</f>
        <v/>
      </c>
      <c r="C58" s="50" t="str">
        <f>IF($A58="","",计算结果!BT58-G58-H58)</f>
        <v/>
      </c>
      <c r="D58" s="40" t="str">
        <f>IF($A58="","",基本信息!BS58)</f>
        <v/>
      </c>
      <c r="F58" s="40" t="str">
        <f>IF($A58="","",基本信息!A58)</f>
        <v/>
      </c>
      <c r="G58" s="50" t="str">
        <f>IF($A58="","",计算结果!BI58+计算结果!BJ58)</f>
        <v/>
      </c>
      <c r="H58" s="50" t="str">
        <f>IF($A58="","",计算结果!BK58)</f>
        <v/>
      </c>
    </row>
    <row r="59" spans="1:8">
      <c r="A59" s="40" t="str">
        <f>IF(OR(OR(IFERROR(FIND("交行",基本信息!BS59),0)&gt;0,IFERROR(FIND("交通银行",基本信息!BS59),0)&gt;0),计算结果!BT59=0),"",基本信息!BR59)</f>
        <v/>
      </c>
      <c r="B59" s="40" t="str">
        <f>IF($A59="","",基本信息!BQ59)</f>
        <v/>
      </c>
      <c r="C59" s="50" t="str">
        <f>IF($A59="","",计算结果!BT59-G59-H59)</f>
        <v/>
      </c>
      <c r="D59" s="40" t="str">
        <f>IF($A59="","",基本信息!BS59)</f>
        <v/>
      </c>
      <c r="F59" s="40" t="str">
        <f>IF($A59="","",基本信息!A59)</f>
        <v/>
      </c>
      <c r="G59" s="50" t="str">
        <f>IF($A59="","",计算结果!BI59+计算结果!BJ59)</f>
        <v/>
      </c>
      <c r="H59" s="50" t="str">
        <f>IF($A59="","",计算结果!BK59)</f>
        <v/>
      </c>
    </row>
    <row r="60" spans="1:8">
      <c r="A60" s="40" t="str">
        <f>IF(OR(OR(IFERROR(FIND("交行",基本信息!BS60),0)&gt;0,IFERROR(FIND("交通银行",基本信息!BS60),0)&gt;0),计算结果!BT60=0),"",基本信息!BR60)</f>
        <v/>
      </c>
      <c r="B60" s="40" t="str">
        <f>IF($A60="","",基本信息!BQ60)</f>
        <v/>
      </c>
      <c r="C60" s="50" t="str">
        <f>IF($A60="","",计算结果!BT60-G60-H60)</f>
        <v/>
      </c>
      <c r="D60" s="40" t="str">
        <f>IF($A60="","",基本信息!BS60)</f>
        <v/>
      </c>
      <c r="F60" s="40" t="str">
        <f>IF($A60="","",基本信息!A60)</f>
        <v/>
      </c>
      <c r="G60" s="50" t="str">
        <f>IF($A60="","",计算结果!BI60+计算结果!BJ60)</f>
        <v/>
      </c>
      <c r="H60" s="50" t="str">
        <f>IF($A60="","",计算结果!BK60)</f>
        <v/>
      </c>
    </row>
    <row r="61" spans="1:8">
      <c r="A61" s="40" t="str">
        <f>IF(OR(OR(IFERROR(FIND("交行",基本信息!BS61),0)&gt;0,IFERROR(FIND("交通银行",基本信息!BS61),0)&gt;0),计算结果!BT61=0),"",基本信息!BR61)</f>
        <v/>
      </c>
      <c r="B61" s="40" t="str">
        <f>IF($A61="","",基本信息!BQ61)</f>
        <v/>
      </c>
      <c r="C61" s="50" t="str">
        <f>IF($A61="","",计算结果!BT61-G61-H61)</f>
        <v/>
      </c>
      <c r="D61" s="40" t="str">
        <f>IF($A61="","",基本信息!BS61)</f>
        <v/>
      </c>
      <c r="F61" s="40" t="str">
        <f>IF($A61="","",基本信息!A61)</f>
        <v/>
      </c>
      <c r="G61" s="50" t="str">
        <f>IF($A61="","",计算结果!BI61+计算结果!BJ61)</f>
        <v/>
      </c>
      <c r="H61" s="50" t="str">
        <f>IF($A61="","",计算结果!BK61)</f>
        <v/>
      </c>
    </row>
    <row r="62" spans="1:8">
      <c r="A62" s="40" t="str">
        <f>IF(OR(OR(IFERROR(FIND("交行",基本信息!BS62),0)&gt;0,IFERROR(FIND("交通银行",基本信息!BS62),0)&gt;0),计算结果!BT62=0),"",基本信息!BR62)</f>
        <v/>
      </c>
      <c r="B62" s="40" t="str">
        <f>IF($A62="","",基本信息!BQ62)</f>
        <v/>
      </c>
      <c r="C62" s="50" t="str">
        <f>IF($A62="","",计算结果!BT62-G62-H62)</f>
        <v/>
      </c>
      <c r="D62" s="40" t="str">
        <f>IF($A62="","",基本信息!BS62)</f>
        <v/>
      </c>
      <c r="F62" s="40" t="str">
        <f>IF($A62="","",基本信息!A62)</f>
        <v/>
      </c>
      <c r="G62" s="50" t="str">
        <f>IF($A62="","",计算结果!BI62+计算结果!BJ62)</f>
        <v/>
      </c>
      <c r="H62" s="50" t="str">
        <f>IF($A62="","",计算结果!BK62)</f>
        <v/>
      </c>
    </row>
    <row r="63" spans="1:8">
      <c r="A63" s="40" t="str">
        <f>IF(OR(OR(IFERROR(FIND("交行",基本信息!BS63),0)&gt;0,IFERROR(FIND("交通银行",基本信息!BS63),0)&gt;0),计算结果!BT63=0),"",基本信息!BR63)</f>
        <v/>
      </c>
      <c r="B63" s="40" t="str">
        <f>IF($A63="","",基本信息!BQ63)</f>
        <v/>
      </c>
      <c r="C63" s="50" t="str">
        <f>IF($A63="","",计算结果!BT63-G63-H63)</f>
        <v/>
      </c>
      <c r="D63" s="40" t="str">
        <f>IF($A63="","",基本信息!BS63)</f>
        <v/>
      </c>
      <c r="F63" s="40" t="str">
        <f>IF($A63="","",基本信息!A63)</f>
        <v/>
      </c>
      <c r="G63" s="50" t="str">
        <f>IF($A63="","",计算结果!BI63+计算结果!BJ63)</f>
        <v/>
      </c>
      <c r="H63" s="50" t="str">
        <f>IF($A63="","",计算结果!BK63)</f>
        <v/>
      </c>
    </row>
    <row r="64" spans="1:8">
      <c r="A64" s="40" t="str">
        <f>IF(OR(OR(IFERROR(FIND("交行",基本信息!BS64),0)&gt;0,IFERROR(FIND("交通银行",基本信息!BS64),0)&gt;0),计算结果!BT64=0),"",基本信息!BR64)</f>
        <v/>
      </c>
      <c r="B64" s="40" t="str">
        <f>IF($A64="","",基本信息!BQ64)</f>
        <v/>
      </c>
      <c r="C64" s="50" t="str">
        <f>IF($A64="","",计算结果!BT64-G64-H64)</f>
        <v/>
      </c>
      <c r="D64" s="40" t="str">
        <f>IF($A64="","",基本信息!BS64)</f>
        <v/>
      </c>
      <c r="F64" s="40" t="str">
        <f>IF($A64="","",基本信息!A64)</f>
        <v/>
      </c>
      <c r="G64" s="50" t="str">
        <f>IF($A64="","",计算结果!BI64+计算结果!BJ64)</f>
        <v/>
      </c>
      <c r="H64" s="50" t="str">
        <f>IF($A64="","",计算结果!BK64)</f>
        <v/>
      </c>
    </row>
    <row r="65" spans="1:8">
      <c r="A65" s="40" t="str">
        <f>IF(OR(OR(IFERROR(FIND("交行",基本信息!BS65),0)&gt;0,IFERROR(FIND("交通银行",基本信息!BS65),0)&gt;0),计算结果!BT65=0),"",基本信息!BR65)</f>
        <v/>
      </c>
      <c r="B65" s="40" t="str">
        <f>IF($A65="","",基本信息!BQ65)</f>
        <v/>
      </c>
      <c r="C65" s="50" t="str">
        <f>IF($A65="","",计算结果!BT65-G65-H65)</f>
        <v/>
      </c>
      <c r="D65" s="40" t="str">
        <f>IF($A65="","",基本信息!BS65)</f>
        <v/>
      </c>
      <c r="F65" s="40" t="str">
        <f>IF($A65="","",基本信息!A65)</f>
        <v/>
      </c>
      <c r="G65" s="50" t="str">
        <f>IF($A65="","",计算结果!BI65+计算结果!BJ65)</f>
        <v/>
      </c>
      <c r="H65" s="50" t="str">
        <f>IF($A65="","",计算结果!BK65)</f>
        <v/>
      </c>
    </row>
    <row r="66" spans="1:8">
      <c r="A66" s="40" t="str">
        <f>IF(OR(OR(IFERROR(FIND("交行",基本信息!BS66),0)&gt;0,IFERROR(FIND("交通银行",基本信息!BS66),0)&gt;0),计算结果!BT66=0),"",基本信息!BR66)</f>
        <v/>
      </c>
      <c r="B66" s="40" t="str">
        <f>IF($A66="","",基本信息!BQ66)</f>
        <v/>
      </c>
      <c r="C66" s="50" t="str">
        <f>IF($A66="","",计算结果!BT66-G66-H66)</f>
        <v/>
      </c>
      <c r="D66" s="40" t="str">
        <f>IF($A66="","",基本信息!BS66)</f>
        <v/>
      </c>
      <c r="F66" s="40" t="str">
        <f>IF($A66="","",基本信息!A66)</f>
        <v/>
      </c>
      <c r="G66" s="50" t="str">
        <f>IF($A66="","",计算结果!BI66+计算结果!BJ66)</f>
        <v/>
      </c>
      <c r="H66" s="50" t="str">
        <f>IF($A66="","",计算结果!BK66)</f>
        <v/>
      </c>
    </row>
    <row r="67" spans="1:8">
      <c r="A67" s="40" t="str">
        <f>IF(OR(OR(IFERROR(FIND("交行",基本信息!BS67),0)&gt;0,IFERROR(FIND("交通银行",基本信息!BS67),0)&gt;0),计算结果!BT67=0),"",基本信息!BR67)</f>
        <v/>
      </c>
      <c r="B67" s="40" t="str">
        <f>IF($A67="","",基本信息!BQ67)</f>
        <v/>
      </c>
      <c r="C67" s="50" t="str">
        <f>IF($A67="","",计算结果!BT67-G67-H67)</f>
        <v/>
      </c>
      <c r="D67" s="40" t="str">
        <f>IF($A67="","",基本信息!BS67)</f>
        <v/>
      </c>
      <c r="F67" s="40" t="str">
        <f>IF($A67="","",基本信息!A67)</f>
        <v/>
      </c>
      <c r="G67" s="50" t="str">
        <f>IF($A67="","",计算结果!BI67+计算结果!BJ67)</f>
        <v/>
      </c>
      <c r="H67" s="50" t="str">
        <f>IF($A67="","",计算结果!BK67)</f>
        <v/>
      </c>
    </row>
    <row r="68" spans="1:8">
      <c r="A68" s="40" t="str">
        <f>IF(OR(OR(IFERROR(FIND("交行",基本信息!BS68),0)&gt;0,IFERROR(FIND("交通银行",基本信息!BS68),0)&gt;0),计算结果!BT68=0),"",基本信息!BR68)</f>
        <v/>
      </c>
      <c r="B68" s="40" t="str">
        <f>IF($A68="","",基本信息!BQ68)</f>
        <v/>
      </c>
      <c r="C68" s="50" t="str">
        <f>IF($A68="","",计算结果!BT68-G68-H68)</f>
        <v/>
      </c>
      <c r="D68" s="40" t="str">
        <f>IF($A68="","",基本信息!BS68)</f>
        <v/>
      </c>
      <c r="F68" s="40" t="str">
        <f>IF($A68="","",基本信息!A68)</f>
        <v/>
      </c>
      <c r="G68" s="50" t="str">
        <f>IF($A68="","",计算结果!BI68+计算结果!BJ68)</f>
        <v/>
      </c>
      <c r="H68" s="50" t="str">
        <f>IF($A68="","",计算结果!BK68)</f>
        <v/>
      </c>
    </row>
    <row r="69" spans="1:8">
      <c r="A69" s="40" t="str">
        <f>IF(OR(OR(IFERROR(FIND("交行",基本信息!BS69),0)&gt;0,IFERROR(FIND("交通银行",基本信息!BS69),0)&gt;0),计算结果!BT69=0),"",基本信息!BR69)</f>
        <v/>
      </c>
      <c r="B69" s="40" t="str">
        <f>IF($A69="","",基本信息!BQ69)</f>
        <v/>
      </c>
      <c r="C69" s="50" t="str">
        <f>IF($A69="","",计算结果!BT69-G69-H69)</f>
        <v/>
      </c>
      <c r="D69" s="40" t="str">
        <f>IF($A69="","",基本信息!BS69)</f>
        <v/>
      </c>
      <c r="F69" s="40" t="str">
        <f>IF($A69="","",基本信息!A69)</f>
        <v/>
      </c>
      <c r="G69" s="50" t="str">
        <f>IF($A69="","",计算结果!BI69+计算结果!BJ69)</f>
        <v/>
      </c>
      <c r="H69" s="50" t="str">
        <f>IF($A69="","",计算结果!BK69)</f>
        <v/>
      </c>
    </row>
    <row r="70" spans="1:8">
      <c r="A70" s="40" t="str">
        <f>IF(OR(OR(IFERROR(FIND("交行",基本信息!BS70),0)&gt;0,IFERROR(FIND("交通银行",基本信息!BS70),0)&gt;0),计算结果!BT70=0),"",基本信息!BR70)</f>
        <v/>
      </c>
      <c r="B70" s="40" t="str">
        <f>IF($A70="","",基本信息!BQ70)</f>
        <v/>
      </c>
      <c r="C70" s="50" t="str">
        <f>IF($A70="","",计算结果!BT70-G70-H70)</f>
        <v/>
      </c>
      <c r="D70" s="40" t="str">
        <f>IF($A70="","",基本信息!BS70)</f>
        <v/>
      </c>
      <c r="F70" s="40" t="str">
        <f>IF($A70="","",基本信息!A70)</f>
        <v/>
      </c>
      <c r="G70" s="50" t="str">
        <f>IF($A70="","",计算结果!BI70+计算结果!BJ70)</f>
        <v/>
      </c>
      <c r="H70" s="50" t="str">
        <f>IF($A70="","",计算结果!BK70)</f>
        <v/>
      </c>
    </row>
    <row r="71" spans="1:8">
      <c r="A71" s="40" t="str">
        <f>IF(OR(OR(IFERROR(FIND("交行",基本信息!BS71),0)&gt;0,IFERROR(FIND("交通银行",基本信息!BS71),0)&gt;0),计算结果!BT71=0),"",基本信息!BR71)</f>
        <v/>
      </c>
      <c r="B71" s="40" t="str">
        <f>IF($A71="","",基本信息!BQ71)</f>
        <v/>
      </c>
      <c r="C71" s="50" t="str">
        <f>IF($A71="","",计算结果!BT71-G71-H71)</f>
        <v/>
      </c>
      <c r="D71" s="40" t="str">
        <f>IF($A71="","",基本信息!BS71)</f>
        <v/>
      </c>
      <c r="F71" s="40" t="str">
        <f>IF($A71="","",基本信息!A71)</f>
        <v/>
      </c>
      <c r="G71" s="50" t="str">
        <f>IF($A71="","",计算结果!BI71+计算结果!BJ71)</f>
        <v/>
      </c>
      <c r="H71" s="50" t="str">
        <f>IF($A71="","",计算结果!BK71)</f>
        <v/>
      </c>
    </row>
    <row r="72" spans="1:8">
      <c r="A72" s="40" t="str">
        <f>IF(OR(OR(IFERROR(FIND("交行",基本信息!BS72),0)&gt;0,IFERROR(FIND("交通银行",基本信息!BS72),0)&gt;0),计算结果!BT72=0),"",基本信息!BR72)</f>
        <v/>
      </c>
      <c r="B72" s="40" t="str">
        <f>IF($A72="","",基本信息!BQ72)</f>
        <v/>
      </c>
      <c r="C72" s="50" t="str">
        <f>IF($A72="","",计算结果!BT72-G72-H72)</f>
        <v/>
      </c>
      <c r="D72" s="40" t="str">
        <f>IF($A72="","",基本信息!BS72)</f>
        <v/>
      </c>
      <c r="F72" s="40" t="str">
        <f>IF($A72="","",基本信息!A72)</f>
        <v/>
      </c>
      <c r="G72" s="50" t="str">
        <f>IF($A72="","",计算结果!BI72+计算结果!BJ72)</f>
        <v/>
      </c>
      <c r="H72" s="50" t="str">
        <f>IF($A72="","",计算结果!BK72)</f>
        <v/>
      </c>
    </row>
    <row r="73" spans="1:8">
      <c r="A73" s="40" t="str">
        <f>IF(OR(OR(IFERROR(FIND("交行",基本信息!BS73),0)&gt;0,IFERROR(FIND("交通银行",基本信息!BS73),0)&gt;0),计算结果!BT73=0),"",基本信息!BR73)</f>
        <v/>
      </c>
      <c r="B73" s="40" t="str">
        <f>IF($A73="","",基本信息!BQ73)</f>
        <v/>
      </c>
      <c r="C73" s="50" t="str">
        <f>IF($A73="","",计算结果!BT73-G73-H73)</f>
        <v/>
      </c>
      <c r="D73" s="40" t="str">
        <f>IF($A73="","",基本信息!BS73)</f>
        <v/>
      </c>
      <c r="F73" s="40" t="str">
        <f>IF($A73="","",基本信息!A73)</f>
        <v/>
      </c>
      <c r="G73" s="50" t="str">
        <f>IF($A73="","",计算结果!BI73+计算结果!BJ73)</f>
        <v/>
      </c>
      <c r="H73" s="50" t="str">
        <f>IF($A73="","",计算结果!BK73)</f>
        <v/>
      </c>
    </row>
    <row r="74" spans="1:8">
      <c r="A74" s="40" t="str">
        <f>IF(OR(OR(IFERROR(FIND("交行",基本信息!BS74),0)&gt;0,IFERROR(FIND("交通银行",基本信息!BS74),0)&gt;0),计算结果!BT74=0),"",基本信息!BR74)</f>
        <v/>
      </c>
      <c r="B74" s="40" t="str">
        <f>IF($A74="","",基本信息!BQ74)</f>
        <v/>
      </c>
      <c r="C74" s="50" t="str">
        <f>IF($A74="","",计算结果!BT74-G74-H74)</f>
        <v/>
      </c>
      <c r="D74" s="40" t="str">
        <f>IF($A74="","",基本信息!BS74)</f>
        <v/>
      </c>
      <c r="F74" s="40" t="str">
        <f>IF($A74="","",基本信息!A74)</f>
        <v/>
      </c>
      <c r="G74" s="50" t="str">
        <f>IF($A74="","",计算结果!BI74+计算结果!BJ74)</f>
        <v/>
      </c>
      <c r="H74" s="50" t="str">
        <f>IF($A74="","",计算结果!BK74)</f>
        <v/>
      </c>
    </row>
    <row r="75" spans="1:8">
      <c r="A75" s="40" t="str">
        <f>IF(OR(OR(IFERROR(FIND("交行",基本信息!BS75),0)&gt;0,IFERROR(FIND("交通银行",基本信息!BS75),0)&gt;0),计算结果!BT75=0),"",基本信息!BR75)</f>
        <v/>
      </c>
      <c r="B75" s="40" t="str">
        <f>IF($A75="","",基本信息!BQ75)</f>
        <v/>
      </c>
      <c r="C75" s="50" t="str">
        <f>IF($A75="","",计算结果!BT75-G75-H75)</f>
        <v/>
      </c>
      <c r="D75" s="40" t="str">
        <f>IF($A75="","",基本信息!BS75)</f>
        <v/>
      </c>
      <c r="F75" s="40" t="str">
        <f>IF($A75="","",基本信息!A75)</f>
        <v/>
      </c>
      <c r="G75" s="50" t="str">
        <f>IF($A75="","",计算结果!BI75+计算结果!BJ75)</f>
        <v/>
      </c>
      <c r="H75" s="50" t="str">
        <f>IF($A75="","",计算结果!BK75)</f>
        <v/>
      </c>
    </row>
    <row r="76" spans="1:8">
      <c r="A76" s="40" t="str">
        <f>IF(OR(OR(IFERROR(FIND("交行",基本信息!BS76),0)&gt;0,IFERROR(FIND("交通银行",基本信息!BS76),0)&gt;0),计算结果!BT76=0),"",基本信息!BR76)</f>
        <v/>
      </c>
      <c r="B76" s="40" t="str">
        <f>IF($A76="","",基本信息!BQ76)</f>
        <v/>
      </c>
      <c r="C76" s="50" t="str">
        <f>IF($A76="","",计算结果!BT76-G76-H76)</f>
        <v/>
      </c>
      <c r="D76" s="40" t="str">
        <f>IF($A76="","",基本信息!BS76)</f>
        <v/>
      </c>
      <c r="F76" s="40" t="str">
        <f>IF($A76="","",基本信息!A76)</f>
        <v/>
      </c>
      <c r="G76" s="50" t="str">
        <f>IF($A76="","",计算结果!BI76+计算结果!BJ76)</f>
        <v/>
      </c>
      <c r="H76" s="50" t="str">
        <f>IF($A76="","",计算结果!BK76)</f>
        <v/>
      </c>
    </row>
    <row r="77" spans="1:8">
      <c r="A77" s="40" t="str">
        <f>IF(OR(OR(IFERROR(FIND("交行",基本信息!BS77),0)&gt;0,IFERROR(FIND("交通银行",基本信息!BS77),0)&gt;0),计算结果!BT77=0),"",基本信息!BR77)</f>
        <v/>
      </c>
      <c r="B77" s="40" t="str">
        <f>IF($A77="","",基本信息!BQ77)</f>
        <v/>
      </c>
      <c r="C77" s="50" t="str">
        <f>IF($A77="","",计算结果!BT77-G77-H77)</f>
        <v/>
      </c>
      <c r="D77" s="40" t="str">
        <f>IF($A77="","",基本信息!BS77)</f>
        <v/>
      </c>
      <c r="F77" s="40" t="str">
        <f>IF($A77="","",基本信息!A77)</f>
        <v/>
      </c>
      <c r="G77" s="50" t="str">
        <f>IF($A77="","",计算结果!BI77+计算结果!BJ77)</f>
        <v/>
      </c>
      <c r="H77" s="50" t="str">
        <f>IF($A77="","",计算结果!BK77)</f>
        <v/>
      </c>
    </row>
    <row r="78" spans="1:8">
      <c r="A78" s="40" t="str">
        <f>IF(OR(OR(IFERROR(FIND("交行",基本信息!BS78),0)&gt;0,IFERROR(FIND("交通银行",基本信息!BS78),0)&gt;0),计算结果!BT78=0),"",基本信息!BR78)</f>
        <v/>
      </c>
      <c r="B78" s="40" t="str">
        <f>IF($A78="","",基本信息!BQ78)</f>
        <v/>
      </c>
      <c r="C78" s="50" t="str">
        <f>IF($A78="","",计算结果!BT78-G78-H78)</f>
        <v/>
      </c>
      <c r="D78" s="40" t="str">
        <f>IF($A78="","",基本信息!BS78)</f>
        <v/>
      </c>
      <c r="F78" s="40" t="str">
        <f>IF($A78="","",基本信息!A78)</f>
        <v/>
      </c>
      <c r="G78" s="50" t="str">
        <f>IF($A78="","",计算结果!BI78+计算结果!BJ78)</f>
        <v/>
      </c>
      <c r="H78" s="50" t="str">
        <f>IF($A78="","",计算结果!BK78)</f>
        <v/>
      </c>
    </row>
    <row r="79" spans="1:8">
      <c r="A79" s="40" t="str">
        <f>IF(OR(OR(IFERROR(FIND("交行",基本信息!BS79),0)&gt;0,IFERROR(FIND("交通银行",基本信息!BS79),0)&gt;0),计算结果!BT79=0),"",基本信息!BR79)</f>
        <v/>
      </c>
      <c r="B79" s="40" t="str">
        <f>IF($A79="","",基本信息!BQ79)</f>
        <v/>
      </c>
      <c r="C79" s="50" t="str">
        <f>IF($A79="","",计算结果!BT79-G79-H79)</f>
        <v/>
      </c>
      <c r="D79" s="40" t="str">
        <f>IF($A79="","",基本信息!BS79)</f>
        <v/>
      </c>
      <c r="F79" s="40" t="str">
        <f>IF($A79="","",基本信息!A79)</f>
        <v/>
      </c>
      <c r="G79" s="50" t="str">
        <f>IF($A79="","",计算结果!BI79+计算结果!BJ79)</f>
        <v/>
      </c>
      <c r="H79" s="50" t="str">
        <f>IF($A79="","",计算结果!BK79)</f>
        <v/>
      </c>
    </row>
    <row r="80" spans="1:8">
      <c r="A80" s="40" t="str">
        <f>IF(OR(OR(IFERROR(FIND("交行",基本信息!BS80),0)&gt;0,IFERROR(FIND("交通银行",基本信息!BS80),0)&gt;0),计算结果!BT80=0),"",基本信息!BR80)</f>
        <v/>
      </c>
      <c r="B80" s="40" t="str">
        <f>IF($A80="","",基本信息!BQ80)</f>
        <v/>
      </c>
      <c r="C80" s="50" t="str">
        <f>IF($A80="","",计算结果!BT80-G80-H80)</f>
        <v/>
      </c>
      <c r="D80" s="40" t="str">
        <f>IF($A80="","",基本信息!BS80)</f>
        <v/>
      </c>
      <c r="F80" s="40" t="str">
        <f>IF($A80="","",基本信息!A80)</f>
        <v/>
      </c>
      <c r="G80" s="50" t="str">
        <f>IF($A80="","",计算结果!BI80+计算结果!BJ80)</f>
        <v/>
      </c>
      <c r="H80" s="50" t="str">
        <f>IF($A80="","",计算结果!BK80)</f>
        <v/>
      </c>
    </row>
    <row r="81" spans="1:8">
      <c r="A81" s="40" t="str">
        <f>IF(OR(OR(IFERROR(FIND("交行",基本信息!BS81),0)&gt;0,IFERROR(FIND("交通银行",基本信息!BS81),0)&gt;0),计算结果!BT81=0),"",基本信息!BR81)</f>
        <v/>
      </c>
      <c r="B81" s="40" t="str">
        <f>IF($A81="","",基本信息!BQ81)</f>
        <v/>
      </c>
      <c r="C81" s="50" t="str">
        <f>IF($A81="","",计算结果!BT81-G81-H81)</f>
        <v/>
      </c>
      <c r="D81" s="40" t="str">
        <f>IF($A81="","",基本信息!BS81)</f>
        <v/>
      </c>
      <c r="F81" s="40" t="str">
        <f>IF($A81="","",基本信息!A81)</f>
        <v/>
      </c>
      <c r="G81" s="50" t="str">
        <f>IF($A81="","",计算结果!BI81+计算结果!BJ81)</f>
        <v/>
      </c>
      <c r="H81" s="50" t="str">
        <f>IF($A81="","",计算结果!BK81)</f>
        <v/>
      </c>
    </row>
    <row r="82" spans="1:8">
      <c r="A82" s="40" t="str">
        <f>IF(OR(OR(IFERROR(FIND("交行",基本信息!BS82),0)&gt;0,IFERROR(FIND("交通银行",基本信息!BS82),0)&gt;0),计算结果!BT82=0),"",基本信息!BR82)</f>
        <v/>
      </c>
      <c r="B82" s="40" t="str">
        <f>IF($A82="","",基本信息!BQ82)</f>
        <v/>
      </c>
      <c r="C82" s="50" t="str">
        <f>IF($A82="","",计算结果!BT82-G82-H82)</f>
        <v/>
      </c>
      <c r="D82" s="40" t="str">
        <f>IF($A82="","",基本信息!BS82)</f>
        <v/>
      </c>
      <c r="F82" s="40" t="str">
        <f>IF($A82="","",基本信息!A82)</f>
        <v/>
      </c>
      <c r="G82" s="50" t="str">
        <f>IF($A82="","",计算结果!BI82+计算结果!BJ82)</f>
        <v/>
      </c>
      <c r="H82" s="50" t="str">
        <f>IF($A82="","",计算结果!BK82)</f>
        <v/>
      </c>
    </row>
    <row r="83" spans="1:8">
      <c r="A83" s="40" t="str">
        <f>IF(OR(OR(IFERROR(FIND("交行",基本信息!BS83),0)&gt;0,IFERROR(FIND("交通银行",基本信息!BS83),0)&gt;0),计算结果!BT83=0),"",基本信息!BR83)</f>
        <v/>
      </c>
      <c r="B83" s="40" t="str">
        <f>IF($A83="","",基本信息!BQ83)</f>
        <v/>
      </c>
      <c r="C83" s="50" t="str">
        <f>IF($A83="","",计算结果!BT83-G83-H83)</f>
        <v/>
      </c>
      <c r="D83" s="40" t="str">
        <f>IF($A83="","",基本信息!BS83)</f>
        <v/>
      </c>
      <c r="F83" s="40" t="str">
        <f>IF($A83="","",基本信息!A83)</f>
        <v/>
      </c>
      <c r="G83" s="50" t="str">
        <f>IF($A83="","",计算结果!BI83+计算结果!BJ83)</f>
        <v/>
      </c>
      <c r="H83" s="50" t="str">
        <f>IF($A83="","",计算结果!BK83)</f>
        <v/>
      </c>
    </row>
    <row r="84" spans="1:8">
      <c r="A84" s="40" t="str">
        <f>IF(OR(OR(IFERROR(FIND("交行",基本信息!BS84),0)&gt;0,IFERROR(FIND("交通银行",基本信息!BS84),0)&gt;0),计算结果!BT84=0),"",基本信息!BR84)</f>
        <v/>
      </c>
      <c r="B84" s="40" t="str">
        <f>IF($A84="","",基本信息!BQ84)</f>
        <v/>
      </c>
      <c r="C84" s="50" t="str">
        <f>IF($A84="","",计算结果!BT84-G84-H84)</f>
        <v/>
      </c>
      <c r="D84" s="40" t="str">
        <f>IF($A84="","",基本信息!BS84)</f>
        <v/>
      </c>
      <c r="F84" s="40" t="str">
        <f>IF($A84="","",基本信息!A84)</f>
        <v/>
      </c>
      <c r="G84" s="50" t="str">
        <f>IF($A84="","",计算结果!BI84+计算结果!BJ84)</f>
        <v/>
      </c>
      <c r="H84" s="50" t="str">
        <f>IF($A84="","",计算结果!BK84)</f>
        <v/>
      </c>
    </row>
    <row r="85" spans="1:8">
      <c r="A85" s="40" t="str">
        <f>IF(OR(OR(IFERROR(FIND("交行",基本信息!BS85),0)&gt;0,IFERROR(FIND("交通银行",基本信息!BS85),0)&gt;0),计算结果!BT85=0),"",基本信息!BR85)</f>
        <v/>
      </c>
      <c r="B85" s="40" t="str">
        <f>IF($A85="","",基本信息!BQ85)</f>
        <v/>
      </c>
      <c r="C85" s="50" t="str">
        <f>IF($A85="","",计算结果!BT85-G85-H85)</f>
        <v/>
      </c>
      <c r="D85" s="40" t="str">
        <f>IF($A85="","",基本信息!BS85)</f>
        <v/>
      </c>
      <c r="F85" s="40" t="str">
        <f>IF($A85="","",基本信息!A85)</f>
        <v/>
      </c>
      <c r="G85" s="50" t="str">
        <f>IF($A85="","",计算结果!BI85+计算结果!BJ85)</f>
        <v/>
      </c>
      <c r="H85" s="50" t="str">
        <f>IF($A85="","",计算结果!BK85)</f>
        <v/>
      </c>
    </row>
    <row r="86" spans="1:8">
      <c r="A86" s="40" t="str">
        <f>IF(OR(OR(IFERROR(FIND("交行",基本信息!BS86),0)&gt;0,IFERROR(FIND("交通银行",基本信息!BS86),0)&gt;0),计算结果!BT86=0),"",基本信息!BR86)</f>
        <v/>
      </c>
      <c r="B86" s="40" t="str">
        <f>IF($A86="","",基本信息!BQ86)</f>
        <v/>
      </c>
      <c r="C86" s="50" t="str">
        <f>IF($A86="","",计算结果!BT86-G86-H86)</f>
        <v/>
      </c>
      <c r="D86" s="40" t="str">
        <f>IF($A86="","",基本信息!BS86)</f>
        <v/>
      </c>
      <c r="F86" s="40" t="str">
        <f>IF($A86="","",基本信息!A86)</f>
        <v/>
      </c>
      <c r="G86" s="50" t="str">
        <f>IF($A86="","",计算结果!BI86+计算结果!BJ86)</f>
        <v/>
      </c>
      <c r="H86" s="50" t="str">
        <f>IF($A86="","",计算结果!BK86)</f>
        <v/>
      </c>
    </row>
    <row r="87" spans="1:8">
      <c r="A87" s="40" t="str">
        <f>IF(OR(OR(IFERROR(FIND("交行",基本信息!BS87),0)&gt;0,IFERROR(FIND("交通银行",基本信息!BS87),0)&gt;0),计算结果!BT87=0),"",基本信息!BR87)</f>
        <v/>
      </c>
      <c r="B87" s="40" t="str">
        <f>IF($A87="","",基本信息!BQ87)</f>
        <v/>
      </c>
      <c r="C87" s="50" t="str">
        <f>IF($A87="","",计算结果!BT87-G87-H87)</f>
        <v/>
      </c>
      <c r="D87" s="40" t="str">
        <f>IF($A87="","",基本信息!BS87)</f>
        <v/>
      </c>
      <c r="F87" s="40" t="str">
        <f>IF($A87="","",基本信息!A87)</f>
        <v/>
      </c>
      <c r="G87" s="50" t="str">
        <f>IF($A87="","",计算结果!BI87+计算结果!BJ87)</f>
        <v/>
      </c>
      <c r="H87" s="50" t="str">
        <f>IF($A87="","",计算结果!BK87)</f>
        <v/>
      </c>
    </row>
    <row r="88" spans="1:8">
      <c r="A88" s="40" t="str">
        <f>IF(OR(OR(IFERROR(FIND("交行",基本信息!BS88),0)&gt;0,IFERROR(FIND("交通银行",基本信息!BS88),0)&gt;0),计算结果!BT88=0),"",基本信息!BR88)</f>
        <v/>
      </c>
      <c r="B88" s="40" t="str">
        <f>IF($A88="","",基本信息!BQ88)</f>
        <v/>
      </c>
      <c r="C88" s="50" t="str">
        <f>IF($A88="","",计算结果!BT88-G88-H88)</f>
        <v/>
      </c>
      <c r="D88" s="40" t="str">
        <f>IF($A88="","",基本信息!BS88)</f>
        <v/>
      </c>
      <c r="F88" s="40" t="str">
        <f>IF($A88="","",基本信息!A88)</f>
        <v/>
      </c>
      <c r="G88" s="50" t="str">
        <f>IF($A88="","",计算结果!BI88+计算结果!BJ88)</f>
        <v/>
      </c>
      <c r="H88" s="50" t="str">
        <f>IF($A88="","",计算结果!BK88)</f>
        <v/>
      </c>
    </row>
    <row r="89" spans="1:8">
      <c r="A89" s="40" t="str">
        <f>IF(OR(OR(IFERROR(FIND("交行",基本信息!BS89),0)&gt;0,IFERROR(FIND("交通银行",基本信息!BS89),0)&gt;0),计算结果!BT89=0),"",基本信息!BR89)</f>
        <v/>
      </c>
      <c r="B89" s="40" t="str">
        <f>IF($A89="","",基本信息!BQ89)</f>
        <v/>
      </c>
      <c r="C89" s="50" t="str">
        <f>IF($A89="","",计算结果!BT89-G89-H89)</f>
        <v/>
      </c>
      <c r="D89" s="40" t="str">
        <f>IF($A89="","",基本信息!BS89)</f>
        <v/>
      </c>
      <c r="F89" s="40" t="str">
        <f>IF($A89="","",基本信息!A89)</f>
        <v/>
      </c>
      <c r="G89" s="50" t="str">
        <f>IF($A89="","",计算结果!BI89+计算结果!BJ89)</f>
        <v/>
      </c>
      <c r="H89" s="50" t="str">
        <f>IF($A89="","",计算结果!BK89)</f>
        <v/>
      </c>
    </row>
    <row r="90" spans="1:8">
      <c r="A90" s="40" t="str">
        <f>IF(OR(OR(IFERROR(FIND("交行",基本信息!BS90),0)&gt;0,IFERROR(FIND("交通银行",基本信息!BS90),0)&gt;0),计算结果!BT90=0),"",基本信息!BR90)</f>
        <v/>
      </c>
      <c r="B90" s="40" t="str">
        <f>IF($A90="","",基本信息!BQ90)</f>
        <v/>
      </c>
      <c r="C90" s="50" t="str">
        <f>IF($A90="","",计算结果!BT90-G90-H90)</f>
        <v/>
      </c>
      <c r="D90" s="40" t="str">
        <f>IF($A90="","",基本信息!BS90)</f>
        <v/>
      </c>
      <c r="F90" s="40" t="str">
        <f>IF($A90="","",基本信息!A90)</f>
        <v/>
      </c>
      <c r="G90" s="50" t="str">
        <f>IF($A90="","",计算结果!BI90+计算结果!BJ90)</f>
        <v/>
      </c>
      <c r="H90" s="50" t="str">
        <f>IF($A90="","",计算结果!BK90)</f>
        <v/>
      </c>
    </row>
    <row r="91" spans="1:8">
      <c r="A91" s="40" t="str">
        <f>IF(OR(OR(IFERROR(FIND("交行",基本信息!BS91),0)&gt;0,IFERROR(FIND("交通银行",基本信息!BS91),0)&gt;0),计算结果!BT91=0),"",基本信息!BR91)</f>
        <v/>
      </c>
      <c r="B91" s="40" t="str">
        <f>IF($A91="","",基本信息!BQ91)</f>
        <v/>
      </c>
      <c r="C91" s="50" t="str">
        <f>IF($A91="","",计算结果!BT91-G91-H91)</f>
        <v/>
      </c>
      <c r="D91" s="40" t="str">
        <f>IF($A91="","",基本信息!BS91)</f>
        <v/>
      </c>
      <c r="F91" s="40" t="str">
        <f>IF($A91="","",基本信息!A91)</f>
        <v/>
      </c>
      <c r="G91" s="50" t="str">
        <f>IF($A91="","",计算结果!BI91+计算结果!BJ91)</f>
        <v/>
      </c>
      <c r="H91" s="50" t="str">
        <f>IF($A91="","",计算结果!BK91)</f>
        <v/>
      </c>
    </row>
    <row r="92" spans="1:8">
      <c r="A92" s="40" t="str">
        <f>IF(OR(OR(IFERROR(FIND("交行",基本信息!BS92),0)&gt;0,IFERROR(FIND("交通银行",基本信息!BS92),0)&gt;0),计算结果!BT92=0),"",基本信息!BR92)</f>
        <v/>
      </c>
      <c r="B92" s="40" t="str">
        <f>IF($A92="","",基本信息!BQ92)</f>
        <v/>
      </c>
      <c r="C92" s="50" t="str">
        <f>IF($A92="","",计算结果!BT92-G92-H92)</f>
        <v/>
      </c>
      <c r="D92" s="40" t="str">
        <f>IF($A92="","",基本信息!BS92)</f>
        <v/>
      </c>
      <c r="F92" s="40" t="str">
        <f>IF($A92="","",基本信息!A92)</f>
        <v/>
      </c>
      <c r="G92" s="50" t="str">
        <f>IF($A92="","",计算结果!BI92+计算结果!BJ92)</f>
        <v/>
      </c>
      <c r="H92" s="50" t="str">
        <f>IF($A92="","",计算结果!BK92)</f>
        <v/>
      </c>
    </row>
    <row r="93" spans="1:8">
      <c r="A93" s="40" t="str">
        <f>IF(OR(OR(IFERROR(FIND("交行",基本信息!BS93),0)&gt;0,IFERROR(FIND("交通银行",基本信息!BS93),0)&gt;0),计算结果!BT93=0),"",基本信息!BR93)</f>
        <v/>
      </c>
      <c r="B93" s="40" t="str">
        <f>IF($A93="","",基本信息!BQ93)</f>
        <v/>
      </c>
      <c r="C93" s="50" t="str">
        <f>IF($A93="","",计算结果!BT93-G93-H93)</f>
        <v/>
      </c>
      <c r="D93" s="40" t="str">
        <f>IF($A93="","",基本信息!BS93)</f>
        <v/>
      </c>
      <c r="F93" s="40" t="str">
        <f>IF($A93="","",基本信息!A93)</f>
        <v/>
      </c>
      <c r="G93" s="50" t="str">
        <f>IF($A93="","",计算结果!BI93+计算结果!BJ93)</f>
        <v/>
      </c>
      <c r="H93" s="50" t="str">
        <f>IF($A93="","",计算结果!BK93)</f>
        <v/>
      </c>
    </row>
    <row r="94" spans="1:8">
      <c r="A94" s="40" t="str">
        <f>IF(OR(OR(IFERROR(FIND("交行",基本信息!BS94),0)&gt;0,IFERROR(FIND("交通银行",基本信息!BS94),0)&gt;0),计算结果!BT94=0),"",基本信息!BR94)</f>
        <v/>
      </c>
      <c r="B94" s="40" t="str">
        <f>IF($A94="","",基本信息!BQ94)</f>
        <v/>
      </c>
      <c r="C94" s="50" t="str">
        <f>IF($A94="","",计算结果!BT94-G94-H94)</f>
        <v/>
      </c>
      <c r="D94" s="40" t="str">
        <f>IF($A94="","",基本信息!BS94)</f>
        <v/>
      </c>
      <c r="F94" s="40" t="str">
        <f>IF($A94="","",基本信息!A94)</f>
        <v/>
      </c>
      <c r="G94" s="50" t="str">
        <f>IF($A94="","",计算结果!BI94+计算结果!BJ94)</f>
        <v/>
      </c>
      <c r="H94" s="50" t="str">
        <f>IF($A94="","",计算结果!BK94)</f>
        <v/>
      </c>
    </row>
    <row r="95" spans="1:8">
      <c r="A95" s="40" t="str">
        <f>IF(OR(OR(IFERROR(FIND("交行",基本信息!BS95),0)&gt;0,IFERROR(FIND("交通银行",基本信息!BS95),0)&gt;0),计算结果!BT95=0),"",基本信息!BR95)</f>
        <v/>
      </c>
      <c r="B95" s="40" t="str">
        <f>IF($A95="","",基本信息!BQ95)</f>
        <v/>
      </c>
      <c r="C95" s="50" t="str">
        <f>IF($A95="","",计算结果!BT95-G95-H95)</f>
        <v/>
      </c>
      <c r="D95" s="40" t="str">
        <f>IF($A95="","",基本信息!BS95)</f>
        <v/>
      </c>
      <c r="F95" s="40" t="str">
        <f>IF($A95="","",基本信息!A95)</f>
        <v/>
      </c>
      <c r="G95" s="50" t="str">
        <f>IF($A95="","",计算结果!BI95+计算结果!BJ95)</f>
        <v/>
      </c>
      <c r="H95" s="50" t="str">
        <f>IF($A95="","",计算结果!BK95)</f>
        <v/>
      </c>
    </row>
    <row r="96" spans="1:8">
      <c r="A96" s="40" t="str">
        <f>IF(OR(OR(IFERROR(FIND("交行",基本信息!BS96),0)&gt;0,IFERROR(FIND("交通银行",基本信息!BS96),0)&gt;0),计算结果!BT96=0),"",基本信息!BR96)</f>
        <v/>
      </c>
      <c r="B96" s="40" t="str">
        <f>IF($A96="","",基本信息!BQ96)</f>
        <v/>
      </c>
      <c r="C96" s="50" t="str">
        <f>IF($A96="","",计算结果!BT96-G96-H96)</f>
        <v/>
      </c>
      <c r="D96" s="40" t="str">
        <f>IF($A96="","",基本信息!BS96)</f>
        <v/>
      </c>
      <c r="F96" s="40" t="str">
        <f>IF($A96="","",基本信息!A96)</f>
        <v/>
      </c>
      <c r="G96" s="50" t="str">
        <f>IF($A96="","",计算结果!BI96+计算结果!BJ96)</f>
        <v/>
      </c>
      <c r="H96" s="50" t="str">
        <f>IF($A96="","",计算结果!BK96)</f>
        <v/>
      </c>
    </row>
    <row r="97" spans="1:8">
      <c r="A97" s="40" t="str">
        <f>IF(OR(OR(IFERROR(FIND("交行",基本信息!BS97),0)&gt;0,IFERROR(FIND("交通银行",基本信息!BS97),0)&gt;0),计算结果!BT97=0),"",基本信息!BR97)</f>
        <v/>
      </c>
      <c r="B97" s="40" t="str">
        <f>IF($A97="","",基本信息!BQ97)</f>
        <v/>
      </c>
      <c r="C97" s="50" t="str">
        <f>IF($A97="","",计算结果!BT97-G97-H97)</f>
        <v/>
      </c>
      <c r="D97" s="40" t="str">
        <f>IF($A97="","",基本信息!BS97)</f>
        <v/>
      </c>
      <c r="F97" s="40" t="str">
        <f>IF($A97="","",基本信息!A97)</f>
        <v/>
      </c>
      <c r="G97" s="50" t="str">
        <f>IF($A97="","",计算结果!BI97+计算结果!BJ97)</f>
        <v/>
      </c>
      <c r="H97" s="50" t="str">
        <f>IF($A97="","",计算结果!BK97)</f>
        <v/>
      </c>
    </row>
    <row r="98" spans="1:8">
      <c r="A98" s="40" t="str">
        <f>IF(OR(OR(IFERROR(FIND("交行",基本信息!BS98),0)&gt;0,IFERROR(FIND("交通银行",基本信息!BS98),0)&gt;0),计算结果!BT98=0),"",基本信息!BR98)</f>
        <v/>
      </c>
      <c r="B98" s="40" t="str">
        <f>IF($A98="","",基本信息!BQ98)</f>
        <v/>
      </c>
      <c r="C98" s="50" t="str">
        <f>IF($A98="","",计算结果!BT98-G98-H98)</f>
        <v/>
      </c>
      <c r="D98" s="40" t="str">
        <f>IF($A98="","",基本信息!BS98)</f>
        <v/>
      </c>
      <c r="F98" s="40" t="str">
        <f>IF($A98="","",基本信息!A98)</f>
        <v/>
      </c>
      <c r="G98" s="50" t="str">
        <f>IF($A98="","",计算结果!BI98+计算结果!BJ98)</f>
        <v/>
      </c>
      <c r="H98" s="50" t="str">
        <f>IF($A98="","",计算结果!BK98)</f>
        <v/>
      </c>
    </row>
    <row r="99" spans="1:8">
      <c r="A99" s="40" t="str">
        <f>IF(OR(OR(IFERROR(FIND("交行",基本信息!BS99),0)&gt;0,IFERROR(FIND("交通银行",基本信息!BS99),0)&gt;0),计算结果!BT99=0),"",基本信息!BR99)</f>
        <v/>
      </c>
      <c r="B99" s="40" t="str">
        <f>IF($A99="","",基本信息!BQ99)</f>
        <v/>
      </c>
      <c r="C99" s="50" t="str">
        <f>IF($A99="","",计算结果!BT99-G99-H99)</f>
        <v/>
      </c>
      <c r="D99" s="40" t="str">
        <f>IF($A99="","",基本信息!BS99)</f>
        <v/>
      </c>
      <c r="F99" s="40" t="str">
        <f>IF($A99="","",基本信息!A99)</f>
        <v/>
      </c>
      <c r="G99" s="50" t="str">
        <f>IF($A99="","",计算结果!BI99+计算结果!BJ99)</f>
        <v/>
      </c>
      <c r="H99" s="50" t="str">
        <f>IF($A99="","",计算结果!BK99)</f>
        <v/>
      </c>
    </row>
    <row r="100" spans="1:8">
      <c r="A100" s="40" t="str">
        <f>IF(OR(OR(IFERROR(FIND("交行",基本信息!BS100),0)&gt;0,IFERROR(FIND("交通银行",基本信息!BS100),0)&gt;0),计算结果!BT100=0),"",基本信息!BR100)</f>
        <v/>
      </c>
      <c r="B100" s="40" t="str">
        <f>IF($A100="","",基本信息!BQ100)</f>
        <v/>
      </c>
      <c r="C100" s="50" t="str">
        <f>IF($A100="","",计算结果!BT100-G100-H100)</f>
        <v/>
      </c>
      <c r="D100" s="40" t="str">
        <f>IF($A100="","",基本信息!BS100)</f>
        <v/>
      </c>
      <c r="F100" s="40" t="str">
        <f>IF($A100="","",基本信息!A100)</f>
        <v/>
      </c>
      <c r="G100" s="50" t="str">
        <f>IF($A100="","",计算结果!BI100+计算结果!BJ100)</f>
        <v/>
      </c>
      <c r="H100" s="50" t="str">
        <f>IF($A100="","",计算结果!BK100)</f>
        <v/>
      </c>
    </row>
    <row r="101" spans="1:8">
      <c r="A101" s="40" t="str">
        <f>IF(OR(OR(IFERROR(FIND("交行",基本信息!BS101),0)&gt;0,IFERROR(FIND("交通银行",基本信息!BS101),0)&gt;0),计算结果!BT101=0),"",基本信息!BR101)</f>
        <v/>
      </c>
      <c r="B101" s="40" t="str">
        <f>IF($A101="","",基本信息!BQ101)</f>
        <v/>
      </c>
      <c r="C101" s="50" t="str">
        <f>IF($A101="","",计算结果!BT101-G101-H101)</f>
        <v/>
      </c>
      <c r="D101" s="40" t="str">
        <f>IF($A101="","",基本信息!BS101)</f>
        <v/>
      </c>
      <c r="F101" s="40" t="str">
        <f>IF($A101="","",基本信息!A101)</f>
        <v/>
      </c>
      <c r="G101" s="50" t="str">
        <f>IF($A101="","",计算结果!BI101+计算结果!BJ101)</f>
        <v/>
      </c>
      <c r="H101" s="50" t="str">
        <f>IF($A101="","",计算结果!BK101)</f>
        <v/>
      </c>
    </row>
    <row r="102" spans="1:8">
      <c r="A102" s="40" t="str">
        <f>IF(OR(OR(IFERROR(FIND("交行",基本信息!BS102),0)&gt;0,IFERROR(FIND("交通银行",基本信息!BS102),0)&gt;0),计算结果!BT102=0),"",基本信息!BR102)</f>
        <v/>
      </c>
      <c r="B102" s="40" t="str">
        <f>IF($A102="","",基本信息!BQ102)</f>
        <v/>
      </c>
      <c r="C102" s="50" t="str">
        <f>IF($A102="","",计算结果!BT102-G102-H102)</f>
        <v/>
      </c>
      <c r="D102" s="40" t="str">
        <f>IF($A102="","",基本信息!BS102)</f>
        <v/>
      </c>
      <c r="F102" s="40" t="str">
        <f>IF($A102="","",基本信息!A102)</f>
        <v/>
      </c>
      <c r="G102" s="50" t="str">
        <f>IF($A102="","",计算结果!BI102+计算结果!BJ102)</f>
        <v/>
      </c>
      <c r="H102" s="50" t="str">
        <f>IF($A102="","",计算结果!BK102)</f>
        <v/>
      </c>
    </row>
    <row r="103" spans="1:8">
      <c r="A103" s="40" t="str">
        <f>IF(OR(OR(IFERROR(FIND("交行",基本信息!BS103),0)&gt;0,IFERROR(FIND("交通银行",基本信息!BS103),0)&gt;0),计算结果!BT103=0),"",基本信息!BR103)</f>
        <v/>
      </c>
      <c r="B103" s="40" t="str">
        <f>IF($A103="","",基本信息!BQ103)</f>
        <v/>
      </c>
      <c r="C103" s="50" t="str">
        <f>IF($A103="","",计算结果!BT103-G103-H103)</f>
        <v/>
      </c>
      <c r="D103" s="40" t="str">
        <f>IF($A103="","",基本信息!BS103)</f>
        <v/>
      </c>
      <c r="F103" s="40" t="str">
        <f>IF($A103="","",基本信息!A103)</f>
        <v/>
      </c>
      <c r="G103" s="50" t="str">
        <f>IF($A103="","",计算结果!BI103+计算结果!BJ103)</f>
        <v/>
      </c>
      <c r="H103" s="50" t="str">
        <f>IF($A103="","",计算结果!BK103)</f>
        <v/>
      </c>
    </row>
    <row r="104" spans="1:8">
      <c r="A104" s="40" t="str">
        <f>IF(OR(OR(IFERROR(FIND("交行",基本信息!BS104),0)&gt;0,IFERROR(FIND("交通银行",基本信息!BS104),0)&gt;0),计算结果!BT104=0),"",基本信息!BR104)</f>
        <v/>
      </c>
      <c r="B104" s="40" t="str">
        <f>IF($A104="","",基本信息!BQ104)</f>
        <v/>
      </c>
      <c r="C104" s="50" t="str">
        <f>IF($A104="","",计算结果!BT104-G104-H104)</f>
        <v/>
      </c>
      <c r="D104" s="40" t="str">
        <f>IF($A104="","",基本信息!BS104)</f>
        <v/>
      </c>
      <c r="F104" s="40" t="str">
        <f>IF($A104="","",基本信息!A104)</f>
        <v/>
      </c>
      <c r="G104" s="50" t="str">
        <f>IF($A104="","",计算结果!BI104+计算结果!BJ104)</f>
        <v/>
      </c>
      <c r="H104" s="50" t="str">
        <f>IF($A104="","",计算结果!BK104)</f>
        <v/>
      </c>
    </row>
    <row r="105" spans="1:8">
      <c r="A105" s="40" t="str">
        <f>IF(OR(OR(IFERROR(FIND("交行",基本信息!BS105),0)&gt;0,IFERROR(FIND("交通银行",基本信息!BS105),0)&gt;0),计算结果!BT105=0),"",基本信息!BR105)</f>
        <v/>
      </c>
      <c r="B105" s="40" t="str">
        <f>IF($A105="","",基本信息!BQ105)</f>
        <v/>
      </c>
      <c r="C105" s="50" t="str">
        <f>IF($A105="","",计算结果!BT105-G105-H105)</f>
        <v/>
      </c>
      <c r="D105" s="40" t="str">
        <f>IF($A105="","",基本信息!BS105)</f>
        <v/>
      </c>
      <c r="F105" s="40" t="str">
        <f>IF($A105="","",基本信息!A105)</f>
        <v/>
      </c>
      <c r="G105" s="50" t="str">
        <f>IF($A105="","",计算结果!BI105+计算结果!BJ105)</f>
        <v/>
      </c>
      <c r="H105" s="50" t="str">
        <f>IF($A105="","",计算结果!BK105)</f>
        <v/>
      </c>
    </row>
    <row r="106" spans="1:8">
      <c r="A106" s="40" t="str">
        <f>IF(OR(OR(IFERROR(FIND("交行",基本信息!BS106),0)&gt;0,IFERROR(FIND("交通银行",基本信息!BS106),0)&gt;0),计算结果!BT106=0),"",基本信息!BR106)</f>
        <v/>
      </c>
      <c r="B106" s="40" t="str">
        <f>IF($A106="","",基本信息!BQ106)</f>
        <v/>
      </c>
      <c r="C106" s="50" t="str">
        <f>IF($A106="","",计算结果!BT106-G106-H106)</f>
        <v/>
      </c>
      <c r="D106" s="40" t="str">
        <f>IF($A106="","",基本信息!BS106)</f>
        <v/>
      </c>
      <c r="F106" s="40" t="str">
        <f>IF($A106="","",基本信息!A106)</f>
        <v/>
      </c>
      <c r="G106" s="50" t="str">
        <f>IF($A106="","",计算结果!BI106+计算结果!BJ106)</f>
        <v/>
      </c>
      <c r="H106" s="50" t="str">
        <f>IF($A106="","",计算结果!BK106)</f>
        <v/>
      </c>
    </row>
    <row r="107" spans="1:8">
      <c r="A107" s="40" t="str">
        <f>IF(OR(OR(IFERROR(FIND("交行",基本信息!BS107),0)&gt;0,IFERROR(FIND("交通银行",基本信息!BS107),0)&gt;0),计算结果!BT107=0),"",基本信息!BR107)</f>
        <v/>
      </c>
      <c r="B107" s="40" t="str">
        <f>IF($A107="","",基本信息!BQ107)</f>
        <v/>
      </c>
      <c r="C107" s="50" t="str">
        <f>IF($A107="","",计算结果!BT107-G107-H107)</f>
        <v/>
      </c>
      <c r="D107" s="40" t="str">
        <f>IF($A107="","",基本信息!BS107)</f>
        <v/>
      </c>
      <c r="F107" s="40" t="str">
        <f>IF($A107="","",基本信息!A107)</f>
        <v/>
      </c>
      <c r="G107" s="50" t="str">
        <f>IF($A107="","",计算结果!BI107+计算结果!BJ107)</f>
        <v/>
      </c>
      <c r="H107" s="50" t="str">
        <f>IF($A107="","",计算结果!BK107)</f>
        <v/>
      </c>
    </row>
    <row r="108" spans="1:8">
      <c r="A108" s="40" t="str">
        <f>IF(OR(OR(IFERROR(FIND("交行",基本信息!BS108),0)&gt;0,IFERROR(FIND("交通银行",基本信息!BS108),0)&gt;0),计算结果!BT108=0),"",基本信息!BR108)</f>
        <v/>
      </c>
      <c r="B108" s="40" t="str">
        <f>IF($A108="","",基本信息!BQ108)</f>
        <v/>
      </c>
      <c r="C108" s="50" t="str">
        <f>IF($A108="","",计算结果!BT108-G108-H108)</f>
        <v/>
      </c>
      <c r="D108" s="40" t="str">
        <f>IF($A108="","",基本信息!BS108)</f>
        <v/>
      </c>
      <c r="F108" s="40" t="str">
        <f>IF($A108="","",基本信息!A108)</f>
        <v/>
      </c>
      <c r="G108" s="50" t="str">
        <f>IF($A108="","",计算结果!BI108+计算结果!BJ108)</f>
        <v/>
      </c>
      <c r="H108" s="50" t="str">
        <f>IF($A108="","",计算结果!BK108)</f>
        <v/>
      </c>
    </row>
    <row r="109" spans="1:8">
      <c r="A109" s="40" t="str">
        <f>IF(OR(OR(IFERROR(FIND("交行",基本信息!BS109),0)&gt;0,IFERROR(FIND("交通银行",基本信息!BS109),0)&gt;0),计算结果!BT109=0),"",基本信息!BR109)</f>
        <v/>
      </c>
      <c r="B109" s="40" t="str">
        <f>IF($A109="","",基本信息!BQ109)</f>
        <v/>
      </c>
      <c r="C109" s="50" t="str">
        <f>IF($A109="","",计算结果!BT109-G109-H109)</f>
        <v/>
      </c>
      <c r="D109" s="40" t="str">
        <f>IF($A109="","",基本信息!BS109)</f>
        <v/>
      </c>
      <c r="F109" s="40" t="str">
        <f>IF($A109="","",基本信息!A109)</f>
        <v/>
      </c>
      <c r="G109" s="50" t="str">
        <f>IF($A109="","",计算结果!BI109+计算结果!BJ109)</f>
        <v/>
      </c>
      <c r="H109" s="50" t="str">
        <f>IF($A109="","",计算结果!BK109)</f>
        <v/>
      </c>
    </row>
    <row r="110" spans="1:8">
      <c r="A110" s="40" t="str">
        <f>IF(OR(OR(IFERROR(FIND("交行",基本信息!BS110),0)&gt;0,IFERROR(FIND("交通银行",基本信息!BS110),0)&gt;0),计算结果!BT110=0),"",基本信息!BR110)</f>
        <v/>
      </c>
      <c r="B110" s="40" t="str">
        <f>IF($A110="","",基本信息!BQ110)</f>
        <v/>
      </c>
      <c r="C110" s="50" t="str">
        <f>IF($A110="","",计算结果!BT110-G110-H110)</f>
        <v/>
      </c>
      <c r="D110" s="40" t="str">
        <f>IF($A110="","",基本信息!BS110)</f>
        <v/>
      </c>
      <c r="F110" s="40" t="str">
        <f>IF($A110="","",基本信息!A110)</f>
        <v/>
      </c>
      <c r="G110" s="50" t="str">
        <f>IF($A110="","",计算结果!BI110+计算结果!BJ110)</f>
        <v/>
      </c>
      <c r="H110" s="50" t="str">
        <f>IF($A110="","",计算结果!BK110)</f>
        <v/>
      </c>
    </row>
    <row r="111" spans="1:8">
      <c r="A111" s="40" t="str">
        <f>IF(OR(OR(IFERROR(FIND("交行",基本信息!BS111),0)&gt;0,IFERROR(FIND("交通银行",基本信息!BS111),0)&gt;0),计算结果!BT111=0),"",基本信息!BR111)</f>
        <v/>
      </c>
      <c r="B111" s="40" t="str">
        <f>IF($A111="","",基本信息!BQ111)</f>
        <v/>
      </c>
      <c r="C111" s="50" t="str">
        <f>IF($A111="","",计算结果!BT111-G111-H111)</f>
        <v/>
      </c>
      <c r="D111" s="40" t="str">
        <f>IF($A111="","",基本信息!BS111)</f>
        <v/>
      </c>
      <c r="F111" s="40" t="str">
        <f>IF($A111="","",基本信息!A111)</f>
        <v/>
      </c>
      <c r="G111" s="50" t="str">
        <f>IF($A111="","",计算结果!BI111+计算结果!BJ111)</f>
        <v/>
      </c>
      <c r="H111" s="50" t="str">
        <f>IF($A111="","",计算结果!BK111)</f>
        <v/>
      </c>
    </row>
    <row r="112" spans="1:8">
      <c r="A112" s="40" t="str">
        <f>IF(OR(OR(IFERROR(FIND("交行",基本信息!BS112),0)&gt;0,IFERROR(FIND("交通银行",基本信息!BS112),0)&gt;0),计算结果!BT112=0),"",基本信息!BR112)</f>
        <v/>
      </c>
      <c r="B112" s="40" t="str">
        <f>IF($A112="","",基本信息!BQ112)</f>
        <v/>
      </c>
      <c r="C112" s="50" t="str">
        <f>IF($A112="","",计算结果!BT112-G112-H112)</f>
        <v/>
      </c>
      <c r="D112" s="40" t="str">
        <f>IF($A112="","",基本信息!BS112)</f>
        <v/>
      </c>
      <c r="F112" s="40" t="str">
        <f>IF($A112="","",基本信息!A112)</f>
        <v/>
      </c>
      <c r="G112" s="50" t="str">
        <f>IF($A112="","",计算结果!BI112+计算结果!BJ112)</f>
        <v/>
      </c>
      <c r="H112" s="50" t="str">
        <f>IF($A112="","",计算结果!BK112)</f>
        <v/>
      </c>
    </row>
    <row r="113" spans="1:8">
      <c r="A113" s="40" t="str">
        <f>IF(OR(OR(IFERROR(FIND("交行",基本信息!BS113),0)&gt;0,IFERROR(FIND("交通银行",基本信息!BS113),0)&gt;0),计算结果!BT113=0),"",基本信息!BR113)</f>
        <v/>
      </c>
      <c r="B113" s="40" t="str">
        <f>IF($A113="","",基本信息!BQ113)</f>
        <v/>
      </c>
      <c r="C113" s="50" t="str">
        <f>IF($A113="","",计算结果!BT113-G113-H113)</f>
        <v/>
      </c>
      <c r="D113" s="40" t="str">
        <f>IF($A113="","",基本信息!BS113)</f>
        <v/>
      </c>
      <c r="F113" s="40" t="str">
        <f>IF($A113="","",基本信息!A113)</f>
        <v/>
      </c>
      <c r="G113" s="50" t="str">
        <f>IF($A113="","",计算结果!BI113+计算结果!BJ113)</f>
        <v/>
      </c>
      <c r="H113" s="50" t="str">
        <f>IF($A113="","",计算结果!BK113)</f>
        <v/>
      </c>
    </row>
    <row r="114" spans="1:8">
      <c r="A114" s="40" t="str">
        <f>IF(OR(OR(IFERROR(FIND("交行",基本信息!BS114),0)&gt;0,IFERROR(FIND("交通银行",基本信息!BS114),0)&gt;0),计算结果!BT114=0),"",基本信息!BR114)</f>
        <v/>
      </c>
      <c r="B114" s="40" t="str">
        <f>IF($A114="","",基本信息!BQ114)</f>
        <v/>
      </c>
      <c r="C114" s="50" t="str">
        <f>IF($A114="","",计算结果!BT114-G114-H114)</f>
        <v/>
      </c>
      <c r="D114" s="40" t="str">
        <f>IF($A114="","",基本信息!BS114)</f>
        <v/>
      </c>
      <c r="F114" s="40" t="str">
        <f>IF($A114="","",基本信息!A114)</f>
        <v/>
      </c>
      <c r="G114" s="50" t="str">
        <f>IF($A114="","",计算结果!BI114+计算结果!BJ114)</f>
        <v/>
      </c>
      <c r="H114" s="50" t="str">
        <f>IF($A114="","",计算结果!BK114)</f>
        <v/>
      </c>
    </row>
    <row r="115" spans="1:8">
      <c r="A115" s="40" t="str">
        <f>IF(OR(OR(IFERROR(FIND("交行",基本信息!BS115),0)&gt;0,IFERROR(FIND("交通银行",基本信息!BS115),0)&gt;0),计算结果!BT115=0),"",基本信息!BR115)</f>
        <v/>
      </c>
      <c r="B115" s="40" t="str">
        <f>IF($A115="","",基本信息!BQ115)</f>
        <v/>
      </c>
      <c r="C115" s="50" t="str">
        <f>IF($A115="","",计算结果!BT115-G115-H115)</f>
        <v/>
      </c>
      <c r="D115" s="40" t="str">
        <f>IF($A115="","",基本信息!BS115)</f>
        <v/>
      </c>
      <c r="F115" s="40" t="str">
        <f>IF($A115="","",基本信息!A115)</f>
        <v/>
      </c>
      <c r="G115" s="50" t="str">
        <f>IF($A115="","",计算结果!BI115+计算结果!BJ115)</f>
        <v/>
      </c>
      <c r="H115" s="50" t="str">
        <f>IF($A115="","",计算结果!BK115)</f>
        <v/>
      </c>
    </row>
    <row r="116" spans="1:8">
      <c r="A116" s="40" t="str">
        <f>IF(OR(OR(IFERROR(FIND("交行",基本信息!BS116),0)&gt;0,IFERROR(FIND("交通银行",基本信息!BS116),0)&gt;0),计算结果!BT116=0),"",基本信息!BR116)</f>
        <v/>
      </c>
      <c r="B116" s="40" t="str">
        <f>IF($A116="","",基本信息!BQ116)</f>
        <v/>
      </c>
      <c r="C116" s="50" t="str">
        <f>IF($A116="","",计算结果!BT116-G116-H116)</f>
        <v/>
      </c>
      <c r="D116" s="40" t="str">
        <f>IF($A116="","",基本信息!BS116)</f>
        <v/>
      </c>
      <c r="F116" s="40" t="str">
        <f>IF($A116="","",基本信息!A116)</f>
        <v/>
      </c>
      <c r="G116" s="50" t="str">
        <f>IF($A116="","",计算结果!BI116+计算结果!BJ116)</f>
        <v/>
      </c>
      <c r="H116" s="50" t="str">
        <f>IF($A116="","",计算结果!BK116)</f>
        <v/>
      </c>
    </row>
    <row r="117" spans="1:8">
      <c r="A117" s="40" t="str">
        <f>IF(OR(OR(IFERROR(FIND("交行",基本信息!BS117),0)&gt;0,IFERROR(FIND("交通银行",基本信息!BS117),0)&gt;0),计算结果!BT117=0),"",基本信息!BR117)</f>
        <v/>
      </c>
      <c r="B117" s="40" t="str">
        <f>IF($A117="","",基本信息!BQ117)</f>
        <v/>
      </c>
      <c r="C117" s="50" t="str">
        <f>IF($A117="","",计算结果!BT117-G117-H117)</f>
        <v/>
      </c>
      <c r="D117" s="40" t="str">
        <f>IF($A117="","",基本信息!BS117)</f>
        <v/>
      </c>
      <c r="F117" s="40" t="str">
        <f>IF($A117="","",基本信息!A117)</f>
        <v/>
      </c>
      <c r="G117" s="50" t="str">
        <f>IF($A117="","",计算结果!BI117+计算结果!BJ117)</f>
        <v/>
      </c>
      <c r="H117" s="50" t="str">
        <f>IF($A117="","",计算结果!BK117)</f>
        <v/>
      </c>
    </row>
    <row r="118" spans="1:8">
      <c r="A118" s="40" t="str">
        <f>IF(OR(OR(IFERROR(FIND("交行",基本信息!BS118),0)&gt;0,IFERROR(FIND("交通银行",基本信息!BS118),0)&gt;0),计算结果!BT118=0),"",基本信息!BR118)</f>
        <v/>
      </c>
      <c r="B118" s="40" t="str">
        <f>IF($A118="","",基本信息!BQ118)</f>
        <v/>
      </c>
      <c r="C118" s="50" t="str">
        <f>IF($A118="","",计算结果!BT118-G118-H118)</f>
        <v/>
      </c>
      <c r="D118" s="40" t="str">
        <f>IF($A118="","",基本信息!BS118)</f>
        <v/>
      </c>
      <c r="F118" s="40" t="str">
        <f>IF($A118="","",基本信息!A118)</f>
        <v/>
      </c>
      <c r="G118" s="50" t="str">
        <f>IF($A118="","",计算结果!BI118+计算结果!BJ118)</f>
        <v/>
      </c>
      <c r="H118" s="50" t="str">
        <f>IF($A118="","",计算结果!BK118)</f>
        <v/>
      </c>
    </row>
    <row r="119" spans="1:8">
      <c r="A119" s="40" t="str">
        <f>IF(OR(OR(IFERROR(FIND("交行",基本信息!BS119),0)&gt;0,IFERROR(FIND("交通银行",基本信息!BS119),0)&gt;0),计算结果!BT119=0),"",基本信息!BR119)</f>
        <v/>
      </c>
      <c r="B119" s="40" t="str">
        <f>IF($A119="","",基本信息!BQ119)</f>
        <v/>
      </c>
      <c r="C119" s="50" t="str">
        <f>IF($A119="","",计算结果!BT119-G119-H119)</f>
        <v/>
      </c>
      <c r="D119" s="40" t="str">
        <f>IF($A119="","",基本信息!BS119)</f>
        <v/>
      </c>
      <c r="F119" s="40" t="str">
        <f>IF($A119="","",基本信息!A119)</f>
        <v/>
      </c>
      <c r="G119" s="50" t="str">
        <f>IF($A119="","",计算结果!BI119+计算结果!BJ119)</f>
        <v/>
      </c>
      <c r="H119" s="50" t="str">
        <f>IF($A119="","",计算结果!BK119)</f>
        <v/>
      </c>
    </row>
    <row r="120" spans="1:8">
      <c r="A120" s="40" t="str">
        <f>IF(OR(OR(IFERROR(FIND("交行",基本信息!BS120),0)&gt;0,IFERROR(FIND("交通银行",基本信息!BS120),0)&gt;0),计算结果!BT120=0),"",基本信息!BR120)</f>
        <v/>
      </c>
      <c r="B120" s="40" t="str">
        <f>IF($A120="","",基本信息!BQ120)</f>
        <v/>
      </c>
      <c r="C120" s="50" t="str">
        <f>IF($A120="","",计算结果!BT120-G120-H120)</f>
        <v/>
      </c>
      <c r="D120" s="40" t="str">
        <f>IF($A120="","",基本信息!BS120)</f>
        <v/>
      </c>
      <c r="F120" s="40" t="str">
        <f>IF($A120="","",基本信息!A120)</f>
        <v/>
      </c>
      <c r="G120" s="50" t="str">
        <f>IF($A120="","",计算结果!BI120+计算结果!BJ120)</f>
        <v/>
      </c>
      <c r="H120" s="50" t="str">
        <f>IF($A120="","",计算结果!BK120)</f>
        <v/>
      </c>
    </row>
    <row r="121" spans="1:8">
      <c r="A121" s="40" t="str">
        <f>IF(OR(OR(IFERROR(FIND("交行",基本信息!BS121),0)&gt;0,IFERROR(FIND("交通银行",基本信息!BS121),0)&gt;0),计算结果!BT121=0),"",基本信息!BR121)</f>
        <v/>
      </c>
      <c r="B121" s="40" t="str">
        <f>IF($A121="","",基本信息!BQ121)</f>
        <v/>
      </c>
      <c r="C121" s="50" t="str">
        <f>IF($A121="","",计算结果!BT121-G121-H121)</f>
        <v/>
      </c>
      <c r="D121" s="40" t="str">
        <f>IF($A121="","",基本信息!BS121)</f>
        <v/>
      </c>
      <c r="F121" s="40" t="str">
        <f>IF($A121="","",基本信息!A121)</f>
        <v/>
      </c>
      <c r="G121" s="50" t="str">
        <f>IF($A121="","",计算结果!BI121+计算结果!BJ121)</f>
        <v/>
      </c>
      <c r="H121" s="50" t="str">
        <f>IF($A121="","",计算结果!BK121)</f>
        <v/>
      </c>
    </row>
    <row r="122" spans="1:8">
      <c r="A122" s="40" t="str">
        <f>IF(OR(OR(IFERROR(FIND("交行",基本信息!BS122),0)&gt;0,IFERROR(FIND("交通银行",基本信息!BS122),0)&gt;0),计算结果!BT122=0),"",基本信息!BR122)</f>
        <v/>
      </c>
      <c r="B122" s="40" t="str">
        <f>IF($A122="","",基本信息!BQ122)</f>
        <v/>
      </c>
      <c r="C122" s="50" t="str">
        <f>IF($A122="","",计算结果!BT122-G122-H122)</f>
        <v/>
      </c>
      <c r="D122" s="40" t="str">
        <f>IF($A122="","",基本信息!BS122)</f>
        <v/>
      </c>
      <c r="F122" s="40" t="str">
        <f>IF($A122="","",基本信息!A122)</f>
        <v/>
      </c>
      <c r="G122" s="50" t="str">
        <f>IF($A122="","",计算结果!BI122+计算结果!BJ122)</f>
        <v/>
      </c>
      <c r="H122" s="50" t="str">
        <f>IF($A122="","",计算结果!BK122)</f>
        <v/>
      </c>
    </row>
    <row r="123" spans="1:8">
      <c r="A123" s="40" t="str">
        <f>IF(OR(OR(IFERROR(FIND("交行",基本信息!BS123),0)&gt;0,IFERROR(FIND("交通银行",基本信息!BS123),0)&gt;0),计算结果!BT123=0),"",基本信息!BR123)</f>
        <v/>
      </c>
      <c r="B123" s="40" t="str">
        <f>IF($A123="","",基本信息!BQ123)</f>
        <v/>
      </c>
      <c r="C123" s="50" t="str">
        <f>IF($A123="","",计算结果!BT123-G123-H123)</f>
        <v/>
      </c>
      <c r="D123" s="40" t="str">
        <f>IF($A123="","",基本信息!BS123)</f>
        <v/>
      </c>
      <c r="F123" s="40" t="str">
        <f>IF($A123="","",基本信息!A123)</f>
        <v/>
      </c>
      <c r="G123" s="50" t="str">
        <f>IF($A123="","",计算结果!BI123+计算结果!BJ123)</f>
        <v/>
      </c>
      <c r="H123" s="50" t="str">
        <f>IF($A123="","",计算结果!BK123)</f>
        <v/>
      </c>
    </row>
    <row r="124" spans="1:8">
      <c r="A124" s="40" t="str">
        <f>IF(OR(OR(IFERROR(FIND("交行",基本信息!BS124),0)&gt;0,IFERROR(FIND("交通银行",基本信息!BS124),0)&gt;0),计算结果!BT124=0),"",基本信息!BR124)</f>
        <v/>
      </c>
      <c r="B124" s="40" t="str">
        <f>IF($A124="","",基本信息!BQ124)</f>
        <v/>
      </c>
      <c r="C124" s="50" t="str">
        <f>IF($A124="","",计算结果!BT124-G124-H124)</f>
        <v/>
      </c>
      <c r="D124" s="40" t="str">
        <f>IF($A124="","",基本信息!BS124)</f>
        <v/>
      </c>
      <c r="F124" s="40" t="str">
        <f>IF($A124="","",基本信息!A124)</f>
        <v/>
      </c>
      <c r="G124" s="50" t="str">
        <f>IF($A124="","",计算结果!BI124+计算结果!BJ124)</f>
        <v/>
      </c>
      <c r="H124" s="50" t="str">
        <f>IF($A124="","",计算结果!BK124)</f>
        <v/>
      </c>
    </row>
    <row r="125" spans="1:8">
      <c r="A125" s="40" t="str">
        <f>IF(OR(OR(IFERROR(FIND("交行",基本信息!BS125),0)&gt;0,IFERROR(FIND("交通银行",基本信息!BS125),0)&gt;0),计算结果!BT125=0),"",基本信息!BR125)</f>
        <v/>
      </c>
      <c r="B125" s="40" t="str">
        <f>IF($A125="","",基本信息!BQ125)</f>
        <v/>
      </c>
      <c r="C125" s="50" t="str">
        <f>IF($A125="","",计算结果!BT125-G125-H125)</f>
        <v/>
      </c>
      <c r="D125" s="40" t="str">
        <f>IF($A125="","",基本信息!BS125)</f>
        <v/>
      </c>
      <c r="F125" s="40" t="str">
        <f>IF($A125="","",基本信息!A125)</f>
        <v/>
      </c>
      <c r="G125" s="50" t="str">
        <f>IF($A125="","",计算结果!BI125+计算结果!BJ125)</f>
        <v/>
      </c>
      <c r="H125" s="50" t="str">
        <f>IF($A125="","",计算结果!BK125)</f>
        <v/>
      </c>
    </row>
    <row r="126" spans="1:8">
      <c r="A126" s="40" t="str">
        <f>IF(OR(OR(IFERROR(FIND("交行",基本信息!BS126),0)&gt;0,IFERROR(FIND("交通银行",基本信息!BS126),0)&gt;0),计算结果!BT126=0),"",基本信息!BR126)</f>
        <v/>
      </c>
      <c r="B126" s="40" t="str">
        <f>IF($A126="","",基本信息!BQ126)</f>
        <v/>
      </c>
      <c r="C126" s="50" t="str">
        <f>IF($A126="","",计算结果!BT126-G126-H126)</f>
        <v/>
      </c>
      <c r="D126" s="40" t="str">
        <f>IF($A126="","",基本信息!BS126)</f>
        <v/>
      </c>
      <c r="F126" s="40" t="str">
        <f>IF($A126="","",基本信息!A126)</f>
        <v/>
      </c>
      <c r="G126" s="50" t="str">
        <f>IF($A126="","",计算结果!BI126+计算结果!BJ126)</f>
        <v/>
      </c>
      <c r="H126" s="50" t="str">
        <f>IF($A126="","",计算结果!BK126)</f>
        <v/>
      </c>
    </row>
    <row r="127" spans="1:8">
      <c r="A127" s="40" t="str">
        <f>IF(OR(OR(IFERROR(FIND("交行",基本信息!BS127),0)&gt;0,IFERROR(FIND("交通银行",基本信息!BS127),0)&gt;0),计算结果!BT127=0),"",基本信息!BR127)</f>
        <v/>
      </c>
      <c r="B127" s="40" t="str">
        <f>IF($A127="","",基本信息!BQ127)</f>
        <v/>
      </c>
      <c r="C127" s="50" t="str">
        <f>IF($A127="","",计算结果!BT127-G127-H127)</f>
        <v/>
      </c>
      <c r="D127" s="40" t="str">
        <f>IF($A127="","",基本信息!BS127)</f>
        <v/>
      </c>
      <c r="F127" s="40" t="str">
        <f>IF($A127="","",基本信息!A127)</f>
        <v/>
      </c>
      <c r="G127" s="50" t="str">
        <f>IF($A127="","",计算结果!BI127+计算结果!BJ127)</f>
        <v/>
      </c>
      <c r="H127" s="50" t="str">
        <f>IF($A127="","",计算结果!BK127)</f>
        <v/>
      </c>
    </row>
    <row r="128" spans="1:8">
      <c r="A128" s="40" t="str">
        <f>IF(OR(OR(IFERROR(FIND("交行",基本信息!BS128),0)&gt;0,IFERROR(FIND("交通银行",基本信息!BS128),0)&gt;0),计算结果!BT128=0),"",基本信息!BR128)</f>
        <v/>
      </c>
      <c r="B128" s="40" t="str">
        <f>IF($A128="","",基本信息!BQ128)</f>
        <v/>
      </c>
      <c r="C128" s="50" t="str">
        <f>IF($A128="","",计算结果!BT128-G128-H128)</f>
        <v/>
      </c>
      <c r="D128" s="40" t="str">
        <f>IF($A128="","",基本信息!BS128)</f>
        <v/>
      </c>
      <c r="F128" s="40" t="str">
        <f>IF($A128="","",基本信息!A128)</f>
        <v/>
      </c>
      <c r="G128" s="50" t="str">
        <f>IF($A128="","",计算结果!BI128+计算结果!BJ128)</f>
        <v/>
      </c>
      <c r="H128" s="50" t="str">
        <f>IF($A128="","",计算结果!BK128)</f>
        <v/>
      </c>
    </row>
    <row r="129" spans="1:8">
      <c r="A129" s="40" t="str">
        <f>IF(OR(OR(IFERROR(FIND("交行",基本信息!BS129),0)&gt;0,IFERROR(FIND("交通银行",基本信息!BS129),0)&gt;0),计算结果!BT129=0),"",基本信息!BR129)</f>
        <v/>
      </c>
      <c r="B129" s="40" t="str">
        <f>IF($A129="","",基本信息!BQ129)</f>
        <v/>
      </c>
      <c r="C129" s="50" t="str">
        <f>IF($A129="","",计算结果!BT129-G129-H129)</f>
        <v/>
      </c>
      <c r="D129" s="40" t="str">
        <f>IF($A129="","",基本信息!BS129)</f>
        <v/>
      </c>
      <c r="F129" s="40" t="str">
        <f>IF($A129="","",基本信息!A129)</f>
        <v/>
      </c>
      <c r="G129" s="50" t="str">
        <f>IF($A129="","",计算结果!BI129+计算结果!BJ129)</f>
        <v/>
      </c>
      <c r="H129" s="50" t="str">
        <f>IF($A129="","",计算结果!BK129)</f>
        <v/>
      </c>
    </row>
    <row r="130" spans="1:8">
      <c r="A130" s="40" t="str">
        <f>IF(OR(OR(IFERROR(FIND("交行",基本信息!BS130),0)&gt;0,IFERROR(FIND("交通银行",基本信息!BS130),0)&gt;0),计算结果!BT130=0),"",基本信息!BR130)</f>
        <v/>
      </c>
      <c r="B130" s="40" t="str">
        <f>IF($A130="","",基本信息!BQ130)</f>
        <v/>
      </c>
      <c r="C130" s="50" t="str">
        <f>IF($A130="","",计算结果!BT130-G130-H130)</f>
        <v/>
      </c>
      <c r="D130" s="40" t="str">
        <f>IF($A130="","",基本信息!BS130)</f>
        <v/>
      </c>
      <c r="F130" s="40" t="str">
        <f>IF($A130="","",基本信息!A130)</f>
        <v/>
      </c>
      <c r="G130" s="50" t="str">
        <f>IF($A130="","",计算结果!BI130+计算结果!BJ130)</f>
        <v/>
      </c>
      <c r="H130" s="50" t="str">
        <f>IF($A130="","",计算结果!BK130)</f>
        <v/>
      </c>
    </row>
    <row r="131" spans="1:8">
      <c r="A131" s="40" t="str">
        <f>IF(OR(OR(IFERROR(FIND("交行",基本信息!BS131),0)&gt;0,IFERROR(FIND("交通银行",基本信息!BS131),0)&gt;0),计算结果!BT131=0),"",基本信息!BR131)</f>
        <v/>
      </c>
      <c r="B131" s="40" t="str">
        <f>IF($A131="","",基本信息!BQ131)</f>
        <v/>
      </c>
      <c r="C131" s="50" t="str">
        <f>IF($A131="","",计算结果!BT131-G131-H131)</f>
        <v/>
      </c>
      <c r="D131" s="40" t="str">
        <f>IF($A131="","",基本信息!BS131)</f>
        <v/>
      </c>
      <c r="F131" s="40" t="str">
        <f>IF($A131="","",基本信息!A131)</f>
        <v/>
      </c>
      <c r="G131" s="50" t="str">
        <f>IF($A131="","",计算结果!BI131+计算结果!BJ131)</f>
        <v/>
      </c>
      <c r="H131" s="50" t="str">
        <f>IF($A131="","",计算结果!BK131)</f>
        <v/>
      </c>
    </row>
    <row r="132" spans="1:8">
      <c r="A132" s="40" t="str">
        <f>IF(OR(OR(IFERROR(FIND("交行",基本信息!BS132),0)&gt;0,IFERROR(FIND("交通银行",基本信息!BS132),0)&gt;0),计算结果!BT132=0),"",基本信息!BR132)</f>
        <v/>
      </c>
      <c r="B132" s="40" t="str">
        <f>IF($A132="","",基本信息!BQ132)</f>
        <v/>
      </c>
      <c r="C132" s="50" t="str">
        <f>IF($A132="","",计算结果!BT132-G132-H132)</f>
        <v/>
      </c>
      <c r="D132" s="40" t="str">
        <f>IF($A132="","",基本信息!BS132)</f>
        <v/>
      </c>
      <c r="F132" s="40" t="str">
        <f>IF($A132="","",基本信息!A132)</f>
        <v/>
      </c>
      <c r="G132" s="50" t="str">
        <f>IF($A132="","",计算结果!BI132+计算结果!BJ132)</f>
        <v/>
      </c>
      <c r="H132" s="50" t="str">
        <f>IF($A132="","",计算结果!BK132)</f>
        <v/>
      </c>
    </row>
    <row r="133" spans="1:8">
      <c r="A133" s="40" t="str">
        <f>IF(OR(OR(IFERROR(FIND("交行",基本信息!BS133),0)&gt;0,IFERROR(FIND("交通银行",基本信息!BS133),0)&gt;0),计算结果!BT133=0),"",基本信息!BR133)</f>
        <v/>
      </c>
      <c r="B133" s="40" t="str">
        <f>IF($A133="","",基本信息!BQ133)</f>
        <v/>
      </c>
      <c r="C133" s="50" t="str">
        <f>IF($A133="","",计算结果!BT133-G133-H133)</f>
        <v/>
      </c>
      <c r="D133" s="40" t="str">
        <f>IF($A133="","",基本信息!BS133)</f>
        <v/>
      </c>
      <c r="F133" s="40" t="str">
        <f>IF($A133="","",基本信息!A133)</f>
        <v/>
      </c>
      <c r="G133" s="50" t="str">
        <f>IF($A133="","",计算结果!BI133+计算结果!BJ133)</f>
        <v/>
      </c>
      <c r="H133" s="50" t="str">
        <f>IF($A133="","",计算结果!BK133)</f>
        <v/>
      </c>
    </row>
    <row r="134" spans="1:8">
      <c r="A134" s="40" t="str">
        <f>IF(OR(OR(IFERROR(FIND("交行",基本信息!BS134),0)&gt;0,IFERROR(FIND("交通银行",基本信息!BS134),0)&gt;0),计算结果!BT134=0),"",基本信息!BR134)</f>
        <v/>
      </c>
      <c r="B134" s="40" t="str">
        <f>IF($A134="","",基本信息!BQ134)</f>
        <v/>
      </c>
      <c r="C134" s="50" t="str">
        <f>IF($A134="","",计算结果!BT134-G134-H134)</f>
        <v/>
      </c>
      <c r="D134" s="40" t="str">
        <f>IF($A134="","",基本信息!BS134)</f>
        <v/>
      </c>
      <c r="F134" s="40" t="str">
        <f>IF($A134="","",基本信息!A134)</f>
        <v/>
      </c>
      <c r="G134" s="50" t="str">
        <f>IF($A134="","",计算结果!BI134+计算结果!BJ134)</f>
        <v/>
      </c>
      <c r="H134" s="50" t="str">
        <f>IF($A134="","",计算结果!BK134)</f>
        <v/>
      </c>
    </row>
    <row r="135" spans="1:8">
      <c r="A135" s="40" t="str">
        <f>IF(OR(OR(IFERROR(FIND("交行",基本信息!BS135),0)&gt;0,IFERROR(FIND("交通银行",基本信息!BS135),0)&gt;0),计算结果!BT135=0),"",基本信息!BR135)</f>
        <v/>
      </c>
      <c r="B135" s="40" t="str">
        <f>IF($A135="","",基本信息!BQ135)</f>
        <v/>
      </c>
      <c r="C135" s="50" t="str">
        <f>IF($A135="","",计算结果!BT135-G135-H135)</f>
        <v/>
      </c>
      <c r="D135" s="40" t="str">
        <f>IF($A135="","",基本信息!BS135)</f>
        <v/>
      </c>
      <c r="F135" s="40" t="str">
        <f>IF($A135="","",基本信息!A135)</f>
        <v/>
      </c>
      <c r="G135" s="50" t="str">
        <f>IF($A135="","",计算结果!BI135+计算结果!BJ135)</f>
        <v/>
      </c>
      <c r="H135" s="50" t="str">
        <f>IF($A135="","",计算结果!BK135)</f>
        <v/>
      </c>
    </row>
    <row r="136" spans="1:8">
      <c r="A136" s="40" t="str">
        <f>IF(OR(OR(IFERROR(FIND("交行",基本信息!BS136),0)&gt;0,IFERROR(FIND("交通银行",基本信息!BS136),0)&gt;0),计算结果!BT136=0),"",基本信息!BR136)</f>
        <v/>
      </c>
      <c r="B136" s="40" t="str">
        <f>IF($A136="","",基本信息!BQ136)</f>
        <v/>
      </c>
      <c r="C136" s="50" t="str">
        <f>IF($A136="","",计算结果!BT136-G136-H136)</f>
        <v/>
      </c>
      <c r="D136" s="40" t="str">
        <f>IF($A136="","",基本信息!BS136)</f>
        <v/>
      </c>
      <c r="F136" s="40" t="str">
        <f>IF($A136="","",基本信息!A136)</f>
        <v/>
      </c>
      <c r="G136" s="50" t="str">
        <f>IF($A136="","",计算结果!BI136+计算结果!BJ136)</f>
        <v/>
      </c>
      <c r="H136" s="50" t="str">
        <f>IF($A136="","",计算结果!BK136)</f>
        <v/>
      </c>
    </row>
    <row r="137" spans="1:8">
      <c r="A137" s="40" t="str">
        <f>IF(OR(OR(IFERROR(FIND("交行",基本信息!BS137),0)&gt;0,IFERROR(FIND("交通银行",基本信息!BS137),0)&gt;0),计算结果!BT137=0),"",基本信息!BR137)</f>
        <v/>
      </c>
      <c r="B137" s="40" t="str">
        <f>IF($A137="","",基本信息!BQ137)</f>
        <v/>
      </c>
      <c r="C137" s="50" t="str">
        <f>IF($A137="","",计算结果!BT137-G137-H137)</f>
        <v/>
      </c>
      <c r="D137" s="40" t="str">
        <f>IF($A137="","",基本信息!BS137)</f>
        <v/>
      </c>
      <c r="F137" s="40" t="str">
        <f>IF($A137="","",基本信息!A137)</f>
        <v/>
      </c>
      <c r="G137" s="50" t="str">
        <f>IF($A137="","",计算结果!BI137+计算结果!BJ137)</f>
        <v/>
      </c>
      <c r="H137" s="50" t="str">
        <f>IF($A137="","",计算结果!BK137)</f>
        <v/>
      </c>
    </row>
    <row r="138" spans="1:8">
      <c r="A138" s="40" t="str">
        <f>IF(OR(OR(IFERROR(FIND("交行",基本信息!BS138),0)&gt;0,IFERROR(FIND("交通银行",基本信息!BS138),0)&gt;0),计算结果!BT138=0),"",基本信息!BR138)</f>
        <v/>
      </c>
      <c r="B138" s="40" t="str">
        <f>IF($A138="","",基本信息!BQ138)</f>
        <v/>
      </c>
      <c r="C138" s="50" t="str">
        <f>IF($A138="","",计算结果!BT138-G138-H138)</f>
        <v/>
      </c>
      <c r="D138" s="40" t="str">
        <f>IF($A138="","",基本信息!BS138)</f>
        <v/>
      </c>
      <c r="F138" s="40" t="str">
        <f>IF($A138="","",基本信息!A138)</f>
        <v/>
      </c>
      <c r="G138" s="50" t="str">
        <f>IF($A138="","",计算结果!BI138+计算结果!BJ138)</f>
        <v/>
      </c>
      <c r="H138" s="50" t="str">
        <f>IF($A138="","",计算结果!BK138)</f>
        <v/>
      </c>
    </row>
    <row r="139" spans="1:8">
      <c r="A139" s="40" t="str">
        <f>IF(OR(OR(IFERROR(FIND("交行",基本信息!BS139),0)&gt;0,IFERROR(FIND("交通银行",基本信息!BS139),0)&gt;0),计算结果!BT139=0),"",基本信息!BR139)</f>
        <v/>
      </c>
      <c r="B139" s="40" t="str">
        <f>IF($A139="","",基本信息!BQ139)</f>
        <v/>
      </c>
      <c r="C139" s="50" t="str">
        <f>IF($A139="","",计算结果!BT139-G139-H139)</f>
        <v/>
      </c>
      <c r="D139" s="40" t="str">
        <f>IF($A139="","",基本信息!BS139)</f>
        <v/>
      </c>
      <c r="F139" s="40" t="str">
        <f>IF($A139="","",基本信息!A139)</f>
        <v/>
      </c>
      <c r="G139" s="50" t="str">
        <f>IF($A139="","",计算结果!BI139+计算结果!BJ139)</f>
        <v/>
      </c>
      <c r="H139" s="50" t="str">
        <f>IF($A139="","",计算结果!BK139)</f>
        <v/>
      </c>
    </row>
    <row r="140" spans="1:8">
      <c r="A140" s="40" t="str">
        <f>IF(OR(OR(IFERROR(FIND("交行",基本信息!BS140),0)&gt;0,IFERROR(FIND("交通银行",基本信息!BS140),0)&gt;0),计算结果!BT140=0),"",基本信息!BR140)</f>
        <v/>
      </c>
      <c r="B140" s="40" t="str">
        <f>IF($A140="","",基本信息!BQ140)</f>
        <v/>
      </c>
      <c r="C140" s="50" t="str">
        <f>IF($A140="","",计算结果!BT140-G140-H140)</f>
        <v/>
      </c>
      <c r="D140" s="40" t="str">
        <f>IF($A140="","",基本信息!BS140)</f>
        <v/>
      </c>
      <c r="F140" s="40" t="str">
        <f>IF($A140="","",基本信息!A140)</f>
        <v/>
      </c>
      <c r="G140" s="50" t="str">
        <f>IF($A140="","",计算结果!BI140+计算结果!BJ140)</f>
        <v/>
      </c>
      <c r="H140" s="50" t="str">
        <f>IF($A140="","",计算结果!BK140)</f>
        <v/>
      </c>
    </row>
    <row r="141" spans="1:8">
      <c r="A141" s="40" t="str">
        <f>IF(OR(OR(IFERROR(FIND("交行",基本信息!BS141),0)&gt;0,IFERROR(FIND("交通银行",基本信息!BS141),0)&gt;0),计算结果!BT141=0),"",基本信息!BR141)</f>
        <v/>
      </c>
      <c r="B141" s="40" t="str">
        <f>IF($A141="","",基本信息!BQ141)</f>
        <v/>
      </c>
      <c r="C141" s="50" t="str">
        <f>IF($A141="","",计算结果!BT141-G141-H141)</f>
        <v/>
      </c>
      <c r="D141" s="40" t="str">
        <f>IF($A141="","",基本信息!BS141)</f>
        <v/>
      </c>
      <c r="F141" s="40" t="str">
        <f>IF($A141="","",基本信息!A141)</f>
        <v/>
      </c>
      <c r="G141" s="50" t="str">
        <f>IF($A141="","",计算结果!BI141+计算结果!BJ141)</f>
        <v/>
      </c>
      <c r="H141" s="50" t="str">
        <f>IF($A141="","",计算结果!BK141)</f>
        <v/>
      </c>
    </row>
    <row r="142" spans="1:8">
      <c r="A142" s="40" t="str">
        <f>IF(OR(OR(IFERROR(FIND("交行",基本信息!BS142),0)&gt;0,IFERROR(FIND("交通银行",基本信息!BS142),0)&gt;0),计算结果!BT142=0),"",基本信息!BR142)</f>
        <v/>
      </c>
      <c r="B142" s="40" t="str">
        <f>IF($A142="","",基本信息!BQ142)</f>
        <v/>
      </c>
      <c r="C142" s="50" t="str">
        <f>IF($A142="","",计算结果!BT142-G142-H142)</f>
        <v/>
      </c>
      <c r="D142" s="40" t="str">
        <f>IF($A142="","",基本信息!BS142)</f>
        <v/>
      </c>
      <c r="F142" s="40" t="str">
        <f>IF($A142="","",基本信息!A142)</f>
        <v/>
      </c>
      <c r="G142" s="50" t="str">
        <f>IF($A142="","",计算结果!BI142+计算结果!BJ142)</f>
        <v/>
      </c>
      <c r="H142" s="50" t="str">
        <f>IF($A142="","",计算结果!BK142)</f>
        <v/>
      </c>
    </row>
    <row r="143" spans="1:8">
      <c r="A143" s="40" t="str">
        <f>IF(OR(OR(IFERROR(FIND("交行",基本信息!BS143),0)&gt;0,IFERROR(FIND("交通银行",基本信息!BS143),0)&gt;0),计算结果!BT143=0),"",基本信息!BR143)</f>
        <v/>
      </c>
      <c r="B143" s="40" t="str">
        <f>IF($A143="","",基本信息!BQ143)</f>
        <v/>
      </c>
      <c r="C143" s="50" t="str">
        <f>IF($A143="","",计算结果!BT143-G143-H143)</f>
        <v/>
      </c>
      <c r="D143" s="40" t="str">
        <f>IF($A143="","",基本信息!BS143)</f>
        <v/>
      </c>
      <c r="F143" s="40" t="str">
        <f>IF($A143="","",基本信息!A143)</f>
        <v/>
      </c>
      <c r="G143" s="50" t="str">
        <f>IF($A143="","",计算结果!BI143+计算结果!BJ143)</f>
        <v/>
      </c>
      <c r="H143" s="50" t="str">
        <f>IF($A143="","",计算结果!BK143)</f>
        <v/>
      </c>
    </row>
    <row r="144" spans="1:8">
      <c r="A144" s="40" t="str">
        <f>IF(OR(OR(IFERROR(FIND("交行",基本信息!BS144),0)&gt;0,IFERROR(FIND("交通银行",基本信息!BS144),0)&gt;0),计算结果!BT144=0),"",基本信息!BR144)</f>
        <v/>
      </c>
      <c r="B144" s="40" t="str">
        <f>IF($A144="","",基本信息!BQ144)</f>
        <v/>
      </c>
      <c r="C144" s="50" t="str">
        <f>IF($A144="","",计算结果!BT144-G144-H144)</f>
        <v/>
      </c>
      <c r="D144" s="40" t="str">
        <f>IF($A144="","",基本信息!BS144)</f>
        <v/>
      </c>
      <c r="F144" s="40" t="str">
        <f>IF($A144="","",基本信息!A144)</f>
        <v/>
      </c>
      <c r="G144" s="50" t="str">
        <f>IF($A144="","",计算结果!BI144+计算结果!BJ144)</f>
        <v/>
      </c>
      <c r="H144" s="50" t="str">
        <f>IF($A144="","",计算结果!BK144)</f>
        <v/>
      </c>
    </row>
    <row r="145" spans="1:8">
      <c r="A145" s="40" t="str">
        <f>IF(OR(OR(IFERROR(FIND("交行",基本信息!BS145),0)&gt;0,IFERROR(FIND("交通银行",基本信息!BS145),0)&gt;0),计算结果!BT145=0),"",基本信息!BR145)</f>
        <v/>
      </c>
      <c r="B145" s="40" t="str">
        <f>IF($A145="","",基本信息!BQ145)</f>
        <v/>
      </c>
      <c r="C145" s="50" t="str">
        <f>IF($A145="","",计算结果!BT145-G145-H145)</f>
        <v/>
      </c>
      <c r="D145" s="40" t="str">
        <f>IF($A145="","",基本信息!BS145)</f>
        <v/>
      </c>
      <c r="F145" s="40" t="str">
        <f>IF($A145="","",基本信息!A145)</f>
        <v/>
      </c>
      <c r="G145" s="50" t="str">
        <f>IF($A145="","",计算结果!BI145+计算结果!BJ145)</f>
        <v/>
      </c>
      <c r="H145" s="50" t="str">
        <f>IF($A145="","",计算结果!BK145)</f>
        <v/>
      </c>
    </row>
    <row r="146" spans="1:8">
      <c r="A146" s="40" t="str">
        <f>IF(OR(OR(IFERROR(FIND("交行",基本信息!BS146),0)&gt;0,IFERROR(FIND("交通银行",基本信息!BS146),0)&gt;0),计算结果!BT146=0),"",基本信息!BR146)</f>
        <v/>
      </c>
      <c r="B146" s="40" t="str">
        <f>IF($A146="","",基本信息!BQ146)</f>
        <v/>
      </c>
      <c r="C146" s="50" t="str">
        <f>IF($A146="","",计算结果!BT146-G146-H146)</f>
        <v/>
      </c>
      <c r="D146" s="40" t="str">
        <f>IF($A146="","",基本信息!BS146)</f>
        <v/>
      </c>
      <c r="F146" s="40" t="str">
        <f>IF($A146="","",基本信息!A146)</f>
        <v/>
      </c>
      <c r="G146" s="50" t="str">
        <f>IF($A146="","",计算结果!BI146+计算结果!BJ146)</f>
        <v/>
      </c>
      <c r="H146" s="50" t="str">
        <f>IF($A146="","",计算结果!BK146)</f>
        <v/>
      </c>
    </row>
    <row r="147" spans="1:8">
      <c r="A147" s="40" t="str">
        <f>IF(OR(OR(IFERROR(FIND("交行",基本信息!BS147),0)&gt;0,IFERROR(FIND("交通银行",基本信息!BS147),0)&gt;0),计算结果!BT147=0),"",基本信息!BR147)</f>
        <v/>
      </c>
      <c r="B147" s="40" t="str">
        <f>IF($A147="","",基本信息!BQ147)</f>
        <v/>
      </c>
      <c r="C147" s="50" t="str">
        <f>IF($A147="","",计算结果!BT147-G147-H147)</f>
        <v/>
      </c>
      <c r="D147" s="40" t="str">
        <f>IF($A147="","",基本信息!BS147)</f>
        <v/>
      </c>
      <c r="F147" s="40" t="str">
        <f>IF($A147="","",基本信息!A147)</f>
        <v/>
      </c>
      <c r="G147" s="50" t="str">
        <f>IF($A147="","",计算结果!BI147+计算结果!BJ147)</f>
        <v/>
      </c>
      <c r="H147" s="50" t="str">
        <f>IF($A147="","",计算结果!BK147)</f>
        <v/>
      </c>
    </row>
    <row r="148" spans="1:8">
      <c r="A148" s="40" t="str">
        <f>IF(OR(OR(IFERROR(FIND("交行",基本信息!BS148),0)&gt;0,IFERROR(FIND("交通银行",基本信息!BS148),0)&gt;0),计算结果!BT148=0),"",基本信息!BR148)</f>
        <v/>
      </c>
      <c r="B148" s="40" t="str">
        <f>IF($A148="","",基本信息!BQ148)</f>
        <v/>
      </c>
      <c r="C148" s="50" t="str">
        <f>IF($A148="","",计算结果!BT148-G148-H148)</f>
        <v/>
      </c>
      <c r="D148" s="40" t="str">
        <f>IF($A148="","",基本信息!BS148)</f>
        <v/>
      </c>
      <c r="F148" s="40" t="str">
        <f>IF($A148="","",基本信息!A148)</f>
        <v/>
      </c>
      <c r="G148" s="50" t="str">
        <f>IF($A148="","",计算结果!BI148+计算结果!BJ148)</f>
        <v/>
      </c>
      <c r="H148" s="50" t="str">
        <f>IF($A148="","",计算结果!BK148)</f>
        <v/>
      </c>
    </row>
    <row r="149" spans="1:8">
      <c r="A149" s="40" t="str">
        <f>IF(OR(OR(IFERROR(FIND("交行",基本信息!BS149),0)&gt;0,IFERROR(FIND("交通银行",基本信息!BS149),0)&gt;0),计算结果!BT149=0),"",基本信息!BR149)</f>
        <v/>
      </c>
      <c r="B149" s="40" t="str">
        <f>IF($A149="","",基本信息!BQ149)</f>
        <v/>
      </c>
      <c r="C149" s="50" t="str">
        <f>IF($A149="","",计算结果!BT149-G149-H149)</f>
        <v/>
      </c>
      <c r="D149" s="40" t="str">
        <f>IF($A149="","",基本信息!BS149)</f>
        <v/>
      </c>
      <c r="F149" s="40" t="str">
        <f>IF($A149="","",基本信息!A149)</f>
        <v/>
      </c>
      <c r="G149" s="50" t="str">
        <f>IF($A149="","",计算结果!BI149+计算结果!BJ149)</f>
        <v/>
      </c>
      <c r="H149" s="50" t="str">
        <f>IF($A149="","",计算结果!BK149)</f>
        <v/>
      </c>
    </row>
    <row r="150" spans="1:8">
      <c r="A150" s="40" t="str">
        <f>IF(OR(OR(IFERROR(FIND("交行",基本信息!BS150),0)&gt;0,IFERROR(FIND("交通银行",基本信息!BS150),0)&gt;0),计算结果!BT150=0),"",基本信息!BR150)</f>
        <v/>
      </c>
      <c r="B150" s="40" t="str">
        <f>IF($A150="","",基本信息!BQ150)</f>
        <v/>
      </c>
      <c r="C150" s="50" t="str">
        <f>IF($A150="","",计算结果!BT150-G150-H150)</f>
        <v/>
      </c>
      <c r="D150" s="40" t="str">
        <f>IF($A150="","",基本信息!BS150)</f>
        <v/>
      </c>
      <c r="F150" s="40" t="str">
        <f>IF($A150="","",基本信息!A150)</f>
        <v/>
      </c>
      <c r="G150" s="50" t="str">
        <f>IF($A150="","",计算结果!BI150+计算结果!BJ150)</f>
        <v/>
      </c>
      <c r="H150" s="50" t="str">
        <f>IF($A150="","",计算结果!BK150)</f>
        <v/>
      </c>
    </row>
    <row r="151" spans="1:8">
      <c r="A151" s="40" t="str">
        <f>IF(OR(OR(IFERROR(FIND("交行",基本信息!BS151),0)&gt;0,IFERROR(FIND("交通银行",基本信息!BS151),0)&gt;0),计算结果!BT151=0),"",基本信息!BR151)</f>
        <v/>
      </c>
      <c r="B151" s="40" t="str">
        <f>IF($A151="","",基本信息!BQ151)</f>
        <v/>
      </c>
      <c r="C151" s="50" t="str">
        <f>IF($A151="","",计算结果!BT151-G151-H151)</f>
        <v/>
      </c>
      <c r="D151" s="40" t="str">
        <f>IF($A151="","",基本信息!BS151)</f>
        <v/>
      </c>
      <c r="F151" s="40" t="str">
        <f>IF($A151="","",基本信息!A151)</f>
        <v/>
      </c>
      <c r="G151" s="50" t="str">
        <f>IF($A151="","",计算结果!BI151+计算结果!BJ151)</f>
        <v/>
      </c>
      <c r="H151" s="50" t="str">
        <f>IF($A151="","",计算结果!BK151)</f>
        <v/>
      </c>
    </row>
    <row r="152" spans="1:8">
      <c r="A152" s="40" t="str">
        <f>IF(OR(OR(IFERROR(FIND("交行",基本信息!BS152),0)&gt;0,IFERROR(FIND("交通银行",基本信息!BS152),0)&gt;0),计算结果!BT152=0),"",基本信息!BR152)</f>
        <v/>
      </c>
      <c r="B152" s="40" t="str">
        <f>IF($A152="","",基本信息!BQ152)</f>
        <v/>
      </c>
      <c r="C152" s="50" t="str">
        <f>IF($A152="","",计算结果!BT152-G152-H152)</f>
        <v/>
      </c>
      <c r="D152" s="40" t="str">
        <f>IF($A152="","",基本信息!BS152)</f>
        <v/>
      </c>
      <c r="F152" s="40" t="str">
        <f>IF($A152="","",基本信息!A152)</f>
        <v/>
      </c>
      <c r="G152" s="50" t="str">
        <f>IF($A152="","",计算结果!BI152+计算结果!BJ152)</f>
        <v/>
      </c>
      <c r="H152" s="50" t="str">
        <f>IF($A152="","",计算结果!BK152)</f>
        <v/>
      </c>
    </row>
    <row r="153" spans="1:8">
      <c r="A153" s="40" t="str">
        <f>IF(OR(OR(IFERROR(FIND("交行",基本信息!BS153),0)&gt;0,IFERROR(FIND("交通银行",基本信息!BS153),0)&gt;0),计算结果!BT153=0),"",基本信息!BR153)</f>
        <v/>
      </c>
      <c r="B153" s="40" t="str">
        <f>IF($A153="","",基本信息!BQ153)</f>
        <v/>
      </c>
      <c r="C153" s="50" t="str">
        <f>IF($A153="","",计算结果!BT153-G153-H153)</f>
        <v/>
      </c>
      <c r="D153" s="40" t="str">
        <f>IF($A153="","",基本信息!BS153)</f>
        <v/>
      </c>
      <c r="F153" s="40" t="str">
        <f>IF($A153="","",基本信息!A153)</f>
        <v/>
      </c>
      <c r="G153" s="50" t="str">
        <f>IF($A153="","",计算结果!BI153+计算结果!BJ153)</f>
        <v/>
      </c>
      <c r="H153" s="50" t="str">
        <f>IF($A153="","",计算结果!BK153)</f>
        <v/>
      </c>
    </row>
    <row r="154" spans="1:8">
      <c r="A154" s="40" t="str">
        <f>IF(OR(OR(IFERROR(FIND("交行",基本信息!BS154),0)&gt;0,IFERROR(FIND("交通银行",基本信息!BS154),0)&gt;0),计算结果!BT154=0),"",基本信息!BR154)</f>
        <v/>
      </c>
      <c r="B154" s="40" t="str">
        <f>IF($A154="","",基本信息!BQ154)</f>
        <v/>
      </c>
      <c r="C154" s="50" t="str">
        <f>IF($A154="","",计算结果!BT154-G154-H154)</f>
        <v/>
      </c>
      <c r="D154" s="40" t="str">
        <f>IF($A154="","",基本信息!BS154)</f>
        <v/>
      </c>
      <c r="F154" s="40" t="str">
        <f>IF($A154="","",基本信息!A154)</f>
        <v/>
      </c>
      <c r="G154" s="50" t="str">
        <f>IF($A154="","",计算结果!BI154+计算结果!BJ154)</f>
        <v/>
      </c>
      <c r="H154" s="50" t="str">
        <f>IF($A154="","",计算结果!BK154)</f>
        <v/>
      </c>
    </row>
    <row r="155" spans="1:8">
      <c r="A155" s="40" t="str">
        <f>IF(OR(OR(IFERROR(FIND("交行",基本信息!BS155),0)&gt;0,IFERROR(FIND("交通银行",基本信息!BS155),0)&gt;0),计算结果!BT155=0),"",基本信息!BR155)</f>
        <v/>
      </c>
      <c r="B155" s="40" t="str">
        <f>IF($A155="","",基本信息!BQ155)</f>
        <v/>
      </c>
      <c r="C155" s="50" t="str">
        <f>IF($A155="","",计算结果!BT155-G155-H155)</f>
        <v/>
      </c>
      <c r="D155" s="40" t="str">
        <f>IF($A155="","",基本信息!BS155)</f>
        <v/>
      </c>
      <c r="F155" s="40" t="str">
        <f>IF($A155="","",基本信息!A155)</f>
        <v/>
      </c>
      <c r="G155" s="50" t="str">
        <f>IF($A155="","",计算结果!BI155+计算结果!BJ155)</f>
        <v/>
      </c>
      <c r="H155" s="50" t="str">
        <f>IF($A155="","",计算结果!BK155)</f>
        <v/>
      </c>
    </row>
    <row r="156" spans="1:8">
      <c r="A156" s="40" t="str">
        <f>IF(OR(OR(IFERROR(FIND("交行",基本信息!BS156),0)&gt;0,IFERROR(FIND("交通银行",基本信息!BS156),0)&gt;0),计算结果!BT156=0),"",基本信息!BR156)</f>
        <v/>
      </c>
      <c r="B156" s="40" t="str">
        <f>IF($A156="","",基本信息!BQ156)</f>
        <v/>
      </c>
      <c r="C156" s="50" t="str">
        <f>IF($A156="","",计算结果!BT156-G156-H156)</f>
        <v/>
      </c>
      <c r="D156" s="40" t="str">
        <f>IF($A156="","",基本信息!BS156)</f>
        <v/>
      </c>
      <c r="F156" s="40" t="str">
        <f>IF($A156="","",基本信息!A156)</f>
        <v/>
      </c>
      <c r="G156" s="50" t="str">
        <f>IF($A156="","",计算结果!BI156+计算结果!BJ156)</f>
        <v/>
      </c>
      <c r="H156" s="50" t="str">
        <f>IF($A156="","",计算结果!BK156)</f>
        <v/>
      </c>
    </row>
    <row r="157" spans="1:8">
      <c r="A157" s="40" t="str">
        <f>IF(OR(OR(IFERROR(FIND("交行",基本信息!BS157),0)&gt;0,IFERROR(FIND("交通银行",基本信息!BS157),0)&gt;0),计算结果!BT157=0),"",基本信息!BR157)</f>
        <v/>
      </c>
      <c r="B157" s="40" t="str">
        <f>IF($A157="","",基本信息!BQ157)</f>
        <v/>
      </c>
      <c r="C157" s="50" t="str">
        <f>IF($A157="","",计算结果!BT157-G157-H157)</f>
        <v/>
      </c>
      <c r="D157" s="40" t="str">
        <f>IF($A157="","",基本信息!BS157)</f>
        <v/>
      </c>
      <c r="F157" s="40" t="str">
        <f>IF($A157="","",基本信息!A157)</f>
        <v/>
      </c>
      <c r="G157" s="50" t="str">
        <f>IF($A157="","",计算结果!BI157+计算结果!BJ157)</f>
        <v/>
      </c>
      <c r="H157" s="50" t="str">
        <f>IF($A157="","",计算结果!BK157)</f>
        <v/>
      </c>
    </row>
    <row r="158" spans="1:8">
      <c r="A158" s="40" t="str">
        <f>IF(OR(OR(IFERROR(FIND("交行",基本信息!BS158),0)&gt;0,IFERROR(FIND("交通银行",基本信息!BS158),0)&gt;0),计算结果!BT158=0),"",基本信息!BR158)</f>
        <v/>
      </c>
      <c r="B158" s="40" t="str">
        <f>IF($A158="","",基本信息!BQ158)</f>
        <v/>
      </c>
      <c r="C158" s="50" t="str">
        <f>IF($A158="","",计算结果!BT158-G158-H158)</f>
        <v/>
      </c>
      <c r="D158" s="40" t="str">
        <f>IF($A158="","",基本信息!BS158)</f>
        <v/>
      </c>
      <c r="F158" s="40" t="str">
        <f>IF($A158="","",基本信息!A158)</f>
        <v/>
      </c>
      <c r="G158" s="50" t="str">
        <f>IF($A158="","",计算结果!BI158+计算结果!BJ158)</f>
        <v/>
      </c>
      <c r="H158" s="50" t="str">
        <f>IF($A158="","",计算结果!BK158)</f>
        <v/>
      </c>
    </row>
    <row r="159" spans="1:8">
      <c r="A159" s="40" t="str">
        <f>IF(OR(OR(IFERROR(FIND("交行",基本信息!BS159),0)&gt;0,IFERROR(FIND("交通银行",基本信息!BS159),0)&gt;0),计算结果!BT159=0),"",基本信息!BR159)</f>
        <v/>
      </c>
      <c r="B159" s="40" t="str">
        <f>IF($A159="","",基本信息!BQ159)</f>
        <v/>
      </c>
      <c r="C159" s="50" t="str">
        <f>IF($A159="","",计算结果!BT159-G159-H159)</f>
        <v/>
      </c>
      <c r="D159" s="40" t="str">
        <f>IF($A159="","",基本信息!BS159)</f>
        <v/>
      </c>
      <c r="F159" s="40" t="str">
        <f>IF($A159="","",基本信息!A159)</f>
        <v/>
      </c>
      <c r="G159" s="50" t="str">
        <f>IF($A159="","",计算结果!BI159+计算结果!BJ159)</f>
        <v/>
      </c>
      <c r="H159" s="50" t="str">
        <f>IF($A159="","",计算结果!BK159)</f>
        <v/>
      </c>
    </row>
    <row r="160" spans="1:8">
      <c r="A160" s="40" t="str">
        <f>IF(OR(OR(IFERROR(FIND("交行",基本信息!BS160),0)&gt;0,IFERROR(FIND("交通银行",基本信息!BS160),0)&gt;0),计算结果!BT160=0),"",基本信息!BR160)</f>
        <v/>
      </c>
      <c r="B160" s="40" t="str">
        <f>IF($A160="","",基本信息!BQ160)</f>
        <v/>
      </c>
      <c r="C160" s="50" t="str">
        <f>IF($A160="","",计算结果!BT160-G160-H160)</f>
        <v/>
      </c>
      <c r="D160" s="40" t="str">
        <f>IF($A160="","",基本信息!BS160)</f>
        <v/>
      </c>
      <c r="F160" s="40" t="str">
        <f>IF($A160="","",基本信息!A160)</f>
        <v/>
      </c>
      <c r="G160" s="50" t="str">
        <f>IF($A160="","",计算结果!BI160+计算结果!BJ160)</f>
        <v/>
      </c>
      <c r="H160" s="50" t="str">
        <f>IF($A160="","",计算结果!BK160)</f>
        <v/>
      </c>
    </row>
    <row r="161" spans="1:8">
      <c r="A161" s="40" t="str">
        <f>IF(OR(OR(IFERROR(FIND("交行",基本信息!BS161),0)&gt;0,IFERROR(FIND("交通银行",基本信息!BS161),0)&gt;0),计算结果!BT161=0),"",基本信息!BR161)</f>
        <v/>
      </c>
      <c r="B161" s="40" t="str">
        <f>IF($A161="","",基本信息!BQ161)</f>
        <v/>
      </c>
      <c r="C161" s="50" t="str">
        <f>IF($A161="","",计算结果!BT161-G161-H161)</f>
        <v/>
      </c>
      <c r="D161" s="40" t="str">
        <f>IF($A161="","",基本信息!BS161)</f>
        <v/>
      </c>
      <c r="F161" s="40" t="str">
        <f>IF($A161="","",基本信息!A161)</f>
        <v/>
      </c>
      <c r="G161" s="50" t="str">
        <f>IF($A161="","",计算结果!BI161+计算结果!BJ161)</f>
        <v/>
      </c>
      <c r="H161" s="50" t="str">
        <f>IF($A161="","",计算结果!BK161)</f>
        <v/>
      </c>
    </row>
    <row r="162" spans="1:8">
      <c r="A162" s="40" t="str">
        <f>IF(OR(OR(IFERROR(FIND("交行",基本信息!BS162),0)&gt;0,IFERROR(FIND("交通银行",基本信息!BS162),0)&gt;0),计算结果!BT162=0),"",基本信息!BR162)</f>
        <v/>
      </c>
      <c r="B162" s="40" t="str">
        <f>IF($A162="","",基本信息!BQ162)</f>
        <v/>
      </c>
      <c r="C162" s="50" t="str">
        <f>IF($A162="","",计算结果!BT162-G162-H162)</f>
        <v/>
      </c>
      <c r="D162" s="40" t="str">
        <f>IF($A162="","",基本信息!BS162)</f>
        <v/>
      </c>
      <c r="F162" s="40" t="str">
        <f>IF($A162="","",基本信息!A162)</f>
        <v/>
      </c>
      <c r="G162" s="50" t="str">
        <f>IF($A162="","",计算结果!BI162+计算结果!BJ162)</f>
        <v/>
      </c>
      <c r="H162" s="50" t="str">
        <f>IF($A162="","",计算结果!BK162)</f>
        <v/>
      </c>
    </row>
    <row r="163" spans="1:8">
      <c r="A163" s="40" t="str">
        <f>IF(OR(OR(IFERROR(FIND("交行",基本信息!BS163),0)&gt;0,IFERROR(FIND("交通银行",基本信息!BS163),0)&gt;0),计算结果!BT163=0),"",基本信息!BR163)</f>
        <v/>
      </c>
      <c r="B163" s="40" t="str">
        <f>IF($A163="","",基本信息!BQ163)</f>
        <v/>
      </c>
      <c r="C163" s="50" t="str">
        <f>IF($A163="","",计算结果!BT163-G163-H163)</f>
        <v/>
      </c>
      <c r="D163" s="40" t="str">
        <f>IF($A163="","",基本信息!BS163)</f>
        <v/>
      </c>
      <c r="F163" s="40" t="str">
        <f>IF($A163="","",基本信息!A163)</f>
        <v/>
      </c>
      <c r="G163" s="50" t="str">
        <f>IF($A163="","",计算结果!BI163+计算结果!BJ163)</f>
        <v/>
      </c>
      <c r="H163" s="50" t="str">
        <f>IF($A163="","",计算结果!BK163)</f>
        <v/>
      </c>
    </row>
    <row r="164" spans="1:8">
      <c r="A164" s="40" t="str">
        <f>IF(OR(OR(IFERROR(FIND("交行",基本信息!BS164),0)&gt;0,IFERROR(FIND("交通银行",基本信息!BS164),0)&gt;0),计算结果!BT164=0),"",基本信息!BR164)</f>
        <v/>
      </c>
      <c r="B164" s="40" t="str">
        <f>IF($A164="","",基本信息!BQ164)</f>
        <v/>
      </c>
      <c r="C164" s="50" t="str">
        <f>IF($A164="","",计算结果!BT164-G164-H164)</f>
        <v/>
      </c>
      <c r="D164" s="40" t="str">
        <f>IF($A164="","",基本信息!BS164)</f>
        <v/>
      </c>
      <c r="F164" s="40" t="str">
        <f>IF($A164="","",基本信息!A164)</f>
        <v/>
      </c>
      <c r="G164" s="50" t="str">
        <f>IF($A164="","",计算结果!BI164+计算结果!BJ164)</f>
        <v/>
      </c>
      <c r="H164" s="50" t="str">
        <f>IF($A164="","",计算结果!BK164)</f>
        <v/>
      </c>
    </row>
    <row r="165" spans="1:8">
      <c r="A165" s="40" t="str">
        <f>IF(OR(OR(IFERROR(FIND("交行",基本信息!BS165),0)&gt;0,IFERROR(FIND("交通银行",基本信息!BS165),0)&gt;0),计算结果!BT165=0),"",基本信息!BR165)</f>
        <v/>
      </c>
      <c r="B165" s="40" t="str">
        <f>IF($A165="","",基本信息!BQ165)</f>
        <v/>
      </c>
      <c r="C165" s="50" t="str">
        <f>IF($A165="","",计算结果!BT165-G165-H165)</f>
        <v/>
      </c>
      <c r="D165" s="40" t="str">
        <f>IF($A165="","",基本信息!BS165)</f>
        <v/>
      </c>
      <c r="F165" s="40" t="str">
        <f>IF($A165="","",基本信息!A165)</f>
        <v/>
      </c>
      <c r="G165" s="50" t="str">
        <f>IF($A165="","",计算结果!BI165+计算结果!BJ165)</f>
        <v/>
      </c>
      <c r="H165" s="50" t="str">
        <f>IF($A165="","",计算结果!BK165)</f>
        <v/>
      </c>
    </row>
    <row r="166" spans="1:8">
      <c r="A166" s="40" t="str">
        <f>IF(OR(OR(IFERROR(FIND("交行",基本信息!BS166),0)&gt;0,IFERROR(FIND("交通银行",基本信息!BS166),0)&gt;0),计算结果!BT166=0),"",基本信息!BR166)</f>
        <v/>
      </c>
      <c r="B166" s="40" t="str">
        <f>IF($A166="","",基本信息!BQ166)</f>
        <v/>
      </c>
      <c r="C166" s="50" t="str">
        <f>IF($A166="","",计算结果!BT166-G166-H166)</f>
        <v/>
      </c>
      <c r="D166" s="40" t="str">
        <f>IF($A166="","",基本信息!BS166)</f>
        <v/>
      </c>
      <c r="F166" s="40" t="str">
        <f>IF($A166="","",基本信息!A166)</f>
        <v/>
      </c>
      <c r="G166" s="50" t="str">
        <f>IF($A166="","",计算结果!BI166+计算结果!BJ166)</f>
        <v/>
      </c>
      <c r="H166" s="50" t="str">
        <f>IF($A166="","",计算结果!BK166)</f>
        <v/>
      </c>
    </row>
    <row r="167" spans="1:8">
      <c r="A167" s="40" t="str">
        <f>IF(OR(OR(IFERROR(FIND("交行",基本信息!BS167),0)&gt;0,IFERROR(FIND("交通银行",基本信息!BS167),0)&gt;0),计算结果!BT167=0),"",基本信息!BR167)</f>
        <v/>
      </c>
      <c r="B167" s="40" t="str">
        <f>IF($A167="","",基本信息!BQ167)</f>
        <v/>
      </c>
      <c r="C167" s="50" t="str">
        <f>IF($A167="","",计算结果!BT167-G167-H167)</f>
        <v/>
      </c>
      <c r="D167" s="40" t="str">
        <f>IF($A167="","",基本信息!BS167)</f>
        <v/>
      </c>
      <c r="F167" s="40" t="str">
        <f>IF($A167="","",基本信息!A167)</f>
        <v/>
      </c>
      <c r="G167" s="50" t="str">
        <f>IF($A167="","",计算结果!BI167+计算结果!BJ167)</f>
        <v/>
      </c>
      <c r="H167" s="50" t="str">
        <f>IF($A167="","",计算结果!BK167)</f>
        <v/>
      </c>
    </row>
    <row r="168" spans="1:8">
      <c r="A168" s="40" t="str">
        <f>IF(OR(OR(IFERROR(FIND("交行",基本信息!BS168),0)&gt;0,IFERROR(FIND("交通银行",基本信息!BS168),0)&gt;0),计算结果!BT168=0),"",基本信息!BR168)</f>
        <v/>
      </c>
      <c r="B168" s="40" t="str">
        <f>IF($A168="","",基本信息!BQ168)</f>
        <v/>
      </c>
      <c r="C168" s="50" t="str">
        <f>IF($A168="","",计算结果!BT168-G168-H168)</f>
        <v/>
      </c>
      <c r="D168" s="40" t="str">
        <f>IF($A168="","",基本信息!BS168)</f>
        <v/>
      </c>
      <c r="F168" s="40" t="str">
        <f>IF($A168="","",基本信息!A168)</f>
        <v/>
      </c>
      <c r="G168" s="50" t="str">
        <f>IF($A168="","",计算结果!BI168+计算结果!BJ168)</f>
        <v/>
      </c>
      <c r="H168" s="50" t="str">
        <f>IF($A168="","",计算结果!BK168)</f>
        <v/>
      </c>
    </row>
    <row r="169" spans="1:8">
      <c r="A169" s="40" t="str">
        <f>IF(OR(OR(IFERROR(FIND("交行",基本信息!BS169),0)&gt;0,IFERROR(FIND("交通银行",基本信息!BS169),0)&gt;0),计算结果!BT169=0),"",基本信息!BR169)</f>
        <v/>
      </c>
      <c r="B169" s="40" t="str">
        <f>IF($A169="","",基本信息!BQ169)</f>
        <v/>
      </c>
      <c r="C169" s="50" t="str">
        <f>IF($A169="","",计算结果!BT169-G169-H169)</f>
        <v/>
      </c>
      <c r="D169" s="40" t="str">
        <f>IF($A169="","",基本信息!BS169)</f>
        <v/>
      </c>
      <c r="F169" s="40" t="str">
        <f>IF($A169="","",基本信息!A169)</f>
        <v/>
      </c>
      <c r="G169" s="50" t="str">
        <f>IF($A169="","",计算结果!BI169+计算结果!BJ169)</f>
        <v/>
      </c>
      <c r="H169" s="50" t="str">
        <f>IF($A169="","",计算结果!BK169)</f>
        <v/>
      </c>
    </row>
    <row r="170" spans="1:8">
      <c r="A170" s="40" t="str">
        <f>IF(OR(OR(IFERROR(FIND("交行",基本信息!BS170),0)&gt;0,IFERROR(FIND("交通银行",基本信息!BS170),0)&gt;0),计算结果!BT170=0),"",基本信息!BR170)</f>
        <v/>
      </c>
      <c r="B170" s="40" t="str">
        <f>IF($A170="","",基本信息!BQ170)</f>
        <v/>
      </c>
      <c r="C170" s="50" t="str">
        <f>IF($A170="","",计算结果!BT170-G170-H170)</f>
        <v/>
      </c>
      <c r="D170" s="40" t="str">
        <f>IF($A170="","",基本信息!BS170)</f>
        <v/>
      </c>
      <c r="F170" s="40" t="str">
        <f>IF($A170="","",基本信息!A170)</f>
        <v/>
      </c>
      <c r="G170" s="50" t="str">
        <f>IF($A170="","",计算结果!BI170+计算结果!BJ170)</f>
        <v/>
      </c>
      <c r="H170" s="50" t="str">
        <f>IF($A170="","",计算结果!BK170)</f>
        <v/>
      </c>
    </row>
    <row r="171" spans="1:8">
      <c r="A171" s="40" t="str">
        <f>IF(OR(OR(IFERROR(FIND("交行",基本信息!BS171),0)&gt;0,IFERROR(FIND("交通银行",基本信息!BS171),0)&gt;0),计算结果!BT171=0),"",基本信息!BR171)</f>
        <v/>
      </c>
      <c r="B171" s="40" t="str">
        <f>IF($A171="","",基本信息!BQ171)</f>
        <v/>
      </c>
      <c r="C171" s="50" t="str">
        <f>IF($A171="","",计算结果!BT171-G171-H171)</f>
        <v/>
      </c>
      <c r="D171" s="40" t="str">
        <f>IF($A171="","",基本信息!BS171)</f>
        <v/>
      </c>
      <c r="F171" s="40" t="str">
        <f>IF($A171="","",基本信息!A171)</f>
        <v/>
      </c>
      <c r="G171" s="50" t="str">
        <f>IF($A171="","",计算结果!BI171+计算结果!BJ171)</f>
        <v/>
      </c>
      <c r="H171" s="50" t="str">
        <f>IF($A171="","",计算结果!BK171)</f>
        <v/>
      </c>
    </row>
    <row r="172" spans="1:8">
      <c r="A172" s="40" t="str">
        <f>IF(OR(OR(IFERROR(FIND("交行",基本信息!BS172),0)&gt;0,IFERROR(FIND("交通银行",基本信息!BS172),0)&gt;0),计算结果!BT172=0),"",基本信息!BR172)</f>
        <v/>
      </c>
      <c r="B172" s="40" t="str">
        <f>IF($A172="","",基本信息!BQ172)</f>
        <v/>
      </c>
      <c r="C172" s="50" t="str">
        <f>IF($A172="","",计算结果!BT172-G172-H172)</f>
        <v/>
      </c>
      <c r="D172" s="40" t="str">
        <f>IF($A172="","",基本信息!BS172)</f>
        <v/>
      </c>
      <c r="F172" s="40" t="str">
        <f>IF($A172="","",基本信息!A172)</f>
        <v/>
      </c>
      <c r="G172" s="50" t="str">
        <f>IF($A172="","",计算结果!BI172+计算结果!BJ172)</f>
        <v/>
      </c>
      <c r="H172" s="50" t="str">
        <f>IF($A172="","",计算结果!BK172)</f>
        <v/>
      </c>
    </row>
    <row r="173" spans="1:8">
      <c r="A173" s="40" t="str">
        <f>IF(OR(OR(IFERROR(FIND("交行",基本信息!BS173),0)&gt;0,IFERROR(FIND("交通银行",基本信息!BS173),0)&gt;0),计算结果!BT173=0),"",基本信息!BR173)</f>
        <v/>
      </c>
      <c r="B173" s="40" t="str">
        <f>IF($A173="","",基本信息!BQ173)</f>
        <v/>
      </c>
      <c r="C173" s="50" t="str">
        <f>IF($A173="","",计算结果!BT173-G173-H173)</f>
        <v/>
      </c>
      <c r="D173" s="40" t="str">
        <f>IF($A173="","",基本信息!BS173)</f>
        <v/>
      </c>
      <c r="F173" s="40" t="str">
        <f>IF($A173="","",基本信息!A173)</f>
        <v/>
      </c>
      <c r="G173" s="50" t="str">
        <f>IF($A173="","",计算结果!BI173+计算结果!BJ173)</f>
        <v/>
      </c>
      <c r="H173" s="50" t="str">
        <f>IF($A173="","",计算结果!BK173)</f>
        <v/>
      </c>
    </row>
    <row r="174" spans="1:8">
      <c r="A174" s="40" t="str">
        <f>IF(OR(OR(IFERROR(FIND("交行",基本信息!BS174),0)&gt;0,IFERROR(FIND("交通银行",基本信息!BS174),0)&gt;0),计算结果!BT174=0),"",基本信息!BR174)</f>
        <v/>
      </c>
      <c r="B174" s="40" t="str">
        <f>IF($A174="","",基本信息!BQ174)</f>
        <v/>
      </c>
      <c r="C174" s="50" t="str">
        <f>IF($A174="","",计算结果!BT174-G174-H174)</f>
        <v/>
      </c>
      <c r="D174" s="40" t="str">
        <f>IF($A174="","",基本信息!BS174)</f>
        <v/>
      </c>
      <c r="F174" s="40" t="str">
        <f>IF($A174="","",基本信息!A174)</f>
        <v/>
      </c>
      <c r="G174" s="50" t="str">
        <f>IF($A174="","",计算结果!BI174+计算结果!BJ174)</f>
        <v/>
      </c>
      <c r="H174" s="50" t="str">
        <f>IF($A174="","",计算结果!BK174)</f>
        <v/>
      </c>
    </row>
    <row r="175" spans="1:8">
      <c r="A175" s="40" t="str">
        <f>IF(OR(OR(IFERROR(FIND("交行",基本信息!BS175),0)&gt;0,IFERROR(FIND("交通银行",基本信息!BS175),0)&gt;0),计算结果!BT175=0),"",基本信息!BR175)</f>
        <v/>
      </c>
      <c r="B175" s="40" t="str">
        <f>IF($A175="","",基本信息!BQ175)</f>
        <v/>
      </c>
      <c r="C175" s="50" t="str">
        <f>IF($A175="","",计算结果!BT175-G175-H175)</f>
        <v/>
      </c>
      <c r="D175" s="40" t="str">
        <f>IF($A175="","",基本信息!BS175)</f>
        <v/>
      </c>
      <c r="F175" s="40" t="str">
        <f>IF($A175="","",基本信息!A175)</f>
        <v/>
      </c>
      <c r="G175" s="50" t="str">
        <f>IF($A175="","",计算结果!BI175+计算结果!BJ175)</f>
        <v/>
      </c>
      <c r="H175" s="50" t="str">
        <f>IF($A175="","",计算结果!BK175)</f>
        <v/>
      </c>
    </row>
    <row r="176" spans="1:8">
      <c r="A176" s="40" t="str">
        <f>IF(OR(OR(IFERROR(FIND("交行",基本信息!BS176),0)&gt;0,IFERROR(FIND("交通银行",基本信息!BS176),0)&gt;0),计算结果!BT176=0),"",基本信息!BR176)</f>
        <v/>
      </c>
      <c r="B176" s="40" t="str">
        <f>IF($A176="","",基本信息!BQ176)</f>
        <v/>
      </c>
      <c r="C176" s="50" t="str">
        <f>IF($A176="","",计算结果!BT176-G176-H176)</f>
        <v/>
      </c>
      <c r="D176" s="40" t="str">
        <f>IF($A176="","",基本信息!BS176)</f>
        <v/>
      </c>
      <c r="F176" s="40" t="str">
        <f>IF($A176="","",基本信息!A176)</f>
        <v/>
      </c>
      <c r="G176" s="50" t="str">
        <f>IF($A176="","",计算结果!BI176+计算结果!BJ176)</f>
        <v/>
      </c>
      <c r="H176" s="50" t="str">
        <f>IF($A176="","",计算结果!BK176)</f>
        <v/>
      </c>
    </row>
    <row r="177" spans="1:8">
      <c r="A177" s="40" t="str">
        <f>IF(OR(OR(IFERROR(FIND("交行",基本信息!BS177),0)&gt;0,IFERROR(FIND("交通银行",基本信息!BS177),0)&gt;0),计算结果!BT177=0),"",基本信息!BR177)</f>
        <v/>
      </c>
      <c r="B177" s="40" t="str">
        <f>IF($A177="","",基本信息!BQ177)</f>
        <v/>
      </c>
      <c r="C177" s="50" t="str">
        <f>IF($A177="","",计算结果!BT177-G177-H177)</f>
        <v/>
      </c>
      <c r="D177" s="40" t="str">
        <f>IF($A177="","",基本信息!BS177)</f>
        <v/>
      </c>
      <c r="F177" s="40" t="str">
        <f>IF($A177="","",基本信息!A177)</f>
        <v/>
      </c>
      <c r="G177" s="50" t="str">
        <f>IF($A177="","",计算结果!BI177+计算结果!BJ177)</f>
        <v/>
      </c>
      <c r="H177" s="50" t="str">
        <f>IF($A177="","",计算结果!BK177)</f>
        <v/>
      </c>
    </row>
    <row r="178" spans="1:8">
      <c r="A178" s="40" t="str">
        <f>IF(OR(OR(IFERROR(FIND("交行",基本信息!BS178),0)&gt;0,IFERROR(FIND("交通银行",基本信息!BS178),0)&gt;0),计算结果!BT178=0),"",基本信息!BR178)</f>
        <v/>
      </c>
      <c r="B178" s="40" t="str">
        <f>IF($A178="","",基本信息!BQ178)</f>
        <v/>
      </c>
      <c r="C178" s="50" t="str">
        <f>IF($A178="","",计算结果!BT178-G178-H178)</f>
        <v/>
      </c>
      <c r="D178" s="40" t="str">
        <f>IF($A178="","",基本信息!BS178)</f>
        <v/>
      </c>
      <c r="F178" s="40" t="str">
        <f>IF($A178="","",基本信息!A178)</f>
        <v/>
      </c>
      <c r="G178" s="50" t="str">
        <f>IF($A178="","",计算结果!BI178+计算结果!BJ178)</f>
        <v/>
      </c>
      <c r="H178" s="50" t="str">
        <f>IF($A178="","",计算结果!BK178)</f>
        <v/>
      </c>
    </row>
    <row r="179" spans="1:8">
      <c r="A179" s="40" t="str">
        <f>IF(OR(OR(IFERROR(FIND("交行",基本信息!BS179),0)&gt;0,IFERROR(FIND("交通银行",基本信息!BS179),0)&gt;0),计算结果!BT179=0),"",基本信息!BR179)</f>
        <v/>
      </c>
      <c r="B179" s="40" t="str">
        <f>IF($A179="","",基本信息!BQ179)</f>
        <v/>
      </c>
      <c r="C179" s="50" t="str">
        <f>IF($A179="","",计算结果!BT179-G179-H179)</f>
        <v/>
      </c>
      <c r="D179" s="40" t="str">
        <f>IF($A179="","",基本信息!BS179)</f>
        <v/>
      </c>
      <c r="F179" s="40" t="str">
        <f>IF($A179="","",基本信息!A179)</f>
        <v/>
      </c>
      <c r="G179" s="50" t="str">
        <f>IF($A179="","",计算结果!BI179+计算结果!BJ179)</f>
        <v/>
      </c>
      <c r="H179" s="50" t="str">
        <f>IF($A179="","",计算结果!BK179)</f>
        <v/>
      </c>
    </row>
    <row r="180" spans="1:8">
      <c r="A180" s="40" t="str">
        <f>IF(OR(OR(IFERROR(FIND("交行",基本信息!BS180),0)&gt;0,IFERROR(FIND("交通银行",基本信息!BS180),0)&gt;0),计算结果!BT180=0),"",基本信息!BR180)</f>
        <v/>
      </c>
      <c r="B180" s="40" t="str">
        <f>IF($A180="","",基本信息!BQ180)</f>
        <v/>
      </c>
      <c r="C180" s="50" t="str">
        <f>IF($A180="","",计算结果!BT180-G180-H180)</f>
        <v/>
      </c>
      <c r="D180" s="40" t="str">
        <f>IF($A180="","",基本信息!BS180)</f>
        <v/>
      </c>
      <c r="F180" s="40" t="str">
        <f>IF($A180="","",基本信息!A180)</f>
        <v/>
      </c>
      <c r="G180" s="50" t="str">
        <f>IF($A180="","",计算结果!BI180+计算结果!BJ180)</f>
        <v/>
      </c>
      <c r="H180" s="50" t="str">
        <f>IF($A180="","",计算结果!BK180)</f>
        <v/>
      </c>
    </row>
    <row r="181" spans="1:8">
      <c r="A181" s="40" t="str">
        <f>IF(OR(OR(IFERROR(FIND("交行",基本信息!BS181),0)&gt;0,IFERROR(FIND("交通银行",基本信息!BS181),0)&gt;0),计算结果!BT181=0),"",基本信息!BR181)</f>
        <v/>
      </c>
      <c r="B181" s="40" t="str">
        <f>IF($A181="","",基本信息!BQ181)</f>
        <v/>
      </c>
      <c r="C181" s="50" t="str">
        <f>IF($A181="","",计算结果!BT181-G181-H181)</f>
        <v/>
      </c>
      <c r="D181" s="40" t="str">
        <f>IF($A181="","",基本信息!BS181)</f>
        <v/>
      </c>
      <c r="F181" s="40" t="str">
        <f>IF($A181="","",基本信息!A181)</f>
        <v/>
      </c>
      <c r="G181" s="50" t="str">
        <f>IF($A181="","",计算结果!BI181+计算结果!BJ181)</f>
        <v/>
      </c>
      <c r="H181" s="50" t="str">
        <f>IF($A181="","",计算结果!BK181)</f>
        <v/>
      </c>
    </row>
    <row r="182" spans="1:8">
      <c r="A182" s="40" t="str">
        <f>IF(OR(OR(IFERROR(FIND("交行",基本信息!BS182),0)&gt;0,IFERROR(FIND("交通银行",基本信息!BS182),0)&gt;0),计算结果!BT182=0),"",基本信息!BR182)</f>
        <v/>
      </c>
      <c r="B182" s="40" t="str">
        <f>IF($A182="","",基本信息!BQ182)</f>
        <v/>
      </c>
      <c r="C182" s="50" t="str">
        <f>IF($A182="","",计算结果!BT182-G182-H182)</f>
        <v/>
      </c>
      <c r="D182" s="40" t="str">
        <f>IF($A182="","",基本信息!BS182)</f>
        <v/>
      </c>
      <c r="F182" s="40" t="str">
        <f>IF($A182="","",基本信息!A182)</f>
        <v/>
      </c>
      <c r="G182" s="50" t="str">
        <f>IF($A182="","",计算结果!BI182+计算结果!BJ182)</f>
        <v/>
      </c>
      <c r="H182" s="50" t="str">
        <f>IF($A182="","",计算结果!BK182)</f>
        <v/>
      </c>
    </row>
    <row r="183" spans="1:8">
      <c r="A183" s="40" t="str">
        <f>IF(OR(OR(IFERROR(FIND("交行",基本信息!BS183),0)&gt;0,IFERROR(FIND("交通银行",基本信息!BS183),0)&gt;0),计算结果!BT183=0),"",基本信息!BR183)</f>
        <v/>
      </c>
      <c r="B183" s="40" t="str">
        <f>IF($A183="","",基本信息!BQ183)</f>
        <v/>
      </c>
      <c r="C183" s="50" t="str">
        <f>IF($A183="","",计算结果!BT183-G183-H183)</f>
        <v/>
      </c>
      <c r="D183" s="40" t="str">
        <f>IF($A183="","",基本信息!BS183)</f>
        <v/>
      </c>
      <c r="F183" s="40" t="str">
        <f>IF($A183="","",基本信息!A183)</f>
        <v/>
      </c>
      <c r="G183" s="50" t="str">
        <f>IF($A183="","",计算结果!BI183+计算结果!BJ183)</f>
        <v/>
      </c>
      <c r="H183" s="50" t="str">
        <f>IF($A183="","",计算结果!BK183)</f>
        <v/>
      </c>
    </row>
    <row r="184" spans="1:8">
      <c r="A184" s="40" t="str">
        <f>IF(OR(OR(IFERROR(FIND("交行",基本信息!BS184),0)&gt;0,IFERROR(FIND("交通银行",基本信息!BS184),0)&gt;0),计算结果!BT184=0),"",基本信息!BR184)</f>
        <v/>
      </c>
      <c r="B184" s="40" t="str">
        <f>IF($A184="","",基本信息!BQ184)</f>
        <v/>
      </c>
      <c r="C184" s="50" t="str">
        <f>IF($A184="","",计算结果!BT184-G184-H184)</f>
        <v/>
      </c>
      <c r="D184" s="40" t="str">
        <f>IF($A184="","",基本信息!BS184)</f>
        <v/>
      </c>
      <c r="F184" s="40" t="str">
        <f>IF($A184="","",基本信息!A184)</f>
        <v/>
      </c>
      <c r="G184" s="50" t="str">
        <f>IF($A184="","",计算结果!BI184+计算结果!BJ184)</f>
        <v/>
      </c>
      <c r="H184" s="50" t="str">
        <f>IF($A184="","",计算结果!BK184)</f>
        <v/>
      </c>
    </row>
    <row r="185" spans="1:8">
      <c r="A185" s="40" t="str">
        <f>IF(OR(OR(IFERROR(FIND("交行",基本信息!BS185),0)&gt;0,IFERROR(FIND("交通银行",基本信息!BS185),0)&gt;0),计算结果!BT185=0),"",基本信息!BR185)</f>
        <v/>
      </c>
      <c r="B185" s="40" t="str">
        <f>IF($A185="","",基本信息!BQ185)</f>
        <v/>
      </c>
      <c r="C185" s="50" t="str">
        <f>IF($A185="","",计算结果!BT185-G185-H185)</f>
        <v/>
      </c>
      <c r="D185" s="40" t="str">
        <f>IF($A185="","",基本信息!BS185)</f>
        <v/>
      </c>
      <c r="F185" s="40" t="str">
        <f>IF($A185="","",基本信息!A185)</f>
        <v/>
      </c>
      <c r="G185" s="50" t="str">
        <f>IF($A185="","",计算结果!BI185+计算结果!BJ185)</f>
        <v/>
      </c>
      <c r="H185" s="50" t="str">
        <f>IF($A185="","",计算结果!BK185)</f>
        <v/>
      </c>
    </row>
    <row r="186" spans="1:8">
      <c r="A186" s="40" t="str">
        <f>IF(OR(OR(IFERROR(FIND("交行",基本信息!BS186),0)&gt;0,IFERROR(FIND("交通银行",基本信息!BS186),0)&gt;0),计算结果!BT186=0),"",基本信息!BR186)</f>
        <v/>
      </c>
      <c r="B186" s="40" t="str">
        <f>IF($A186="","",基本信息!BQ186)</f>
        <v/>
      </c>
      <c r="C186" s="50" t="str">
        <f>IF($A186="","",计算结果!BT186-G186-H186)</f>
        <v/>
      </c>
      <c r="D186" s="40" t="str">
        <f>IF($A186="","",基本信息!BS186)</f>
        <v/>
      </c>
      <c r="F186" s="40" t="str">
        <f>IF($A186="","",基本信息!A186)</f>
        <v/>
      </c>
      <c r="G186" s="50" t="str">
        <f>IF($A186="","",计算结果!BI186+计算结果!BJ186)</f>
        <v/>
      </c>
      <c r="H186" s="50" t="str">
        <f>IF($A186="","",计算结果!BK186)</f>
        <v/>
      </c>
    </row>
    <row r="187" spans="1:8">
      <c r="A187" s="40" t="str">
        <f>IF(OR(OR(IFERROR(FIND("交行",基本信息!BS187),0)&gt;0,IFERROR(FIND("交通银行",基本信息!BS187),0)&gt;0),计算结果!BT187=0),"",基本信息!BR187)</f>
        <v/>
      </c>
      <c r="B187" s="40" t="str">
        <f>IF($A187="","",基本信息!BQ187)</f>
        <v/>
      </c>
      <c r="C187" s="50" t="str">
        <f>IF($A187="","",计算结果!BT187-G187-H187)</f>
        <v/>
      </c>
      <c r="D187" s="40" t="str">
        <f>IF($A187="","",基本信息!BS187)</f>
        <v/>
      </c>
      <c r="F187" s="40" t="str">
        <f>IF($A187="","",基本信息!A187)</f>
        <v/>
      </c>
      <c r="G187" s="50" t="str">
        <f>IF($A187="","",计算结果!BI187+计算结果!BJ187)</f>
        <v/>
      </c>
      <c r="H187" s="50" t="str">
        <f>IF($A187="","",计算结果!BK187)</f>
        <v/>
      </c>
    </row>
    <row r="188" spans="1:8">
      <c r="A188" s="40" t="str">
        <f>IF(OR(OR(IFERROR(FIND("交行",基本信息!BS188),0)&gt;0,IFERROR(FIND("交通银行",基本信息!BS188),0)&gt;0),计算结果!BT188=0),"",基本信息!BR188)</f>
        <v/>
      </c>
      <c r="B188" s="40" t="str">
        <f>IF($A188="","",基本信息!BQ188)</f>
        <v/>
      </c>
      <c r="C188" s="50" t="str">
        <f>IF($A188="","",计算结果!BT188-G188-H188)</f>
        <v/>
      </c>
      <c r="D188" s="40" t="str">
        <f>IF($A188="","",基本信息!BS188)</f>
        <v/>
      </c>
      <c r="F188" s="40" t="str">
        <f>IF($A188="","",基本信息!A188)</f>
        <v/>
      </c>
      <c r="G188" s="50" t="str">
        <f>IF($A188="","",计算结果!BI188+计算结果!BJ188)</f>
        <v/>
      </c>
      <c r="H188" s="50" t="str">
        <f>IF($A188="","",计算结果!BK188)</f>
        <v/>
      </c>
    </row>
    <row r="189" spans="1:8">
      <c r="A189" s="40" t="str">
        <f>IF(OR(OR(IFERROR(FIND("交行",基本信息!BS189),0)&gt;0,IFERROR(FIND("交通银行",基本信息!BS189),0)&gt;0),计算结果!BT189=0),"",基本信息!BR189)</f>
        <v/>
      </c>
      <c r="B189" s="40" t="str">
        <f>IF($A189="","",基本信息!BQ189)</f>
        <v/>
      </c>
      <c r="C189" s="50" t="str">
        <f>IF($A189="","",计算结果!BT189-G189-H189)</f>
        <v/>
      </c>
      <c r="D189" s="40" t="str">
        <f>IF($A189="","",基本信息!BS189)</f>
        <v/>
      </c>
      <c r="F189" s="40" t="str">
        <f>IF($A189="","",基本信息!A189)</f>
        <v/>
      </c>
      <c r="G189" s="50" t="str">
        <f>IF($A189="","",计算结果!BI189+计算结果!BJ189)</f>
        <v/>
      </c>
      <c r="H189" s="50" t="str">
        <f>IF($A189="","",计算结果!BK189)</f>
        <v/>
      </c>
    </row>
    <row r="190" spans="1:8">
      <c r="A190" s="40" t="str">
        <f>IF(OR(OR(IFERROR(FIND("交行",基本信息!BS190),0)&gt;0,IFERROR(FIND("交通银行",基本信息!BS190),0)&gt;0),计算结果!BT190=0),"",基本信息!BR190)</f>
        <v/>
      </c>
      <c r="B190" s="40" t="str">
        <f>IF($A190="","",基本信息!BQ190)</f>
        <v/>
      </c>
      <c r="C190" s="50" t="str">
        <f>IF($A190="","",计算结果!BT190-G190-H190)</f>
        <v/>
      </c>
      <c r="D190" s="40" t="str">
        <f>IF($A190="","",基本信息!BS190)</f>
        <v/>
      </c>
      <c r="F190" s="40" t="str">
        <f>IF($A190="","",基本信息!A190)</f>
        <v/>
      </c>
      <c r="G190" s="50" t="str">
        <f>IF($A190="","",计算结果!BI190+计算结果!BJ190)</f>
        <v/>
      </c>
      <c r="H190" s="50" t="str">
        <f>IF($A190="","",计算结果!BK190)</f>
        <v/>
      </c>
    </row>
    <row r="191" spans="1:8">
      <c r="A191" s="40" t="str">
        <f>IF(OR(OR(IFERROR(FIND("交行",基本信息!BS191),0)&gt;0,IFERROR(FIND("交通银行",基本信息!BS191),0)&gt;0),计算结果!BT191=0),"",基本信息!BR191)</f>
        <v/>
      </c>
      <c r="B191" s="40" t="str">
        <f>IF($A191="","",基本信息!BQ191)</f>
        <v/>
      </c>
      <c r="C191" s="50" t="str">
        <f>IF($A191="","",计算结果!BT191-G191-H191)</f>
        <v/>
      </c>
      <c r="D191" s="40" t="str">
        <f>IF($A191="","",基本信息!BS191)</f>
        <v/>
      </c>
      <c r="F191" s="40" t="str">
        <f>IF($A191="","",基本信息!A191)</f>
        <v/>
      </c>
      <c r="G191" s="50" t="str">
        <f>IF($A191="","",计算结果!BI191+计算结果!BJ191)</f>
        <v/>
      </c>
      <c r="H191" s="50" t="str">
        <f>IF($A191="","",计算结果!BK191)</f>
        <v/>
      </c>
    </row>
    <row r="192" spans="1:8">
      <c r="A192" s="40" t="str">
        <f>IF(OR(OR(IFERROR(FIND("交行",基本信息!BS192),0)&gt;0,IFERROR(FIND("交通银行",基本信息!BS192),0)&gt;0),计算结果!BT192=0),"",基本信息!BR192)</f>
        <v/>
      </c>
      <c r="B192" s="40" t="str">
        <f>IF($A192="","",基本信息!BQ192)</f>
        <v/>
      </c>
      <c r="C192" s="50" t="str">
        <f>IF($A192="","",计算结果!BT192-G192-H192)</f>
        <v/>
      </c>
      <c r="D192" s="40" t="str">
        <f>IF($A192="","",基本信息!BS192)</f>
        <v/>
      </c>
      <c r="F192" s="40" t="str">
        <f>IF($A192="","",基本信息!A192)</f>
        <v/>
      </c>
      <c r="G192" s="50" t="str">
        <f>IF($A192="","",计算结果!BI192+计算结果!BJ192)</f>
        <v/>
      </c>
      <c r="H192" s="50" t="str">
        <f>IF($A192="","",计算结果!BK192)</f>
        <v/>
      </c>
    </row>
    <row r="193" spans="1:8">
      <c r="A193" s="40" t="str">
        <f>IF(OR(OR(IFERROR(FIND("交行",基本信息!BS193),0)&gt;0,IFERROR(FIND("交通银行",基本信息!BS193),0)&gt;0),计算结果!BT193=0),"",基本信息!BR193)</f>
        <v/>
      </c>
      <c r="B193" s="40" t="str">
        <f>IF($A193="","",基本信息!BQ193)</f>
        <v/>
      </c>
      <c r="C193" s="50" t="str">
        <f>IF($A193="","",计算结果!BT193-G193-H193)</f>
        <v/>
      </c>
      <c r="D193" s="40" t="str">
        <f>IF($A193="","",基本信息!BS193)</f>
        <v/>
      </c>
      <c r="F193" s="40" t="str">
        <f>IF($A193="","",基本信息!A193)</f>
        <v/>
      </c>
      <c r="G193" s="50" t="str">
        <f>IF($A193="","",计算结果!BI193+计算结果!BJ193)</f>
        <v/>
      </c>
      <c r="H193" s="50" t="str">
        <f>IF($A193="","",计算结果!BK193)</f>
        <v/>
      </c>
    </row>
    <row r="194" spans="1:8">
      <c r="A194" s="40" t="str">
        <f>IF(OR(OR(IFERROR(FIND("交行",基本信息!BS194),0)&gt;0,IFERROR(FIND("交通银行",基本信息!BS194),0)&gt;0),计算结果!BT194=0),"",基本信息!BR194)</f>
        <v/>
      </c>
      <c r="B194" s="40" t="str">
        <f>IF($A194="","",基本信息!BQ194)</f>
        <v/>
      </c>
      <c r="C194" s="50" t="str">
        <f>IF($A194="","",计算结果!BT194-G194-H194)</f>
        <v/>
      </c>
      <c r="D194" s="40" t="str">
        <f>IF($A194="","",基本信息!BS194)</f>
        <v/>
      </c>
      <c r="F194" s="40" t="str">
        <f>IF($A194="","",基本信息!A194)</f>
        <v/>
      </c>
      <c r="G194" s="50" t="str">
        <f>IF($A194="","",计算结果!BI194+计算结果!BJ194)</f>
        <v/>
      </c>
      <c r="H194" s="50" t="str">
        <f>IF($A194="","",计算结果!BK194)</f>
        <v/>
      </c>
    </row>
    <row r="195" spans="1:8">
      <c r="A195" s="40" t="str">
        <f>IF(OR(OR(IFERROR(FIND("交行",基本信息!BS195),0)&gt;0,IFERROR(FIND("交通银行",基本信息!BS195),0)&gt;0),计算结果!BT195=0),"",基本信息!BR195)</f>
        <v/>
      </c>
      <c r="B195" s="40" t="str">
        <f>IF($A195="","",基本信息!BQ195)</f>
        <v/>
      </c>
      <c r="C195" s="50" t="str">
        <f>IF($A195="","",计算结果!BT195-G195-H195)</f>
        <v/>
      </c>
      <c r="D195" s="40" t="str">
        <f>IF($A195="","",基本信息!BS195)</f>
        <v/>
      </c>
      <c r="F195" s="40" t="str">
        <f>IF($A195="","",基本信息!A195)</f>
        <v/>
      </c>
      <c r="G195" s="50" t="str">
        <f>IF($A195="","",计算结果!BI195+计算结果!BJ195)</f>
        <v/>
      </c>
      <c r="H195" s="50" t="str">
        <f>IF($A195="","",计算结果!BK195)</f>
        <v/>
      </c>
    </row>
    <row r="196" spans="1:8">
      <c r="A196" s="40" t="str">
        <f>IF(OR(OR(IFERROR(FIND("交行",基本信息!BS196),0)&gt;0,IFERROR(FIND("交通银行",基本信息!BS196),0)&gt;0),计算结果!BT196=0),"",基本信息!BR196)</f>
        <v/>
      </c>
      <c r="B196" s="40" t="str">
        <f>IF($A196="","",基本信息!BQ196)</f>
        <v/>
      </c>
      <c r="C196" s="50" t="str">
        <f>IF($A196="","",计算结果!BT196-G196-H196)</f>
        <v/>
      </c>
      <c r="D196" s="40" t="str">
        <f>IF($A196="","",基本信息!BS196)</f>
        <v/>
      </c>
      <c r="F196" s="40" t="str">
        <f>IF($A196="","",基本信息!A196)</f>
        <v/>
      </c>
      <c r="G196" s="50" t="str">
        <f>IF($A196="","",计算结果!BI196+计算结果!BJ196)</f>
        <v/>
      </c>
      <c r="H196" s="50" t="str">
        <f>IF($A196="","",计算结果!BK196)</f>
        <v/>
      </c>
    </row>
    <row r="197" spans="1:8">
      <c r="A197" s="40" t="str">
        <f>IF(OR(OR(IFERROR(FIND("交行",基本信息!BS197),0)&gt;0,IFERROR(FIND("交通银行",基本信息!BS197),0)&gt;0),计算结果!BT197=0),"",基本信息!BR197)</f>
        <v/>
      </c>
      <c r="B197" s="40" t="str">
        <f>IF($A197="","",基本信息!BQ197)</f>
        <v/>
      </c>
      <c r="C197" s="50" t="str">
        <f>IF($A197="","",计算结果!BT197-G197-H197)</f>
        <v/>
      </c>
      <c r="D197" s="40" t="str">
        <f>IF($A197="","",基本信息!BS197)</f>
        <v/>
      </c>
      <c r="F197" s="40" t="str">
        <f>IF($A197="","",基本信息!A197)</f>
        <v/>
      </c>
      <c r="G197" s="50" t="str">
        <f>IF($A197="","",计算结果!BI197+计算结果!BJ197)</f>
        <v/>
      </c>
      <c r="H197" s="50" t="str">
        <f>IF($A197="","",计算结果!BK197)</f>
        <v/>
      </c>
    </row>
    <row r="198" spans="1:8">
      <c r="A198" s="40" t="str">
        <f>IF(OR(OR(IFERROR(FIND("交行",基本信息!BS198),0)&gt;0,IFERROR(FIND("交通银行",基本信息!BS198),0)&gt;0),计算结果!BT198=0),"",基本信息!BR198)</f>
        <v/>
      </c>
      <c r="B198" s="40" t="str">
        <f>IF($A198="","",基本信息!BQ198)</f>
        <v/>
      </c>
      <c r="C198" s="50" t="str">
        <f>IF($A198="","",计算结果!BT198-G198-H198)</f>
        <v/>
      </c>
      <c r="D198" s="40" t="str">
        <f>IF($A198="","",基本信息!BS198)</f>
        <v/>
      </c>
      <c r="F198" s="40" t="str">
        <f>IF($A198="","",基本信息!A198)</f>
        <v/>
      </c>
      <c r="G198" s="50" t="str">
        <f>IF($A198="","",计算结果!BI198+计算结果!BJ198)</f>
        <v/>
      </c>
      <c r="H198" s="50" t="str">
        <f>IF($A198="","",计算结果!BK198)</f>
        <v/>
      </c>
    </row>
    <row r="199" spans="1:8">
      <c r="A199" s="40" t="str">
        <f>IF(OR(OR(IFERROR(FIND("交行",基本信息!BS199),0)&gt;0,IFERROR(FIND("交通银行",基本信息!BS199),0)&gt;0),计算结果!BT199=0),"",基本信息!BR199)</f>
        <v/>
      </c>
      <c r="B199" s="40" t="str">
        <f>IF($A199="","",基本信息!BQ199)</f>
        <v/>
      </c>
      <c r="C199" s="50" t="str">
        <f>IF($A199="","",计算结果!BT199-G199-H199)</f>
        <v/>
      </c>
      <c r="D199" s="40" t="str">
        <f>IF($A199="","",基本信息!BS199)</f>
        <v/>
      </c>
      <c r="F199" s="40" t="str">
        <f>IF($A199="","",基本信息!A199)</f>
        <v/>
      </c>
      <c r="G199" s="50" t="str">
        <f>IF($A199="","",计算结果!BI199+计算结果!BJ199)</f>
        <v/>
      </c>
      <c r="H199" s="50" t="str">
        <f>IF($A199="","",计算结果!BK199)</f>
        <v/>
      </c>
    </row>
    <row r="200" spans="1:8">
      <c r="A200" s="40" t="str">
        <f>IF(OR(OR(IFERROR(FIND("交行",基本信息!BS200),0)&gt;0,IFERROR(FIND("交通银行",基本信息!BS200),0)&gt;0),计算结果!BT200=0),"",基本信息!BR200)</f>
        <v/>
      </c>
      <c r="B200" s="40" t="str">
        <f>IF($A200="","",基本信息!BQ200)</f>
        <v/>
      </c>
      <c r="C200" s="50" t="str">
        <f>IF($A200="","",计算结果!BT200-G200-H200)</f>
        <v/>
      </c>
      <c r="D200" s="40" t="str">
        <f>IF($A200="","",基本信息!BS200)</f>
        <v/>
      </c>
      <c r="F200" s="40" t="str">
        <f>IF($A200="","",基本信息!A200)</f>
        <v/>
      </c>
      <c r="G200" s="50" t="str">
        <f>IF($A200="","",计算结果!BI200+计算结果!BJ200)</f>
        <v/>
      </c>
      <c r="H200" s="50" t="str">
        <f>IF($A200="","",计算结果!BK200)</f>
        <v/>
      </c>
    </row>
    <row r="201" spans="1:8">
      <c r="A201" s="40" t="str">
        <f>IF(OR(OR(IFERROR(FIND("交行",基本信息!BS201),0)&gt;0,IFERROR(FIND("交通银行",基本信息!BS201),0)&gt;0),计算结果!BT201=0),"",基本信息!BR201)</f>
        <v/>
      </c>
      <c r="B201" s="40" t="str">
        <f>IF($A201="","",基本信息!BQ201)</f>
        <v/>
      </c>
      <c r="C201" s="50" t="str">
        <f>IF($A201="","",计算结果!BT201-G201-H201)</f>
        <v/>
      </c>
      <c r="D201" s="40" t="str">
        <f>IF($A201="","",基本信息!BS201)</f>
        <v/>
      </c>
      <c r="F201" s="40" t="str">
        <f>IF($A201="","",基本信息!A201)</f>
        <v/>
      </c>
      <c r="G201" s="50" t="str">
        <f>IF($A201="","",计算结果!BI201+计算结果!BJ201)</f>
        <v/>
      </c>
      <c r="H201" s="50" t="str">
        <f>IF($A201="","",计算结果!BK201)</f>
        <v/>
      </c>
    </row>
    <row r="202" spans="1:8">
      <c r="A202" s="40" t="str">
        <f>IF(OR(OR(IFERROR(FIND("交行",基本信息!BS202),0)&gt;0,IFERROR(FIND("交通银行",基本信息!BS202),0)&gt;0),计算结果!BT202=0),"",基本信息!BR202)</f>
        <v/>
      </c>
      <c r="B202" s="40" t="str">
        <f>IF($A202="","",基本信息!BQ202)</f>
        <v/>
      </c>
      <c r="C202" s="50" t="str">
        <f>IF($A202="","",计算结果!BT202-G202-H202)</f>
        <v/>
      </c>
      <c r="D202" s="40" t="str">
        <f>IF($A202="","",基本信息!BS202)</f>
        <v/>
      </c>
      <c r="F202" s="40" t="str">
        <f>IF($A202="","",基本信息!A202)</f>
        <v/>
      </c>
      <c r="G202" s="50" t="str">
        <f>IF($A202="","",计算结果!BI202+计算结果!BJ202)</f>
        <v/>
      </c>
      <c r="H202" s="50" t="str">
        <f>IF($A202="","",计算结果!BK202)</f>
        <v/>
      </c>
    </row>
    <row r="203" spans="1:8">
      <c r="A203" s="40" t="str">
        <f>IF(OR(OR(IFERROR(FIND("交行",基本信息!BS203),0)&gt;0,IFERROR(FIND("交通银行",基本信息!BS203),0)&gt;0),计算结果!BT203=0),"",基本信息!BR203)</f>
        <v/>
      </c>
      <c r="B203" s="40" t="str">
        <f>IF($A203="","",基本信息!BQ203)</f>
        <v/>
      </c>
      <c r="C203" s="50" t="str">
        <f>IF($A203="","",计算结果!BT203-G203-H203)</f>
        <v/>
      </c>
      <c r="D203" s="40" t="str">
        <f>IF($A203="","",基本信息!BS203)</f>
        <v/>
      </c>
      <c r="F203" s="40" t="str">
        <f>IF($A203="","",基本信息!A203)</f>
        <v/>
      </c>
      <c r="G203" s="50" t="str">
        <f>IF($A203="","",计算结果!BI203+计算结果!BJ203)</f>
        <v/>
      </c>
      <c r="H203" s="50" t="str">
        <f>IF($A203="","",计算结果!BK203)</f>
        <v/>
      </c>
    </row>
    <row r="204" spans="1:8">
      <c r="A204" s="40" t="str">
        <f>IF(OR(OR(IFERROR(FIND("交行",基本信息!BS204),0)&gt;0,IFERROR(FIND("交通银行",基本信息!BS204),0)&gt;0),计算结果!BT204=0),"",基本信息!BR204)</f>
        <v/>
      </c>
      <c r="B204" s="40" t="str">
        <f>IF($A204="","",基本信息!BQ204)</f>
        <v/>
      </c>
      <c r="C204" s="50" t="str">
        <f>IF($A204="","",计算结果!BT204-G204-H204)</f>
        <v/>
      </c>
      <c r="D204" s="40" t="str">
        <f>IF($A204="","",基本信息!BS204)</f>
        <v/>
      </c>
      <c r="F204" s="40" t="str">
        <f>IF($A204="","",基本信息!A204)</f>
        <v/>
      </c>
      <c r="G204" s="50" t="str">
        <f>IF($A204="","",计算结果!BI204+计算结果!BJ204)</f>
        <v/>
      </c>
      <c r="H204" s="50" t="str">
        <f>IF($A204="","",计算结果!BK204)</f>
        <v/>
      </c>
    </row>
    <row r="205" spans="1:8">
      <c r="A205" s="40" t="str">
        <f>IF(OR(OR(IFERROR(FIND("交行",基本信息!BS205),0)&gt;0,IFERROR(FIND("交通银行",基本信息!BS205),0)&gt;0),计算结果!BT205=0),"",基本信息!BR205)</f>
        <v/>
      </c>
      <c r="B205" s="40" t="str">
        <f>IF($A205="","",基本信息!BQ205)</f>
        <v/>
      </c>
      <c r="C205" s="50" t="str">
        <f>IF($A205="","",计算结果!BT205-G205-H205)</f>
        <v/>
      </c>
      <c r="D205" s="40" t="str">
        <f>IF($A205="","",基本信息!BS205)</f>
        <v/>
      </c>
      <c r="F205" s="40" t="str">
        <f>IF($A205="","",基本信息!A205)</f>
        <v/>
      </c>
      <c r="G205" s="50" t="str">
        <f>IF($A205="","",计算结果!BI205+计算结果!BJ205)</f>
        <v/>
      </c>
      <c r="H205" s="50" t="str">
        <f>IF($A205="","",计算结果!BK205)</f>
        <v/>
      </c>
    </row>
    <row r="206" spans="1:8">
      <c r="A206" s="40" t="str">
        <f>IF(OR(OR(IFERROR(FIND("交行",基本信息!BS206),0)&gt;0,IFERROR(FIND("交通银行",基本信息!BS206),0)&gt;0),计算结果!BT206=0),"",基本信息!BR206)</f>
        <v/>
      </c>
      <c r="B206" s="40" t="str">
        <f>IF($A206="","",基本信息!BQ206)</f>
        <v/>
      </c>
      <c r="C206" s="50" t="str">
        <f>IF($A206="","",计算结果!BT206-G206-H206)</f>
        <v/>
      </c>
      <c r="D206" s="40" t="str">
        <f>IF($A206="","",基本信息!BS206)</f>
        <v/>
      </c>
      <c r="F206" s="40" t="str">
        <f>IF($A206="","",基本信息!A206)</f>
        <v/>
      </c>
      <c r="G206" s="50" t="str">
        <f>IF($A206="","",计算结果!BI206+计算结果!BJ206)</f>
        <v/>
      </c>
      <c r="H206" s="50" t="str">
        <f>IF($A206="","",计算结果!BK206)</f>
        <v/>
      </c>
    </row>
    <row r="207" spans="1:8">
      <c r="A207" s="40" t="str">
        <f>IF(OR(OR(IFERROR(FIND("交行",基本信息!BS207),0)&gt;0,IFERROR(FIND("交通银行",基本信息!BS207),0)&gt;0),计算结果!BT207=0),"",基本信息!BR207)</f>
        <v/>
      </c>
      <c r="B207" s="40" t="str">
        <f>IF($A207="","",基本信息!BQ207)</f>
        <v/>
      </c>
      <c r="C207" s="50" t="str">
        <f>IF($A207="","",计算结果!BT207-G207-H207)</f>
        <v/>
      </c>
      <c r="D207" s="40" t="str">
        <f>IF($A207="","",基本信息!BS207)</f>
        <v/>
      </c>
      <c r="F207" s="40" t="str">
        <f>IF($A207="","",基本信息!A207)</f>
        <v/>
      </c>
      <c r="G207" s="50" t="str">
        <f>IF($A207="","",计算结果!BI207+计算结果!BJ207)</f>
        <v/>
      </c>
      <c r="H207" s="50" t="str">
        <f>IF($A207="","",计算结果!BK207)</f>
        <v/>
      </c>
    </row>
    <row r="208" spans="1:8">
      <c r="A208" s="40" t="str">
        <f>IF(OR(OR(IFERROR(FIND("交行",基本信息!BS208),0)&gt;0,IFERROR(FIND("交通银行",基本信息!BS208),0)&gt;0),计算结果!BT208=0),"",基本信息!BR208)</f>
        <v/>
      </c>
      <c r="B208" s="40" t="str">
        <f>IF($A208="","",基本信息!BQ208)</f>
        <v/>
      </c>
      <c r="C208" s="50" t="str">
        <f>IF($A208="","",计算结果!BT208-G208-H208)</f>
        <v/>
      </c>
      <c r="D208" s="40" t="str">
        <f>IF($A208="","",基本信息!BS208)</f>
        <v/>
      </c>
      <c r="F208" s="40" t="str">
        <f>IF($A208="","",基本信息!A208)</f>
        <v/>
      </c>
      <c r="G208" s="50" t="str">
        <f>IF($A208="","",计算结果!BI208+计算结果!BJ208)</f>
        <v/>
      </c>
      <c r="H208" s="50" t="str">
        <f>IF($A208="","",计算结果!BK208)</f>
        <v/>
      </c>
    </row>
    <row r="209" spans="1:8">
      <c r="A209" s="40" t="str">
        <f>IF(OR(OR(IFERROR(FIND("交行",基本信息!BS209),0)&gt;0,IFERROR(FIND("交通银行",基本信息!BS209),0)&gt;0),计算结果!BT209=0),"",基本信息!BR209)</f>
        <v/>
      </c>
      <c r="B209" s="40" t="str">
        <f>IF($A209="","",基本信息!BQ209)</f>
        <v/>
      </c>
      <c r="C209" s="50" t="str">
        <f>IF($A209="","",计算结果!BT209-G209-H209)</f>
        <v/>
      </c>
      <c r="D209" s="40" t="str">
        <f>IF($A209="","",基本信息!BS209)</f>
        <v/>
      </c>
      <c r="F209" s="40" t="str">
        <f>IF($A209="","",基本信息!A209)</f>
        <v/>
      </c>
      <c r="G209" s="50" t="str">
        <f>IF($A209="","",计算结果!BI209+计算结果!BJ209)</f>
        <v/>
      </c>
      <c r="H209" s="50" t="str">
        <f>IF($A209="","",计算结果!BK209)</f>
        <v/>
      </c>
    </row>
    <row r="210" spans="1:8">
      <c r="A210" s="40" t="str">
        <f>IF(OR(OR(IFERROR(FIND("交行",基本信息!BS210),0)&gt;0,IFERROR(FIND("交通银行",基本信息!BS210),0)&gt;0),计算结果!BT210=0),"",基本信息!BR210)</f>
        <v/>
      </c>
      <c r="B210" s="40" t="str">
        <f>IF($A210="","",基本信息!BQ210)</f>
        <v/>
      </c>
      <c r="C210" s="50" t="str">
        <f>IF($A210="","",计算结果!BT210-G210-H210)</f>
        <v/>
      </c>
      <c r="D210" s="40" t="str">
        <f>IF($A210="","",基本信息!BS210)</f>
        <v/>
      </c>
      <c r="F210" s="40" t="str">
        <f>IF($A210="","",基本信息!A210)</f>
        <v/>
      </c>
      <c r="G210" s="50" t="str">
        <f>IF($A210="","",计算结果!BI210+计算结果!BJ210)</f>
        <v/>
      </c>
      <c r="H210" s="50" t="str">
        <f>IF($A210="","",计算结果!BK210)</f>
        <v/>
      </c>
    </row>
    <row r="211" spans="1:8">
      <c r="A211" s="40" t="str">
        <f>IF(OR(OR(IFERROR(FIND("交行",基本信息!BS211),0)&gt;0,IFERROR(FIND("交通银行",基本信息!BS211),0)&gt;0),计算结果!BT211=0),"",基本信息!BR211)</f>
        <v/>
      </c>
      <c r="B211" s="40" t="str">
        <f>IF($A211="","",基本信息!BQ211)</f>
        <v/>
      </c>
      <c r="C211" s="50" t="str">
        <f>IF($A211="","",计算结果!BT211-G211-H211)</f>
        <v/>
      </c>
      <c r="D211" s="40" t="str">
        <f>IF($A211="","",基本信息!BS211)</f>
        <v/>
      </c>
      <c r="F211" s="40" t="str">
        <f>IF($A211="","",基本信息!A211)</f>
        <v/>
      </c>
      <c r="G211" s="50" t="str">
        <f>IF($A211="","",计算结果!BI211+计算结果!BJ211)</f>
        <v/>
      </c>
      <c r="H211" s="50" t="str">
        <f>IF($A211="","",计算结果!BK211)</f>
        <v/>
      </c>
    </row>
    <row r="212" spans="1:8">
      <c r="A212" s="40" t="str">
        <f>IF(OR(OR(IFERROR(FIND("交行",基本信息!BS212),0)&gt;0,IFERROR(FIND("交通银行",基本信息!BS212),0)&gt;0),计算结果!BT212=0),"",基本信息!BR212)</f>
        <v/>
      </c>
      <c r="B212" s="40" t="str">
        <f>IF($A212="","",基本信息!BQ212)</f>
        <v/>
      </c>
      <c r="C212" s="50" t="str">
        <f>IF($A212="","",计算结果!BT212-G212-H212)</f>
        <v/>
      </c>
      <c r="D212" s="40" t="str">
        <f>IF($A212="","",基本信息!BS212)</f>
        <v/>
      </c>
      <c r="F212" s="40" t="str">
        <f>IF($A212="","",基本信息!A212)</f>
        <v/>
      </c>
      <c r="G212" s="50" t="str">
        <f>IF($A212="","",计算结果!BI212+计算结果!BJ212)</f>
        <v/>
      </c>
      <c r="H212" s="50" t="str">
        <f>IF($A212="","",计算结果!BK212)</f>
        <v/>
      </c>
    </row>
    <row r="213" spans="1:8">
      <c r="A213" s="40" t="str">
        <f>IF(OR(OR(IFERROR(FIND("交行",基本信息!BS213),0)&gt;0,IFERROR(FIND("交通银行",基本信息!BS213),0)&gt;0),计算结果!BT213=0),"",基本信息!BR213)</f>
        <v/>
      </c>
      <c r="B213" s="40" t="str">
        <f>IF($A213="","",基本信息!BQ213)</f>
        <v/>
      </c>
      <c r="C213" s="50" t="str">
        <f>IF($A213="","",计算结果!BT213-G213-H213)</f>
        <v/>
      </c>
      <c r="D213" s="40" t="str">
        <f>IF($A213="","",基本信息!BS213)</f>
        <v/>
      </c>
      <c r="F213" s="40" t="str">
        <f>IF($A213="","",基本信息!A213)</f>
        <v/>
      </c>
      <c r="G213" s="50" t="str">
        <f>IF($A213="","",计算结果!BI213+计算结果!BJ213)</f>
        <v/>
      </c>
      <c r="H213" s="50" t="str">
        <f>IF($A213="","",计算结果!BK213)</f>
        <v/>
      </c>
    </row>
    <row r="214" spans="1:8">
      <c r="A214" s="40" t="str">
        <f>IF(OR(OR(IFERROR(FIND("交行",基本信息!BS214),0)&gt;0,IFERROR(FIND("交通银行",基本信息!BS214),0)&gt;0),计算结果!BT214=0),"",基本信息!BR214)</f>
        <v/>
      </c>
      <c r="B214" s="40" t="str">
        <f>IF($A214="","",基本信息!BQ214)</f>
        <v/>
      </c>
      <c r="C214" s="50" t="str">
        <f>IF($A214="","",计算结果!BT214-G214-H214)</f>
        <v/>
      </c>
      <c r="D214" s="40" t="str">
        <f>IF($A214="","",基本信息!BS214)</f>
        <v/>
      </c>
      <c r="F214" s="40" t="str">
        <f>IF($A214="","",基本信息!A214)</f>
        <v/>
      </c>
      <c r="G214" s="50" t="str">
        <f>IF($A214="","",计算结果!BI214+计算结果!BJ214)</f>
        <v/>
      </c>
      <c r="H214" s="50" t="str">
        <f>IF($A214="","",计算结果!BK214)</f>
        <v/>
      </c>
    </row>
    <row r="215" spans="1:8">
      <c r="A215" s="40" t="str">
        <f>IF(OR(OR(IFERROR(FIND("交行",基本信息!BS215),0)&gt;0,IFERROR(FIND("交通银行",基本信息!BS215),0)&gt;0),计算结果!BT215=0),"",基本信息!BR215)</f>
        <v/>
      </c>
      <c r="B215" s="40" t="str">
        <f>IF($A215="","",基本信息!BQ215)</f>
        <v/>
      </c>
      <c r="C215" s="50" t="str">
        <f>IF($A215="","",计算结果!BT215-G215-H215)</f>
        <v/>
      </c>
      <c r="D215" s="40" t="str">
        <f>IF($A215="","",基本信息!BS215)</f>
        <v/>
      </c>
      <c r="F215" s="40" t="str">
        <f>IF($A215="","",基本信息!A215)</f>
        <v/>
      </c>
      <c r="G215" s="50" t="str">
        <f>IF($A215="","",计算结果!BI215+计算结果!BJ215)</f>
        <v/>
      </c>
      <c r="H215" s="50" t="str">
        <f>IF($A215="","",计算结果!BK215)</f>
        <v/>
      </c>
    </row>
    <row r="216" spans="1:8">
      <c r="A216" s="40" t="str">
        <f>IF(OR(OR(IFERROR(FIND("交行",基本信息!BS216),0)&gt;0,IFERROR(FIND("交通银行",基本信息!BS216),0)&gt;0),计算结果!BT216=0),"",基本信息!BR216)</f>
        <v/>
      </c>
      <c r="B216" s="40" t="str">
        <f>IF($A216="","",基本信息!BQ216)</f>
        <v/>
      </c>
      <c r="C216" s="50" t="str">
        <f>IF($A216="","",计算结果!BT216-G216-H216)</f>
        <v/>
      </c>
      <c r="D216" s="40" t="str">
        <f>IF($A216="","",基本信息!BS216)</f>
        <v/>
      </c>
      <c r="F216" s="40" t="str">
        <f>IF($A216="","",基本信息!A216)</f>
        <v/>
      </c>
      <c r="G216" s="50" t="str">
        <f>IF($A216="","",计算结果!BI216+计算结果!BJ216)</f>
        <v/>
      </c>
      <c r="H216" s="50" t="str">
        <f>IF($A216="","",计算结果!BK216)</f>
        <v/>
      </c>
    </row>
    <row r="217" spans="1:8">
      <c r="A217" s="40" t="str">
        <f>IF(OR(OR(IFERROR(FIND("交行",基本信息!BS217),0)&gt;0,IFERROR(FIND("交通银行",基本信息!BS217),0)&gt;0),计算结果!BT217=0),"",基本信息!BR217)</f>
        <v/>
      </c>
      <c r="B217" s="40" t="str">
        <f>IF($A217="","",基本信息!BQ217)</f>
        <v/>
      </c>
      <c r="C217" s="50" t="str">
        <f>IF($A217="","",计算结果!BT217-G217-H217)</f>
        <v/>
      </c>
      <c r="D217" s="40" t="str">
        <f>IF($A217="","",基本信息!BS217)</f>
        <v/>
      </c>
      <c r="F217" s="40" t="str">
        <f>IF($A217="","",基本信息!A217)</f>
        <v/>
      </c>
      <c r="G217" s="50" t="str">
        <f>IF($A217="","",计算结果!BI217+计算结果!BJ217)</f>
        <v/>
      </c>
      <c r="H217" s="50" t="str">
        <f>IF($A217="","",计算结果!BK217)</f>
        <v/>
      </c>
    </row>
    <row r="218" spans="1:8">
      <c r="A218" s="40" t="str">
        <f>IF(OR(OR(IFERROR(FIND("交行",基本信息!BS218),0)&gt;0,IFERROR(FIND("交通银行",基本信息!BS218),0)&gt;0),计算结果!BT218=0),"",基本信息!BR218)</f>
        <v/>
      </c>
      <c r="B218" s="40" t="str">
        <f>IF($A218="","",基本信息!BQ218)</f>
        <v/>
      </c>
      <c r="C218" s="50" t="str">
        <f>IF($A218="","",计算结果!BT218-G218-H218)</f>
        <v/>
      </c>
      <c r="D218" s="40" t="str">
        <f>IF($A218="","",基本信息!BS218)</f>
        <v/>
      </c>
      <c r="F218" s="40" t="str">
        <f>IF($A218="","",基本信息!A218)</f>
        <v/>
      </c>
      <c r="G218" s="50" t="str">
        <f>IF($A218="","",计算结果!BI218+计算结果!BJ218)</f>
        <v/>
      </c>
      <c r="H218" s="50" t="str">
        <f>IF($A218="","",计算结果!BK218)</f>
        <v/>
      </c>
    </row>
    <row r="219" spans="1:8">
      <c r="A219" s="40" t="str">
        <f>IF(OR(OR(IFERROR(FIND("交行",基本信息!BS219),0)&gt;0,IFERROR(FIND("交通银行",基本信息!BS219),0)&gt;0),计算结果!BT219=0),"",基本信息!BR219)</f>
        <v/>
      </c>
      <c r="B219" s="40" t="str">
        <f>IF($A219="","",基本信息!BQ219)</f>
        <v/>
      </c>
      <c r="C219" s="50" t="str">
        <f>IF($A219="","",计算结果!BT219-G219-H219)</f>
        <v/>
      </c>
      <c r="D219" s="40" t="str">
        <f>IF($A219="","",基本信息!BS219)</f>
        <v/>
      </c>
      <c r="F219" s="40" t="str">
        <f>IF($A219="","",基本信息!A219)</f>
        <v/>
      </c>
      <c r="G219" s="50" t="str">
        <f>IF($A219="","",计算结果!BI219+计算结果!BJ219)</f>
        <v/>
      </c>
      <c r="H219" s="50" t="str">
        <f>IF($A219="","",计算结果!BK219)</f>
        <v/>
      </c>
    </row>
    <row r="220" spans="1:8">
      <c r="A220" s="40" t="str">
        <f>IF(OR(OR(IFERROR(FIND("交行",基本信息!BS220),0)&gt;0,IFERROR(FIND("交通银行",基本信息!BS220),0)&gt;0),计算结果!BT220=0),"",基本信息!BR220)</f>
        <v/>
      </c>
      <c r="B220" s="40" t="str">
        <f>IF($A220="","",基本信息!BQ220)</f>
        <v/>
      </c>
      <c r="C220" s="50" t="str">
        <f>IF($A220="","",计算结果!BT220-G220-H220)</f>
        <v/>
      </c>
      <c r="D220" s="40" t="str">
        <f>IF($A220="","",基本信息!BS220)</f>
        <v/>
      </c>
      <c r="F220" s="40" t="str">
        <f>IF($A220="","",基本信息!A220)</f>
        <v/>
      </c>
      <c r="G220" s="50" t="str">
        <f>IF($A220="","",计算结果!BI220+计算结果!BJ220)</f>
        <v/>
      </c>
      <c r="H220" s="50" t="str">
        <f>IF($A220="","",计算结果!BK220)</f>
        <v/>
      </c>
    </row>
    <row r="221" spans="1:8">
      <c r="A221" s="40" t="str">
        <f>IF(OR(OR(IFERROR(FIND("交行",基本信息!BS221),0)&gt;0,IFERROR(FIND("交通银行",基本信息!BS221),0)&gt;0),计算结果!BT221=0),"",基本信息!BR221)</f>
        <v/>
      </c>
      <c r="B221" s="40" t="str">
        <f>IF($A221="","",基本信息!BQ221)</f>
        <v/>
      </c>
      <c r="C221" s="50" t="str">
        <f>IF($A221="","",计算结果!BT221-G221-H221)</f>
        <v/>
      </c>
      <c r="D221" s="40" t="str">
        <f>IF($A221="","",基本信息!BS221)</f>
        <v/>
      </c>
      <c r="F221" s="40" t="str">
        <f>IF($A221="","",基本信息!A221)</f>
        <v/>
      </c>
      <c r="G221" s="50" t="str">
        <f>IF($A221="","",计算结果!BI221+计算结果!BJ221)</f>
        <v/>
      </c>
      <c r="H221" s="50" t="str">
        <f>IF($A221="","",计算结果!BK221)</f>
        <v/>
      </c>
    </row>
    <row r="222" spans="1:8">
      <c r="A222" s="40" t="str">
        <f>IF(OR(OR(IFERROR(FIND("交行",基本信息!BS222),0)&gt;0,IFERROR(FIND("交通银行",基本信息!BS222),0)&gt;0),计算结果!BT222=0),"",基本信息!BR222)</f>
        <v/>
      </c>
      <c r="B222" s="40" t="str">
        <f>IF($A222="","",基本信息!BQ222)</f>
        <v/>
      </c>
      <c r="C222" s="50" t="str">
        <f>IF($A222="","",计算结果!BT222-G222-H222)</f>
        <v/>
      </c>
      <c r="D222" s="40" t="str">
        <f>IF($A222="","",基本信息!BS222)</f>
        <v/>
      </c>
      <c r="F222" s="40" t="str">
        <f>IF($A222="","",基本信息!A222)</f>
        <v/>
      </c>
      <c r="G222" s="50" t="str">
        <f>IF($A222="","",计算结果!BI222+计算结果!BJ222)</f>
        <v/>
      </c>
      <c r="H222" s="50" t="str">
        <f>IF($A222="","",计算结果!BK222)</f>
        <v/>
      </c>
    </row>
    <row r="223" spans="1:8">
      <c r="A223" s="40" t="str">
        <f>IF(OR(OR(IFERROR(FIND("交行",基本信息!BS223),0)&gt;0,IFERROR(FIND("交通银行",基本信息!BS223),0)&gt;0),计算结果!BT223=0),"",基本信息!BR223)</f>
        <v/>
      </c>
      <c r="B223" s="40" t="str">
        <f>IF($A223="","",基本信息!BQ223)</f>
        <v/>
      </c>
      <c r="C223" s="50" t="str">
        <f>IF($A223="","",计算结果!BT223-G223-H223)</f>
        <v/>
      </c>
      <c r="D223" s="40" t="str">
        <f>IF($A223="","",基本信息!BS223)</f>
        <v/>
      </c>
      <c r="F223" s="40" t="str">
        <f>IF($A223="","",基本信息!A223)</f>
        <v/>
      </c>
      <c r="G223" s="50" t="str">
        <f>IF($A223="","",计算结果!BI223+计算结果!BJ223)</f>
        <v/>
      </c>
      <c r="H223" s="50" t="str">
        <f>IF($A223="","",计算结果!BK223)</f>
        <v/>
      </c>
    </row>
    <row r="224" spans="1:8">
      <c r="A224" s="40" t="str">
        <f>IF(OR(OR(IFERROR(FIND("交行",基本信息!BS224),0)&gt;0,IFERROR(FIND("交通银行",基本信息!BS224),0)&gt;0),计算结果!BT224=0),"",基本信息!BR224)</f>
        <v/>
      </c>
      <c r="B224" s="40" t="str">
        <f>IF($A224="","",基本信息!BQ224)</f>
        <v/>
      </c>
      <c r="C224" s="50" t="str">
        <f>IF($A224="","",计算结果!BT224-G224-H224)</f>
        <v/>
      </c>
      <c r="D224" s="40" t="str">
        <f>IF($A224="","",基本信息!BS224)</f>
        <v/>
      </c>
      <c r="F224" s="40" t="str">
        <f>IF($A224="","",基本信息!A224)</f>
        <v/>
      </c>
      <c r="G224" s="50" t="str">
        <f>IF($A224="","",计算结果!BI224+计算结果!BJ224)</f>
        <v/>
      </c>
      <c r="H224" s="50" t="str">
        <f>IF($A224="","",计算结果!BK224)</f>
        <v/>
      </c>
    </row>
    <row r="225" spans="1:8">
      <c r="A225" s="40" t="str">
        <f>IF(OR(OR(IFERROR(FIND("交行",基本信息!BS225),0)&gt;0,IFERROR(FIND("交通银行",基本信息!BS225),0)&gt;0),计算结果!BT225=0),"",基本信息!BR225)</f>
        <v/>
      </c>
      <c r="B225" s="40" t="str">
        <f>IF($A225="","",基本信息!BQ225)</f>
        <v/>
      </c>
      <c r="C225" s="50" t="str">
        <f>IF($A225="","",计算结果!BT225-G225-H225)</f>
        <v/>
      </c>
      <c r="D225" s="40" t="str">
        <f>IF($A225="","",基本信息!BS225)</f>
        <v/>
      </c>
      <c r="F225" s="40" t="str">
        <f>IF($A225="","",基本信息!A225)</f>
        <v/>
      </c>
      <c r="G225" s="50" t="str">
        <f>IF($A225="","",计算结果!BI225+计算结果!BJ225)</f>
        <v/>
      </c>
      <c r="H225" s="50" t="str">
        <f>IF($A225="","",计算结果!BK225)</f>
        <v/>
      </c>
    </row>
    <row r="226" spans="1:8">
      <c r="A226" s="40" t="str">
        <f>IF(OR(OR(IFERROR(FIND("交行",基本信息!BS226),0)&gt;0,IFERROR(FIND("交通银行",基本信息!BS226),0)&gt;0),计算结果!BT226=0),"",基本信息!BR226)</f>
        <v/>
      </c>
      <c r="B226" s="40" t="str">
        <f>IF($A226="","",基本信息!BQ226)</f>
        <v/>
      </c>
      <c r="C226" s="50" t="str">
        <f>IF($A226="","",计算结果!BT226-G226-H226)</f>
        <v/>
      </c>
      <c r="D226" s="40" t="str">
        <f>IF($A226="","",基本信息!BS226)</f>
        <v/>
      </c>
      <c r="F226" s="40" t="str">
        <f>IF($A226="","",基本信息!A226)</f>
        <v/>
      </c>
      <c r="G226" s="50" t="str">
        <f>IF($A226="","",计算结果!BI226+计算结果!BJ226)</f>
        <v/>
      </c>
      <c r="H226" s="50" t="str">
        <f>IF($A226="","",计算结果!BK226)</f>
        <v/>
      </c>
    </row>
    <row r="227" spans="1:8">
      <c r="A227" s="40" t="str">
        <f>IF(OR(OR(IFERROR(FIND("交行",基本信息!BS227),0)&gt;0,IFERROR(FIND("交通银行",基本信息!BS227),0)&gt;0),计算结果!BT227=0),"",基本信息!BR227)</f>
        <v/>
      </c>
      <c r="B227" s="40" t="str">
        <f>IF($A227="","",基本信息!BQ227)</f>
        <v/>
      </c>
      <c r="C227" s="50" t="str">
        <f>IF($A227="","",计算结果!BT227-G227-H227)</f>
        <v/>
      </c>
      <c r="D227" s="40" t="str">
        <f>IF($A227="","",基本信息!BS227)</f>
        <v/>
      </c>
      <c r="F227" s="40" t="str">
        <f>IF($A227="","",基本信息!A227)</f>
        <v/>
      </c>
      <c r="G227" s="50" t="str">
        <f>IF($A227="","",计算结果!BI227+计算结果!BJ227)</f>
        <v/>
      </c>
      <c r="H227" s="50" t="str">
        <f>IF($A227="","",计算结果!BK227)</f>
        <v/>
      </c>
    </row>
    <row r="228" spans="1:8">
      <c r="A228" s="40" t="str">
        <f>IF(OR(OR(IFERROR(FIND("交行",基本信息!BS228),0)&gt;0,IFERROR(FIND("交通银行",基本信息!BS228),0)&gt;0),计算结果!BT228=0),"",基本信息!BR228)</f>
        <v/>
      </c>
      <c r="B228" s="40" t="str">
        <f>IF($A228="","",基本信息!BQ228)</f>
        <v/>
      </c>
      <c r="C228" s="50" t="str">
        <f>IF($A228="","",计算结果!BT228-G228-H228)</f>
        <v/>
      </c>
      <c r="D228" s="40" t="str">
        <f>IF($A228="","",基本信息!BS228)</f>
        <v/>
      </c>
      <c r="F228" s="40" t="str">
        <f>IF($A228="","",基本信息!A228)</f>
        <v/>
      </c>
      <c r="G228" s="50" t="str">
        <f>IF($A228="","",计算结果!BI228+计算结果!BJ228)</f>
        <v/>
      </c>
      <c r="H228" s="50" t="str">
        <f>IF($A228="","",计算结果!BK228)</f>
        <v/>
      </c>
    </row>
    <row r="229" spans="1:8">
      <c r="A229" s="40" t="str">
        <f>IF(OR(OR(IFERROR(FIND("交行",基本信息!BS229),0)&gt;0,IFERROR(FIND("交通银行",基本信息!BS229),0)&gt;0),计算结果!BT229=0),"",基本信息!BR229)</f>
        <v/>
      </c>
      <c r="B229" s="40" t="str">
        <f>IF($A229="","",基本信息!BQ229)</f>
        <v/>
      </c>
      <c r="C229" s="50" t="str">
        <f>IF($A229="","",计算结果!BT229-G229-H229)</f>
        <v/>
      </c>
      <c r="D229" s="40" t="str">
        <f>IF($A229="","",基本信息!BS229)</f>
        <v/>
      </c>
      <c r="F229" s="40" t="str">
        <f>IF($A229="","",基本信息!A229)</f>
        <v/>
      </c>
      <c r="G229" s="50" t="str">
        <f>IF($A229="","",计算结果!BI229+计算结果!BJ229)</f>
        <v/>
      </c>
      <c r="H229" s="50" t="str">
        <f>IF($A229="","",计算结果!BK229)</f>
        <v/>
      </c>
    </row>
    <row r="230" spans="1:8">
      <c r="A230" s="40" t="str">
        <f>IF(OR(OR(IFERROR(FIND("交行",基本信息!BS230),0)&gt;0,IFERROR(FIND("交通银行",基本信息!BS230),0)&gt;0),计算结果!BT230=0),"",基本信息!BR230)</f>
        <v/>
      </c>
      <c r="B230" s="40" t="str">
        <f>IF($A230="","",基本信息!BQ230)</f>
        <v/>
      </c>
      <c r="C230" s="50" t="str">
        <f>IF($A230="","",计算结果!BT230-G230-H230)</f>
        <v/>
      </c>
      <c r="D230" s="40" t="str">
        <f>IF($A230="","",基本信息!BS230)</f>
        <v/>
      </c>
      <c r="F230" s="40" t="str">
        <f>IF($A230="","",基本信息!A230)</f>
        <v/>
      </c>
      <c r="G230" s="50" t="str">
        <f>IF($A230="","",计算结果!BI230+计算结果!BJ230)</f>
        <v/>
      </c>
      <c r="H230" s="50" t="str">
        <f>IF($A230="","",计算结果!BK230)</f>
        <v/>
      </c>
    </row>
    <row r="231" spans="1:8">
      <c r="A231" s="40" t="str">
        <f>IF(OR(OR(IFERROR(FIND("交行",基本信息!BS231),0)&gt;0,IFERROR(FIND("交通银行",基本信息!BS231),0)&gt;0),计算结果!BT231=0),"",基本信息!BR231)</f>
        <v/>
      </c>
      <c r="B231" s="40" t="str">
        <f>IF($A231="","",基本信息!BQ231)</f>
        <v/>
      </c>
      <c r="C231" s="50" t="str">
        <f>IF($A231="","",计算结果!BT231-G231-H231)</f>
        <v/>
      </c>
      <c r="D231" s="40" t="str">
        <f>IF($A231="","",基本信息!BS231)</f>
        <v/>
      </c>
      <c r="F231" s="40" t="str">
        <f>IF($A231="","",基本信息!A231)</f>
        <v/>
      </c>
      <c r="G231" s="50" t="str">
        <f>IF($A231="","",计算结果!BI231+计算结果!BJ231)</f>
        <v/>
      </c>
      <c r="H231" s="50" t="str">
        <f>IF($A231="","",计算结果!BK231)</f>
        <v/>
      </c>
    </row>
    <row r="232" spans="1:8">
      <c r="A232" s="40" t="str">
        <f>IF(OR(OR(IFERROR(FIND("交行",基本信息!BS232),0)&gt;0,IFERROR(FIND("交通银行",基本信息!BS232),0)&gt;0),计算结果!BT232=0),"",基本信息!BR232)</f>
        <v/>
      </c>
      <c r="B232" s="40" t="str">
        <f>IF($A232="","",基本信息!BQ232)</f>
        <v/>
      </c>
      <c r="C232" s="50" t="str">
        <f>IF($A232="","",计算结果!BT232-G232-H232)</f>
        <v/>
      </c>
      <c r="D232" s="40" t="str">
        <f>IF($A232="","",基本信息!BS232)</f>
        <v/>
      </c>
      <c r="F232" s="40" t="str">
        <f>IF($A232="","",基本信息!A232)</f>
        <v/>
      </c>
      <c r="G232" s="50" t="str">
        <f>IF($A232="","",计算结果!BI232+计算结果!BJ232)</f>
        <v/>
      </c>
      <c r="H232" s="50" t="str">
        <f>IF($A232="","",计算结果!BK232)</f>
        <v/>
      </c>
    </row>
    <row r="233" spans="1:8">
      <c r="A233" s="40" t="str">
        <f>IF(OR(OR(IFERROR(FIND("交行",基本信息!BS233),0)&gt;0,IFERROR(FIND("交通银行",基本信息!BS233),0)&gt;0),计算结果!BT233=0),"",基本信息!BR233)</f>
        <v/>
      </c>
      <c r="B233" s="40" t="str">
        <f>IF($A233="","",基本信息!BQ233)</f>
        <v/>
      </c>
      <c r="C233" s="50" t="str">
        <f>IF($A233="","",计算结果!BT233-G233-H233)</f>
        <v/>
      </c>
      <c r="D233" s="40" t="str">
        <f>IF($A233="","",基本信息!BS233)</f>
        <v/>
      </c>
      <c r="F233" s="40" t="str">
        <f>IF($A233="","",基本信息!A233)</f>
        <v/>
      </c>
      <c r="G233" s="50" t="str">
        <f>IF($A233="","",计算结果!BI233+计算结果!BJ233)</f>
        <v/>
      </c>
      <c r="H233" s="50" t="str">
        <f>IF($A233="","",计算结果!BK233)</f>
        <v/>
      </c>
    </row>
    <row r="234" spans="1:8">
      <c r="A234" s="40" t="str">
        <f>IF(OR(OR(IFERROR(FIND("交行",基本信息!BS234),0)&gt;0,IFERROR(FIND("交通银行",基本信息!BS234),0)&gt;0),计算结果!BT234=0),"",基本信息!BR234)</f>
        <v/>
      </c>
      <c r="B234" s="40" t="str">
        <f>IF($A234="","",基本信息!BQ234)</f>
        <v/>
      </c>
      <c r="C234" s="50" t="str">
        <f>IF($A234="","",计算结果!BT234-G234-H234)</f>
        <v/>
      </c>
      <c r="D234" s="40" t="str">
        <f>IF($A234="","",基本信息!BS234)</f>
        <v/>
      </c>
      <c r="F234" s="40" t="str">
        <f>IF($A234="","",基本信息!A234)</f>
        <v/>
      </c>
      <c r="G234" s="50" t="str">
        <f>IF($A234="","",计算结果!BI234+计算结果!BJ234)</f>
        <v/>
      </c>
      <c r="H234" s="50" t="str">
        <f>IF($A234="","",计算结果!BK234)</f>
        <v/>
      </c>
    </row>
    <row r="235" spans="1:8">
      <c r="A235" s="40" t="str">
        <f>IF(OR(OR(IFERROR(FIND("交行",基本信息!BS235),0)&gt;0,IFERROR(FIND("交通银行",基本信息!BS235),0)&gt;0),计算结果!BT235=0),"",基本信息!BR235)</f>
        <v/>
      </c>
      <c r="B235" s="40" t="str">
        <f>IF($A235="","",基本信息!BQ235)</f>
        <v/>
      </c>
      <c r="C235" s="50" t="str">
        <f>IF($A235="","",计算结果!BT235-G235-H235)</f>
        <v/>
      </c>
      <c r="D235" s="40" t="str">
        <f>IF($A235="","",基本信息!BS235)</f>
        <v/>
      </c>
      <c r="F235" s="40" t="str">
        <f>IF($A235="","",基本信息!A235)</f>
        <v/>
      </c>
      <c r="G235" s="50" t="str">
        <f>IF($A235="","",计算结果!BI235+计算结果!BJ235)</f>
        <v/>
      </c>
      <c r="H235" s="50" t="str">
        <f>IF($A235="","",计算结果!BK235)</f>
        <v/>
      </c>
    </row>
    <row r="236" spans="1:8">
      <c r="A236" s="40" t="str">
        <f>IF(OR(OR(IFERROR(FIND("交行",基本信息!BS236),0)&gt;0,IFERROR(FIND("交通银行",基本信息!BS236),0)&gt;0),计算结果!BT236=0),"",基本信息!BR236)</f>
        <v/>
      </c>
      <c r="B236" s="40" t="str">
        <f>IF($A236="","",基本信息!BQ236)</f>
        <v/>
      </c>
      <c r="C236" s="50" t="str">
        <f>IF($A236="","",计算结果!BT236-G236-H236)</f>
        <v/>
      </c>
      <c r="D236" s="40" t="str">
        <f>IF($A236="","",基本信息!BS236)</f>
        <v/>
      </c>
      <c r="F236" s="40" t="str">
        <f>IF($A236="","",基本信息!A236)</f>
        <v/>
      </c>
      <c r="G236" s="50" t="str">
        <f>IF($A236="","",计算结果!BI236+计算结果!BJ236)</f>
        <v/>
      </c>
      <c r="H236" s="50" t="str">
        <f>IF($A236="","",计算结果!BK236)</f>
        <v/>
      </c>
    </row>
    <row r="237" spans="1:8">
      <c r="A237" s="40" t="str">
        <f>IF(OR(OR(IFERROR(FIND("交行",基本信息!BS237),0)&gt;0,IFERROR(FIND("交通银行",基本信息!BS237),0)&gt;0),计算结果!BT237=0),"",基本信息!BR237)</f>
        <v/>
      </c>
      <c r="B237" s="40" t="str">
        <f>IF($A237="","",基本信息!BQ237)</f>
        <v/>
      </c>
      <c r="C237" s="50" t="str">
        <f>IF($A237="","",计算结果!BT237-G237-H237)</f>
        <v/>
      </c>
      <c r="D237" s="40" t="str">
        <f>IF($A237="","",基本信息!BS237)</f>
        <v/>
      </c>
      <c r="F237" s="40" t="str">
        <f>IF($A237="","",基本信息!A237)</f>
        <v/>
      </c>
      <c r="G237" s="50" t="str">
        <f>IF($A237="","",计算结果!BI237+计算结果!BJ237)</f>
        <v/>
      </c>
      <c r="H237" s="50" t="str">
        <f>IF($A237="","",计算结果!BK237)</f>
        <v/>
      </c>
    </row>
    <row r="238" spans="1:8">
      <c r="A238" s="40" t="str">
        <f>IF(OR(OR(IFERROR(FIND("交行",基本信息!BS238),0)&gt;0,IFERROR(FIND("交通银行",基本信息!BS238),0)&gt;0),计算结果!BT238=0),"",基本信息!BR238)</f>
        <v/>
      </c>
      <c r="B238" s="40" t="str">
        <f>IF($A238="","",基本信息!BQ238)</f>
        <v/>
      </c>
      <c r="C238" s="50" t="str">
        <f>IF($A238="","",计算结果!BT238-G238-H238)</f>
        <v/>
      </c>
      <c r="D238" s="40" t="str">
        <f>IF($A238="","",基本信息!BS238)</f>
        <v/>
      </c>
      <c r="F238" s="40" t="str">
        <f>IF($A238="","",基本信息!A238)</f>
        <v/>
      </c>
      <c r="G238" s="50" t="str">
        <f>IF($A238="","",计算结果!BI238+计算结果!BJ238)</f>
        <v/>
      </c>
      <c r="H238" s="50" t="str">
        <f>IF($A238="","",计算结果!BK238)</f>
        <v/>
      </c>
    </row>
    <row r="239" spans="1:8">
      <c r="A239" s="40" t="str">
        <f>IF(OR(OR(IFERROR(FIND("交行",基本信息!BS239),0)&gt;0,IFERROR(FIND("交通银行",基本信息!BS239),0)&gt;0),计算结果!BT239=0),"",基本信息!BR239)</f>
        <v/>
      </c>
      <c r="B239" s="40" t="str">
        <f>IF($A239="","",基本信息!BQ239)</f>
        <v/>
      </c>
      <c r="C239" s="50" t="str">
        <f>IF($A239="","",计算结果!BT239-G239-H239)</f>
        <v/>
      </c>
      <c r="D239" s="40" t="str">
        <f>IF($A239="","",基本信息!BS239)</f>
        <v/>
      </c>
      <c r="F239" s="40" t="str">
        <f>IF($A239="","",基本信息!A239)</f>
        <v/>
      </c>
      <c r="G239" s="50" t="str">
        <f>IF($A239="","",计算结果!BI239+计算结果!BJ239)</f>
        <v/>
      </c>
      <c r="H239" s="50" t="str">
        <f>IF($A239="","",计算结果!BK239)</f>
        <v/>
      </c>
    </row>
    <row r="240" spans="1:8">
      <c r="A240" s="40" t="str">
        <f>IF(OR(OR(IFERROR(FIND("交行",基本信息!BS240),0)&gt;0,IFERROR(FIND("交通银行",基本信息!BS240),0)&gt;0),计算结果!BT240=0),"",基本信息!BR240)</f>
        <v/>
      </c>
      <c r="B240" s="40" t="str">
        <f>IF($A240="","",基本信息!BQ240)</f>
        <v/>
      </c>
      <c r="C240" s="50" t="str">
        <f>IF($A240="","",计算结果!BT240-G240-H240)</f>
        <v/>
      </c>
      <c r="D240" s="40" t="str">
        <f>IF($A240="","",基本信息!BS240)</f>
        <v/>
      </c>
      <c r="F240" s="40" t="str">
        <f>IF($A240="","",基本信息!A240)</f>
        <v/>
      </c>
      <c r="G240" s="50" t="str">
        <f>IF($A240="","",计算结果!BI240+计算结果!BJ240)</f>
        <v/>
      </c>
      <c r="H240" s="50" t="str">
        <f>IF($A240="","",计算结果!BK240)</f>
        <v/>
      </c>
    </row>
    <row r="241" spans="1:8">
      <c r="A241" s="40" t="str">
        <f>IF(OR(OR(IFERROR(FIND("交行",基本信息!BS241),0)&gt;0,IFERROR(FIND("交通银行",基本信息!BS241),0)&gt;0),计算结果!BT241=0),"",基本信息!BR241)</f>
        <v/>
      </c>
      <c r="B241" s="40" t="str">
        <f>IF($A241="","",基本信息!BQ241)</f>
        <v/>
      </c>
      <c r="C241" s="50" t="str">
        <f>IF($A241="","",计算结果!BT241-G241-H241)</f>
        <v/>
      </c>
      <c r="D241" s="40" t="str">
        <f>IF($A241="","",基本信息!BS241)</f>
        <v/>
      </c>
      <c r="F241" s="40" t="str">
        <f>IF($A241="","",基本信息!A241)</f>
        <v/>
      </c>
      <c r="G241" s="50" t="str">
        <f>IF($A241="","",计算结果!BI241+计算结果!BJ241)</f>
        <v/>
      </c>
      <c r="H241" s="50" t="str">
        <f>IF($A241="","",计算结果!BK241)</f>
        <v/>
      </c>
    </row>
    <row r="242" spans="1:8">
      <c r="A242" s="40" t="str">
        <f>IF(OR(OR(IFERROR(FIND("交行",基本信息!BS242),0)&gt;0,IFERROR(FIND("交通银行",基本信息!BS242),0)&gt;0),计算结果!BT242=0),"",基本信息!BR242)</f>
        <v/>
      </c>
      <c r="B242" s="40" t="str">
        <f>IF($A242="","",基本信息!BQ242)</f>
        <v/>
      </c>
      <c r="C242" s="50" t="str">
        <f>IF($A242="","",计算结果!BT242-G242-H242)</f>
        <v/>
      </c>
      <c r="D242" s="40" t="str">
        <f>IF($A242="","",基本信息!BS242)</f>
        <v/>
      </c>
      <c r="F242" s="40" t="str">
        <f>IF($A242="","",基本信息!A242)</f>
        <v/>
      </c>
      <c r="G242" s="50" t="str">
        <f>IF($A242="","",计算结果!BI242+计算结果!BJ242)</f>
        <v/>
      </c>
      <c r="H242" s="50" t="str">
        <f>IF($A242="","",计算结果!BK242)</f>
        <v/>
      </c>
    </row>
    <row r="243" spans="1:8">
      <c r="A243" s="40" t="str">
        <f>IF(OR(OR(IFERROR(FIND("交行",基本信息!BS243),0)&gt;0,IFERROR(FIND("交通银行",基本信息!BS243),0)&gt;0),计算结果!BT243=0),"",基本信息!BR243)</f>
        <v/>
      </c>
      <c r="B243" s="40" t="str">
        <f>IF($A243="","",基本信息!BQ243)</f>
        <v/>
      </c>
      <c r="C243" s="50" t="str">
        <f>IF($A243="","",计算结果!BT243-G243-H243)</f>
        <v/>
      </c>
      <c r="D243" s="40" t="str">
        <f>IF($A243="","",基本信息!BS243)</f>
        <v/>
      </c>
      <c r="F243" s="40" t="str">
        <f>IF($A243="","",基本信息!A243)</f>
        <v/>
      </c>
      <c r="G243" s="50" t="str">
        <f>IF($A243="","",计算结果!BI243+计算结果!BJ243)</f>
        <v/>
      </c>
      <c r="H243" s="50" t="str">
        <f>IF($A243="","",计算结果!BK243)</f>
        <v/>
      </c>
    </row>
    <row r="244" spans="1:8">
      <c r="A244" s="40" t="str">
        <f>IF(OR(OR(IFERROR(FIND("交行",基本信息!BS244),0)&gt;0,IFERROR(FIND("交通银行",基本信息!BS244),0)&gt;0),计算结果!BT244=0),"",基本信息!BR244)</f>
        <v/>
      </c>
      <c r="B244" s="40" t="str">
        <f>IF($A244="","",基本信息!BQ244)</f>
        <v/>
      </c>
      <c r="C244" s="50" t="str">
        <f>IF($A244="","",计算结果!BT244-G244-H244)</f>
        <v/>
      </c>
      <c r="D244" s="40" t="str">
        <f>IF($A244="","",基本信息!BS244)</f>
        <v/>
      </c>
      <c r="F244" s="40" t="str">
        <f>IF($A244="","",基本信息!A244)</f>
        <v/>
      </c>
      <c r="G244" s="50" t="str">
        <f>IF($A244="","",计算结果!BI244+计算结果!BJ244)</f>
        <v/>
      </c>
      <c r="H244" s="50" t="str">
        <f>IF($A244="","",计算结果!BK244)</f>
        <v/>
      </c>
    </row>
    <row r="245" spans="1:8">
      <c r="A245" s="40" t="str">
        <f>IF(OR(OR(IFERROR(FIND("交行",基本信息!BS245),0)&gt;0,IFERROR(FIND("交通银行",基本信息!BS245),0)&gt;0),计算结果!BT245=0),"",基本信息!BR245)</f>
        <v/>
      </c>
      <c r="B245" s="40" t="str">
        <f>IF($A245="","",基本信息!BQ245)</f>
        <v/>
      </c>
      <c r="C245" s="50" t="str">
        <f>IF($A245="","",计算结果!BT245-G245-H245)</f>
        <v/>
      </c>
      <c r="D245" s="40" t="str">
        <f>IF($A245="","",基本信息!BS245)</f>
        <v/>
      </c>
      <c r="F245" s="40" t="str">
        <f>IF($A245="","",基本信息!A245)</f>
        <v/>
      </c>
      <c r="G245" s="50" t="str">
        <f>IF($A245="","",计算结果!BI245+计算结果!BJ245)</f>
        <v/>
      </c>
      <c r="H245" s="50" t="str">
        <f>IF($A245="","",计算结果!BK245)</f>
        <v/>
      </c>
    </row>
    <row r="246" spans="1:8">
      <c r="A246" s="40" t="str">
        <f>IF(OR(OR(IFERROR(FIND("交行",基本信息!BS246),0)&gt;0,IFERROR(FIND("交通银行",基本信息!BS246),0)&gt;0),计算结果!BT246=0),"",基本信息!BR246)</f>
        <v/>
      </c>
      <c r="B246" s="40" t="str">
        <f>IF($A246="","",基本信息!BQ246)</f>
        <v/>
      </c>
      <c r="C246" s="50" t="str">
        <f>IF($A246="","",计算结果!BT246-G246-H246)</f>
        <v/>
      </c>
      <c r="D246" s="40" t="str">
        <f>IF($A246="","",基本信息!BS246)</f>
        <v/>
      </c>
      <c r="F246" s="40" t="str">
        <f>IF($A246="","",基本信息!A246)</f>
        <v/>
      </c>
      <c r="G246" s="50" t="str">
        <f>IF($A246="","",计算结果!BI246+计算结果!BJ246)</f>
        <v/>
      </c>
      <c r="H246" s="50" t="str">
        <f>IF($A246="","",计算结果!BK246)</f>
        <v/>
      </c>
    </row>
    <row r="247" spans="1:8">
      <c r="A247" s="40" t="str">
        <f>IF(OR(OR(IFERROR(FIND("交行",基本信息!BS247),0)&gt;0,IFERROR(FIND("交通银行",基本信息!BS247),0)&gt;0),计算结果!BT247=0),"",基本信息!BR247)</f>
        <v/>
      </c>
      <c r="B247" s="40" t="str">
        <f>IF($A247="","",基本信息!BQ247)</f>
        <v/>
      </c>
      <c r="C247" s="50" t="str">
        <f>IF($A247="","",计算结果!BT247-G247-H247)</f>
        <v/>
      </c>
      <c r="D247" s="40" t="str">
        <f>IF($A247="","",基本信息!BS247)</f>
        <v/>
      </c>
      <c r="F247" s="40" t="str">
        <f>IF($A247="","",基本信息!A247)</f>
        <v/>
      </c>
      <c r="G247" s="50" t="str">
        <f>IF($A247="","",计算结果!BI247+计算结果!BJ247)</f>
        <v/>
      </c>
      <c r="H247" s="50" t="str">
        <f>IF($A247="","",计算结果!BK247)</f>
        <v/>
      </c>
    </row>
    <row r="248" spans="1:8">
      <c r="A248" s="40" t="str">
        <f>IF(OR(OR(IFERROR(FIND("交行",基本信息!BS248),0)&gt;0,IFERROR(FIND("交通银行",基本信息!BS248),0)&gt;0),计算结果!BT248=0),"",基本信息!BR248)</f>
        <v/>
      </c>
      <c r="B248" s="40" t="str">
        <f>IF($A248="","",基本信息!BQ248)</f>
        <v/>
      </c>
      <c r="C248" s="50" t="str">
        <f>IF($A248="","",计算结果!BT248-G248-H248)</f>
        <v/>
      </c>
      <c r="D248" s="40" t="str">
        <f>IF($A248="","",基本信息!BS248)</f>
        <v/>
      </c>
      <c r="F248" s="40" t="str">
        <f>IF($A248="","",基本信息!A248)</f>
        <v/>
      </c>
      <c r="G248" s="50" t="str">
        <f>IF($A248="","",计算结果!BI248+计算结果!BJ248)</f>
        <v/>
      </c>
      <c r="H248" s="50" t="str">
        <f>IF($A248="","",计算结果!BK248)</f>
        <v/>
      </c>
    </row>
    <row r="249" spans="1:8">
      <c r="A249" s="40" t="str">
        <f>IF(OR(OR(IFERROR(FIND("交行",基本信息!BS249),0)&gt;0,IFERROR(FIND("交通银行",基本信息!BS249),0)&gt;0),计算结果!BT249=0),"",基本信息!BR249)</f>
        <v/>
      </c>
      <c r="B249" s="40" t="str">
        <f>IF($A249="","",基本信息!BQ249)</f>
        <v/>
      </c>
      <c r="C249" s="50" t="str">
        <f>IF($A249="","",计算结果!BT249-G249-H249)</f>
        <v/>
      </c>
      <c r="D249" s="40" t="str">
        <f>IF($A249="","",基本信息!BS249)</f>
        <v/>
      </c>
      <c r="F249" s="40" t="str">
        <f>IF($A249="","",基本信息!A249)</f>
        <v/>
      </c>
      <c r="G249" s="50" t="str">
        <f>IF($A249="","",计算结果!BI249+计算结果!BJ249)</f>
        <v/>
      </c>
      <c r="H249" s="50" t="str">
        <f>IF($A249="","",计算结果!BK249)</f>
        <v/>
      </c>
    </row>
    <row r="250" spans="1:8">
      <c r="A250" s="40" t="str">
        <f>IF(OR(OR(IFERROR(FIND("交行",基本信息!BS250),0)&gt;0,IFERROR(FIND("交通银行",基本信息!BS250),0)&gt;0),计算结果!BT250=0),"",基本信息!BR250)</f>
        <v/>
      </c>
      <c r="B250" s="40" t="str">
        <f>IF($A250="","",基本信息!BQ250)</f>
        <v/>
      </c>
      <c r="C250" s="50" t="str">
        <f>IF($A250="","",计算结果!BT250-G250-H250)</f>
        <v/>
      </c>
      <c r="D250" s="40" t="str">
        <f>IF($A250="","",基本信息!BS250)</f>
        <v/>
      </c>
      <c r="F250" s="40" t="str">
        <f>IF($A250="","",基本信息!A250)</f>
        <v/>
      </c>
      <c r="G250" s="50" t="str">
        <f>IF($A250="","",计算结果!BI250+计算结果!BJ250)</f>
        <v/>
      </c>
      <c r="H250" s="50" t="str">
        <f>IF($A250="","",计算结果!BK250)</f>
        <v/>
      </c>
    </row>
    <row r="251" spans="1:8">
      <c r="A251" s="40" t="str">
        <f>IF(OR(OR(IFERROR(FIND("交行",基本信息!BS251),0)&gt;0,IFERROR(FIND("交通银行",基本信息!BS251),0)&gt;0),计算结果!BT251=0),"",基本信息!BR251)</f>
        <v/>
      </c>
      <c r="B251" s="40" t="str">
        <f>IF($A251="","",基本信息!BQ251)</f>
        <v/>
      </c>
      <c r="C251" s="50" t="str">
        <f>IF($A251="","",计算结果!BT251-G251-H251)</f>
        <v/>
      </c>
      <c r="D251" s="40" t="str">
        <f>IF($A251="","",基本信息!BS251)</f>
        <v/>
      </c>
      <c r="F251" s="40" t="str">
        <f>IF($A251="","",基本信息!A251)</f>
        <v/>
      </c>
      <c r="G251" s="50" t="str">
        <f>IF($A251="","",计算结果!BI251+计算结果!BJ251)</f>
        <v/>
      </c>
      <c r="H251" s="50" t="str">
        <f>IF($A251="","",计算结果!BK251)</f>
        <v/>
      </c>
    </row>
    <row r="252" spans="1:8">
      <c r="A252" s="40" t="str">
        <f>IF(OR(OR(IFERROR(FIND("交行",基本信息!BS252),0)&gt;0,IFERROR(FIND("交通银行",基本信息!BS252),0)&gt;0),计算结果!BT252=0),"",基本信息!BR252)</f>
        <v/>
      </c>
      <c r="B252" s="40" t="str">
        <f>IF($A252="","",基本信息!BQ252)</f>
        <v/>
      </c>
      <c r="C252" s="50" t="str">
        <f>IF($A252="","",计算结果!BT252-G252-H252)</f>
        <v/>
      </c>
      <c r="D252" s="40" t="str">
        <f>IF($A252="","",基本信息!BS252)</f>
        <v/>
      </c>
      <c r="F252" s="40" t="str">
        <f>IF($A252="","",基本信息!A252)</f>
        <v/>
      </c>
      <c r="G252" s="50" t="str">
        <f>IF($A252="","",计算结果!BI252+计算结果!BJ252)</f>
        <v/>
      </c>
      <c r="H252" s="50" t="str">
        <f>IF($A252="","",计算结果!BK252)</f>
        <v/>
      </c>
    </row>
    <row r="253" spans="1:8">
      <c r="A253" s="40" t="str">
        <f>IF(OR(OR(IFERROR(FIND("交行",基本信息!BS253),0)&gt;0,IFERROR(FIND("交通银行",基本信息!BS253),0)&gt;0),计算结果!BT253=0),"",基本信息!BR253)</f>
        <v/>
      </c>
      <c r="B253" s="40" t="str">
        <f>IF($A253="","",基本信息!BQ253)</f>
        <v/>
      </c>
      <c r="C253" s="50" t="str">
        <f>IF($A253="","",计算结果!BT253-G253-H253)</f>
        <v/>
      </c>
      <c r="D253" s="40" t="str">
        <f>IF($A253="","",基本信息!BS253)</f>
        <v/>
      </c>
      <c r="F253" s="40" t="str">
        <f>IF($A253="","",基本信息!A253)</f>
        <v/>
      </c>
      <c r="G253" s="50" t="str">
        <f>IF($A253="","",计算结果!BI253+计算结果!BJ253)</f>
        <v/>
      </c>
      <c r="H253" s="50" t="str">
        <f>IF($A253="","",计算结果!BK253)</f>
        <v/>
      </c>
    </row>
    <row r="254" spans="1:8">
      <c r="A254" s="40" t="str">
        <f>IF(OR(OR(IFERROR(FIND("交行",基本信息!BS254),0)&gt;0,IFERROR(FIND("交通银行",基本信息!BS254),0)&gt;0),计算结果!BT254=0),"",基本信息!BR254)</f>
        <v/>
      </c>
      <c r="B254" s="40" t="str">
        <f>IF($A254="","",基本信息!BQ254)</f>
        <v/>
      </c>
      <c r="C254" s="50" t="str">
        <f>IF($A254="","",计算结果!BT254-G254-H254)</f>
        <v/>
      </c>
      <c r="D254" s="40" t="str">
        <f>IF($A254="","",基本信息!BS254)</f>
        <v/>
      </c>
      <c r="F254" s="40" t="str">
        <f>IF($A254="","",基本信息!A254)</f>
        <v/>
      </c>
      <c r="G254" s="50" t="str">
        <f>IF($A254="","",计算结果!BI254+计算结果!BJ254)</f>
        <v/>
      </c>
      <c r="H254" s="50" t="str">
        <f>IF($A254="","",计算结果!BK254)</f>
        <v/>
      </c>
    </row>
    <row r="255" spans="1:8">
      <c r="A255" s="40" t="str">
        <f>IF(OR(OR(IFERROR(FIND("交行",基本信息!BS255),0)&gt;0,IFERROR(FIND("交通银行",基本信息!BS255),0)&gt;0),计算结果!BT255=0),"",基本信息!BR255)</f>
        <v/>
      </c>
      <c r="B255" s="40" t="str">
        <f>IF($A255="","",基本信息!BQ255)</f>
        <v/>
      </c>
      <c r="C255" s="50" t="str">
        <f>IF($A255="","",计算结果!BT255-G255-H255)</f>
        <v/>
      </c>
      <c r="D255" s="40" t="str">
        <f>IF($A255="","",基本信息!BS255)</f>
        <v/>
      </c>
      <c r="F255" s="40" t="str">
        <f>IF($A255="","",基本信息!A255)</f>
        <v/>
      </c>
      <c r="G255" s="50" t="str">
        <f>IF($A255="","",计算结果!BI255+计算结果!BJ255)</f>
        <v/>
      </c>
      <c r="H255" s="50" t="str">
        <f>IF($A255="","",计算结果!BK255)</f>
        <v/>
      </c>
    </row>
    <row r="256" spans="1:8">
      <c r="A256" s="40" t="str">
        <f>IF(OR(OR(IFERROR(FIND("交行",基本信息!BS256),0)&gt;0,IFERROR(FIND("交通银行",基本信息!BS256),0)&gt;0),计算结果!BT256=0),"",基本信息!BR256)</f>
        <v/>
      </c>
      <c r="B256" s="40" t="str">
        <f>IF($A256="","",基本信息!BQ256)</f>
        <v/>
      </c>
      <c r="C256" s="50" t="str">
        <f>IF($A256="","",计算结果!BT256-G256-H256)</f>
        <v/>
      </c>
      <c r="D256" s="40" t="str">
        <f>IF($A256="","",基本信息!BS256)</f>
        <v/>
      </c>
      <c r="F256" s="40" t="str">
        <f>IF($A256="","",基本信息!A256)</f>
        <v/>
      </c>
      <c r="G256" s="50" t="str">
        <f>IF($A256="","",计算结果!BI256+计算结果!BJ256)</f>
        <v/>
      </c>
      <c r="H256" s="50" t="str">
        <f>IF($A256="","",计算结果!BK256)</f>
        <v/>
      </c>
    </row>
    <row r="257" spans="1:8">
      <c r="A257" s="40" t="str">
        <f>IF(OR(OR(IFERROR(FIND("交行",基本信息!BS257),0)&gt;0,IFERROR(FIND("交通银行",基本信息!BS257),0)&gt;0),计算结果!BT257=0),"",基本信息!BR257)</f>
        <v/>
      </c>
      <c r="B257" s="40" t="str">
        <f>IF($A257="","",基本信息!BQ257)</f>
        <v/>
      </c>
      <c r="C257" s="50" t="str">
        <f>IF($A257="","",计算结果!BT257-G257-H257)</f>
        <v/>
      </c>
      <c r="D257" s="40" t="str">
        <f>IF($A257="","",基本信息!BS257)</f>
        <v/>
      </c>
      <c r="F257" s="40" t="str">
        <f>IF($A257="","",基本信息!A257)</f>
        <v/>
      </c>
      <c r="G257" s="50" t="str">
        <f>IF($A257="","",计算结果!BI257+计算结果!BJ257)</f>
        <v/>
      </c>
      <c r="H257" s="50" t="str">
        <f>IF($A257="","",计算结果!BK257)</f>
        <v/>
      </c>
    </row>
    <row r="258" spans="1:8">
      <c r="A258" s="40" t="str">
        <f>IF(OR(OR(IFERROR(FIND("交行",基本信息!BS258),0)&gt;0,IFERROR(FIND("交通银行",基本信息!BS258),0)&gt;0),计算结果!BT258=0),"",基本信息!BR258)</f>
        <v/>
      </c>
      <c r="B258" s="40" t="str">
        <f>IF($A258="","",基本信息!BQ258)</f>
        <v/>
      </c>
      <c r="C258" s="50" t="str">
        <f>IF($A258="","",计算结果!BT258-G258-H258)</f>
        <v/>
      </c>
      <c r="D258" s="40" t="str">
        <f>IF($A258="","",基本信息!BS258)</f>
        <v/>
      </c>
      <c r="F258" s="40" t="str">
        <f>IF($A258="","",基本信息!A258)</f>
        <v/>
      </c>
      <c r="G258" s="50" t="str">
        <f>IF($A258="","",计算结果!BI258+计算结果!BJ258)</f>
        <v/>
      </c>
      <c r="H258" s="50" t="str">
        <f>IF($A258="","",计算结果!BK258)</f>
        <v/>
      </c>
    </row>
    <row r="259" spans="1:8">
      <c r="A259" s="40" t="str">
        <f>IF(OR(OR(IFERROR(FIND("交行",基本信息!BS259),0)&gt;0,IFERROR(FIND("交通银行",基本信息!BS259),0)&gt;0),计算结果!BT259=0),"",基本信息!BR259)</f>
        <v/>
      </c>
      <c r="B259" s="40" t="str">
        <f>IF($A259="","",基本信息!BQ259)</f>
        <v/>
      </c>
      <c r="C259" s="50" t="str">
        <f>IF($A259="","",计算结果!BT259-G259-H259)</f>
        <v/>
      </c>
      <c r="D259" s="40" t="str">
        <f>IF($A259="","",基本信息!BS259)</f>
        <v/>
      </c>
      <c r="F259" s="40" t="str">
        <f>IF($A259="","",基本信息!A259)</f>
        <v/>
      </c>
      <c r="G259" s="50" t="str">
        <f>IF($A259="","",计算结果!BI259+计算结果!BJ259)</f>
        <v/>
      </c>
      <c r="H259" s="50" t="str">
        <f>IF($A259="","",计算结果!BK259)</f>
        <v/>
      </c>
    </row>
    <row r="260" spans="1:8">
      <c r="A260" s="40" t="str">
        <f>IF(OR(OR(IFERROR(FIND("交行",基本信息!BS260),0)&gt;0,IFERROR(FIND("交通银行",基本信息!BS260),0)&gt;0),计算结果!BT260=0),"",基本信息!BR260)</f>
        <v/>
      </c>
      <c r="B260" s="40" t="str">
        <f>IF($A260="","",基本信息!BQ260)</f>
        <v/>
      </c>
      <c r="C260" s="50" t="str">
        <f>IF($A260="","",计算结果!BT260-G260-H260)</f>
        <v/>
      </c>
      <c r="D260" s="40" t="str">
        <f>IF($A260="","",基本信息!BS260)</f>
        <v/>
      </c>
      <c r="F260" s="40" t="str">
        <f>IF($A260="","",基本信息!A260)</f>
        <v/>
      </c>
      <c r="G260" s="50" t="str">
        <f>IF($A260="","",计算结果!BI260+计算结果!BJ260)</f>
        <v/>
      </c>
      <c r="H260" s="50" t="str">
        <f>IF($A260="","",计算结果!BK260)</f>
        <v/>
      </c>
    </row>
    <row r="261" spans="1:8">
      <c r="A261" s="40" t="str">
        <f>IF(OR(OR(IFERROR(FIND("交行",基本信息!BS261),0)&gt;0,IFERROR(FIND("交通银行",基本信息!BS261),0)&gt;0),计算结果!BT261=0),"",基本信息!BR261)</f>
        <v/>
      </c>
      <c r="B261" s="40" t="str">
        <f>IF($A261="","",基本信息!BQ261)</f>
        <v/>
      </c>
      <c r="C261" s="50" t="str">
        <f>IF($A261="","",计算结果!BT261-G261-H261)</f>
        <v/>
      </c>
      <c r="D261" s="40" t="str">
        <f>IF($A261="","",基本信息!BS261)</f>
        <v/>
      </c>
      <c r="F261" s="40" t="str">
        <f>IF($A261="","",基本信息!A261)</f>
        <v/>
      </c>
      <c r="G261" s="50" t="str">
        <f>IF($A261="","",计算结果!BI261+计算结果!BJ261)</f>
        <v/>
      </c>
      <c r="H261" s="50" t="str">
        <f>IF($A261="","",计算结果!BK261)</f>
        <v/>
      </c>
    </row>
    <row r="262" spans="1:8">
      <c r="A262" s="40" t="str">
        <f>IF(OR(OR(IFERROR(FIND("交行",基本信息!BS262),0)&gt;0,IFERROR(FIND("交通银行",基本信息!BS262),0)&gt;0),计算结果!BT262=0),"",基本信息!BR262)</f>
        <v/>
      </c>
      <c r="B262" s="40" t="str">
        <f>IF($A262="","",基本信息!BQ262)</f>
        <v/>
      </c>
      <c r="C262" s="50" t="str">
        <f>IF($A262="","",计算结果!BT262-G262-H262)</f>
        <v/>
      </c>
      <c r="D262" s="40" t="str">
        <f>IF($A262="","",基本信息!BS262)</f>
        <v/>
      </c>
      <c r="F262" s="40" t="str">
        <f>IF($A262="","",基本信息!A262)</f>
        <v/>
      </c>
      <c r="G262" s="50" t="str">
        <f>IF($A262="","",计算结果!BI262+计算结果!BJ262)</f>
        <v/>
      </c>
      <c r="H262" s="50" t="str">
        <f>IF($A262="","",计算结果!BK262)</f>
        <v/>
      </c>
    </row>
    <row r="263" spans="1:8">
      <c r="A263" s="40" t="str">
        <f>IF(OR(OR(IFERROR(FIND("交行",基本信息!BS263),0)&gt;0,IFERROR(FIND("交通银行",基本信息!BS263),0)&gt;0),计算结果!BT263=0),"",基本信息!BR263)</f>
        <v/>
      </c>
      <c r="B263" s="40" t="str">
        <f>IF($A263="","",基本信息!BQ263)</f>
        <v/>
      </c>
      <c r="C263" s="50" t="str">
        <f>IF($A263="","",计算结果!BT263-G263-H263)</f>
        <v/>
      </c>
      <c r="D263" s="40" t="str">
        <f>IF($A263="","",基本信息!BS263)</f>
        <v/>
      </c>
      <c r="F263" s="40" t="str">
        <f>IF($A263="","",基本信息!A263)</f>
        <v/>
      </c>
      <c r="G263" s="50" t="str">
        <f>IF($A263="","",计算结果!BI263+计算结果!BJ263)</f>
        <v/>
      </c>
      <c r="H263" s="50" t="str">
        <f>IF($A263="","",计算结果!BK263)</f>
        <v/>
      </c>
    </row>
    <row r="264" spans="1:8">
      <c r="A264" s="40" t="str">
        <f>IF(OR(OR(IFERROR(FIND("交行",基本信息!BS264),0)&gt;0,IFERROR(FIND("交通银行",基本信息!BS264),0)&gt;0),计算结果!BT264=0),"",基本信息!BR264)</f>
        <v/>
      </c>
      <c r="B264" s="40" t="str">
        <f>IF($A264="","",基本信息!BQ264)</f>
        <v/>
      </c>
      <c r="C264" s="50" t="str">
        <f>IF($A264="","",计算结果!BT264-G264-H264)</f>
        <v/>
      </c>
      <c r="D264" s="40" t="str">
        <f>IF($A264="","",基本信息!BS264)</f>
        <v/>
      </c>
      <c r="F264" s="40" t="str">
        <f>IF($A264="","",基本信息!A264)</f>
        <v/>
      </c>
      <c r="G264" s="50" t="str">
        <f>IF($A264="","",计算结果!BI264+计算结果!BJ264)</f>
        <v/>
      </c>
      <c r="H264" s="50" t="str">
        <f>IF($A264="","",计算结果!BK264)</f>
        <v/>
      </c>
    </row>
    <row r="265" spans="1:8">
      <c r="A265" s="40" t="str">
        <f>IF(OR(OR(IFERROR(FIND("交行",基本信息!BS265),0)&gt;0,IFERROR(FIND("交通银行",基本信息!BS265),0)&gt;0),计算结果!BT265=0),"",基本信息!BR265)</f>
        <v/>
      </c>
      <c r="B265" s="40" t="str">
        <f>IF($A265="","",基本信息!BQ265)</f>
        <v/>
      </c>
      <c r="C265" s="50" t="str">
        <f>IF($A265="","",计算结果!BT265-G265-H265)</f>
        <v/>
      </c>
      <c r="D265" s="40" t="str">
        <f>IF($A265="","",基本信息!BS265)</f>
        <v/>
      </c>
      <c r="F265" s="40" t="str">
        <f>IF($A265="","",基本信息!A265)</f>
        <v/>
      </c>
      <c r="G265" s="50" t="str">
        <f>IF($A265="","",计算结果!BI265+计算结果!BJ265)</f>
        <v/>
      </c>
      <c r="H265" s="50" t="str">
        <f>IF($A265="","",计算结果!BK265)</f>
        <v/>
      </c>
    </row>
    <row r="266" spans="1:8">
      <c r="A266" s="40" t="str">
        <f>IF(OR(OR(IFERROR(FIND("交行",基本信息!BS266),0)&gt;0,IFERROR(FIND("交通银行",基本信息!BS266),0)&gt;0),计算结果!BT266=0),"",基本信息!BR266)</f>
        <v/>
      </c>
      <c r="B266" s="40" t="str">
        <f>IF($A266="","",基本信息!BQ266)</f>
        <v/>
      </c>
      <c r="C266" s="50" t="str">
        <f>IF($A266="","",计算结果!BT266-G266-H266)</f>
        <v/>
      </c>
      <c r="D266" s="40" t="str">
        <f>IF($A266="","",基本信息!BS266)</f>
        <v/>
      </c>
      <c r="F266" s="40" t="str">
        <f>IF($A266="","",基本信息!A266)</f>
        <v/>
      </c>
      <c r="G266" s="50" t="str">
        <f>IF($A266="","",计算结果!BI266+计算结果!BJ266)</f>
        <v/>
      </c>
      <c r="H266" s="50" t="str">
        <f>IF($A266="","",计算结果!BK266)</f>
        <v/>
      </c>
    </row>
    <row r="267" spans="1:8">
      <c r="A267" s="40" t="str">
        <f>IF(OR(OR(IFERROR(FIND("交行",基本信息!BS267),0)&gt;0,IFERROR(FIND("交通银行",基本信息!BS267),0)&gt;0),计算结果!BT267=0),"",基本信息!BR267)</f>
        <v/>
      </c>
      <c r="B267" s="40" t="str">
        <f>IF($A267="","",基本信息!BQ267)</f>
        <v/>
      </c>
      <c r="C267" s="50" t="str">
        <f>IF($A267="","",计算结果!BT267-G267-H267)</f>
        <v/>
      </c>
      <c r="D267" s="40" t="str">
        <f>IF($A267="","",基本信息!BS267)</f>
        <v/>
      </c>
      <c r="F267" s="40" t="str">
        <f>IF($A267="","",基本信息!A267)</f>
        <v/>
      </c>
      <c r="G267" s="50" t="str">
        <f>IF($A267="","",计算结果!BI267+计算结果!BJ267)</f>
        <v/>
      </c>
      <c r="H267" s="50" t="str">
        <f>IF($A267="","",计算结果!BK267)</f>
        <v/>
      </c>
    </row>
    <row r="268" spans="1:8">
      <c r="A268" s="40" t="str">
        <f>IF(OR(OR(IFERROR(FIND("交行",基本信息!BS268),0)&gt;0,IFERROR(FIND("交通银行",基本信息!BS268),0)&gt;0),计算结果!BT268=0),"",基本信息!BR268)</f>
        <v/>
      </c>
      <c r="B268" s="40" t="str">
        <f>IF($A268="","",基本信息!BQ268)</f>
        <v/>
      </c>
      <c r="C268" s="50" t="str">
        <f>IF($A268="","",计算结果!BT268-G268-H268)</f>
        <v/>
      </c>
      <c r="D268" s="40" t="str">
        <f>IF($A268="","",基本信息!BS268)</f>
        <v/>
      </c>
      <c r="F268" s="40" t="str">
        <f>IF($A268="","",基本信息!A268)</f>
        <v/>
      </c>
      <c r="G268" s="50" t="str">
        <f>IF($A268="","",计算结果!BI268+计算结果!BJ268)</f>
        <v/>
      </c>
      <c r="H268" s="50" t="str">
        <f>IF($A268="","",计算结果!BK268)</f>
        <v/>
      </c>
    </row>
    <row r="269" spans="1:8">
      <c r="A269" s="40" t="str">
        <f>IF(OR(OR(IFERROR(FIND("交行",基本信息!BS269),0)&gt;0,IFERROR(FIND("交通银行",基本信息!BS269),0)&gt;0),计算结果!BT269=0),"",基本信息!BR269)</f>
        <v/>
      </c>
      <c r="B269" s="40" t="str">
        <f>IF($A269="","",基本信息!BQ269)</f>
        <v/>
      </c>
      <c r="C269" s="50" t="str">
        <f>IF($A269="","",计算结果!BT269-G269-H269)</f>
        <v/>
      </c>
      <c r="D269" s="40" t="str">
        <f>IF($A269="","",基本信息!BS269)</f>
        <v/>
      </c>
      <c r="F269" s="40" t="str">
        <f>IF($A269="","",基本信息!A269)</f>
        <v/>
      </c>
      <c r="G269" s="50" t="str">
        <f>IF($A269="","",计算结果!BI269+计算结果!BJ269)</f>
        <v/>
      </c>
      <c r="H269" s="50" t="str">
        <f>IF($A269="","",计算结果!BK269)</f>
        <v/>
      </c>
    </row>
    <row r="270" spans="1:8">
      <c r="A270" s="40" t="str">
        <f>IF(OR(OR(IFERROR(FIND("交行",基本信息!BS270),0)&gt;0,IFERROR(FIND("交通银行",基本信息!BS270),0)&gt;0),计算结果!BT270=0),"",基本信息!BR270)</f>
        <v/>
      </c>
      <c r="B270" s="40" t="str">
        <f>IF($A270="","",基本信息!BQ270)</f>
        <v/>
      </c>
      <c r="C270" s="50" t="str">
        <f>IF($A270="","",计算结果!BT270-G270-H270)</f>
        <v/>
      </c>
      <c r="D270" s="40" t="str">
        <f>IF($A270="","",基本信息!BS270)</f>
        <v/>
      </c>
      <c r="F270" s="40" t="str">
        <f>IF($A270="","",基本信息!A270)</f>
        <v/>
      </c>
      <c r="G270" s="50" t="str">
        <f>IF($A270="","",计算结果!BI270+计算结果!BJ270)</f>
        <v/>
      </c>
      <c r="H270" s="50" t="str">
        <f>IF($A270="","",计算结果!BK270)</f>
        <v/>
      </c>
    </row>
    <row r="271" spans="1:8">
      <c r="A271" s="40" t="str">
        <f>IF(OR(OR(IFERROR(FIND("交行",基本信息!BS271),0)&gt;0,IFERROR(FIND("交通银行",基本信息!BS271),0)&gt;0),计算结果!BT271=0),"",基本信息!BR271)</f>
        <v/>
      </c>
      <c r="B271" s="40" t="str">
        <f>IF($A271="","",基本信息!BQ271)</f>
        <v/>
      </c>
      <c r="C271" s="50" t="str">
        <f>IF($A271="","",计算结果!BT271-G271-H271)</f>
        <v/>
      </c>
      <c r="D271" s="40" t="str">
        <f>IF($A271="","",基本信息!BS271)</f>
        <v/>
      </c>
      <c r="F271" s="40" t="str">
        <f>IF($A271="","",基本信息!A271)</f>
        <v/>
      </c>
      <c r="G271" s="50" t="str">
        <f>IF($A271="","",计算结果!BI271+计算结果!BJ271)</f>
        <v/>
      </c>
      <c r="H271" s="50" t="str">
        <f>IF($A271="","",计算结果!BK271)</f>
        <v/>
      </c>
    </row>
    <row r="272" spans="1:8">
      <c r="A272" s="40" t="str">
        <f>IF(OR(OR(IFERROR(FIND("交行",基本信息!BS272),0)&gt;0,IFERROR(FIND("交通银行",基本信息!BS272),0)&gt;0),计算结果!BT272=0),"",基本信息!BR272)</f>
        <v/>
      </c>
      <c r="B272" s="40" t="str">
        <f>IF($A272="","",基本信息!BQ272)</f>
        <v/>
      </c>
      <c r="C272" s="50" t="str">
        <f>IF($A272="","",计算结果!BT272-G272-H272)</f>
        <v/>
      </c>
      <c r="D272" s="40" t="str">
        <f>IF($A272="","",基本信息!BS272)</f>
        <v/>
      </c>
      <c r="F272" s="40" t="str">
        <f>IF($A272="","",基本信息!A272)</f>
        <v/>
      </c>
      <c r="G272" s="50" t="str">
        <f>IF($A272="","",计算结果!BI272+计算结果!BJ272)</f>
        <v/>
      </c>
      <c r="H272" s="50" t="str">
        <f>IF($A272="","",计算结果!BK272)</f>
        <v/>
      </c>
    </row>
    <row r="273" spans="1:8">
      <c r="A273" s="40" t="str">
        <f>IF(OR(OR(IFERROR(FIND("交行",基本信息!BS273),0)&gt;0,IFERROR(FIND("交通银行",基本信息!BS273),0)&gt;0),计算结果!BT273=0),"",基本信息!BR273)</f>
        <v/>
      </c>
      <c r="B273" s="40" t="str">
        <f>IF($A273="","",基本信息!BQ273)</f>
        <v/>
      </c>
      <c r="C273" s="50" t="str">
        <f>IF($A273="","",计算结果!BT273-G273-H273)</f>
        <v/>
      </c>
      <c r="D273" s="40" t="str">
        <f>IF($A273="","",基本信息!BS273)</f>
        <v/>
      </c>
      <c r="F273" s="40" t="str">
        <f>IF($A273="","",基本信息!A273)</f>
        <v/>
      </c>
      <c r="G273" s="50" t="str">
        <f>IF($A273="","",计算结果!BI273+计算结果!BJ273)</f>
        <v/>
      </c>
      <c r="H273" s="50" t="str">
        <f>IF($A273="","",计算结果!BK273)</f>
        <v/>
      </c>
    </row>
    <row r="274" spans="1:8">
      <c r="A274" s="40" t="str">
        <f>IF(OR(OR(IFERROR(FIND("交行",基本信息!BS274),0)&gt;0,IFERROR(FIND("交通银行",基本信息!BS274),0)&gt;0),计算结果!BT274=0),"",基本信息!BR274)</f>
        <v/>
      </c>
      <c r="B274" s="40" t="str">
        <f>IF($A274="","",基本信息!BQ274)</f>
        <v/>
      </c>
      <c r="C274" s="50" t="str">
        <f>IF($A274="","",计算结果!BT274-G274-H274)</f>
        <v/>
      </c>
      <c r="D274" s="40" t="str">
        <f>IF($A274="","",基本信息!BS274)</f>
        <v/>
      </c>
      <c r="F274" s="40" t="str">
        <f>IF($A274="","",基本信息!A274)</f>
        <v/>
      </c>
      <c r="G274" s="50" t="str">
        <f>IF($A274="","",计算结果!BI274+计算结果!BJ274)</f>
        <v/>
      </c>
      <c r="H274" s="50" t="str">
        <f>IF($A274="","",计算结果!BK274)</f>
        <v/>
      </c>
    </row>
    <row r="275" spans="1:8">
      <c r="A275" s="40" t="str">
        <f>IF(OR(OR(IFERROR(FIND("交行",基本信息!BS275),0)&gt;0,IFERROR(FIND("交通银行",基本信息!BS275),0)&gt;0),计算结果!BT275=0),"",基本信息!BR275)</f>
        <v/>
      </c>
      <c r="B275" s="40" t="str">
        <f>IF($A275="","",基本信息!BQ275)</f>
        <v/>
      </c>
      <c r="C275" s="50" t="str">
        <f>IF($A275="","",计算结果!BT275-G275-H275)</f>
        <v/>
      </c>
      <c r="D275" s="40" t="str">
        <f>IF($A275="","",基本信息!BS275)</f>
        <v/>
      </c>
      <c r="F275" s="40" t="str">
        <f>IF($A275="","",基本信息!A275)</f>
        <v/>
      </c>
      <c r="G275" s="50" t="str">
        <f>IF($A275="","",计算结果!BI275+计算结果!BJ275)</f>
        <v/>
      </c>
      <c r="H275" s="50" t="str">
        <f>IF($A275="","",计算结果!BK275)</f>
        <v/>
      </c>
    </row>
    <row r="276" spans="1:8">
      <c r="A276" s="40" t="str">
        <f>IF(OR(OR(IFERROR(FIND("交行",基本信息!BS276),0)&gt;0,IFERROR(FIND("交通银行",基本信息!BS276),0)&gt;0),计算结果!BT276=0),"",基本信息!BR276)</f>
        <v/>
      </c>
      <c r="B276" s="40" t="str">
        <f>IF($A276="","",基本信息!BQ276)</f>
        <v/>
      </c>
      <c r="C276" s="50" t="str">
        <f>IF($A276="","",计算结果!BT276-G276-H276)</f>
        <v/>
      </c>
      <c r="D276" s="40" t="str">
        <f>IF($A276="","",基本信息!BS276)</f>
        <v/>
      </c>
      <c r="F276" s="40" t="str">
        <f>IF($A276="","",基本信息!A276)</f>
        <v/>
      </c>
      <c r="G276" s="50" t="str">
        <f>IF($A276="","",计算结果!BI276+计算结果!BJ276)</f>
        <v/>
      </c>
      <c r="H276" s="50" t="str">
        <f>IF($A276="","",计算结果!BK276)</f>
        <v/>
      </c>
    </row>
    <row r="277" spans="1:8">
      <c r="A277" s="40" t="str">
        <f>IF(OR(OR(IFERROR(FIND("交行",基本信息!BS277),0)&gt;0,IFERROR(FIND("交通银行",基本信息!BS277),0)&gt;0),计算结果!BT277=0),"",基本信息!BR277)</f>
        <v/>
      </c>
      <c r="B277" s="40" t="str">
        <f>IF($A277="","",基本信息!BQ277)</f>
        <v/>
      </c>
      <c r="C277" s="50" t="str">
        <f>IF($A277="","",计算结果!BT277-G277-H277)</f>
        <v/>
      </c>
      <c r="D277" s="40" t="str">
        <f>IF($A277="","",基本信息!BS277)</f>
        <v/>
      </c>
      <c r="F277" s="40" t="str">
        <f>IF($A277="","",基本信息!A277)</f>
        <v/>
      </c>
      <c r="G277" s="50" t="str">
        <f>IF($A277="","",计算结果!BI277+计算结果!BJ277)</f>
        <v/>
      </c>
      <c r="H277" s="50" t="str">
        <f>IF($A277="","",计算结果!BK277)</f>
        <v/>
      </c>
    </row>
    <row r="278" spans="1:8">
      <c r="A278" s="40" t="str">
        <f>IF(OR(OR(IFERROR(FIND("交行",基本信息!BS278),0)&gt;0,IFERROR(FIND("交通银行",基本信息!BS278),0)&gt;0),计算结果!BT278=0),"",基本信息!BR278)</f>
        <v/>
      </c>
      <c r="B278" s="40" t="str">
        <f>IF($A278="","",基本信息!BQ278)</f>
        <v/>
      </c>
      <c r="C278" s="50" t="str">
        <f>IF($A278="","",计算结果!BT278-G278-H278)</f>
        <v/>
      </c>
      <c r="D278" s="40" t="str">
        <f>IF($A278="","",基本信息!BS278)</f>
        <v/>
      </c>
      <c r="F278" s="40" t="str">
        <f>IF($A278="","",基本信息!A278)</f>
        <v/>
      </c>
      <c r="G278" s="50" t="str">
        <f>IF($A278="","",计算结果!BI278+计算结果!BJ278)</f>
        <v/>
      </c>
      <c r="H278" s="50" t="str">
        <f>IF($A278="","",计算结果!BK278)</f>
        <v/>
      </c>
    </row>
    <row r="279" spans="1:8">
      <c r="A279" s="40" t="str">
        <f>IF(OR(OR(IFERROR(FIND("交行",基本信息!BS279),0)&gt;0,IFERROR(FIND("交通银行",基本信息!BS279),0)&gt;0),计算结果!BT279=0),"",基本信息!BR279)</f>
        <v/>
      </c>
      <c r="B279" s="40" t="str">
        <f>IF($A279="","",基本信息!BQ279)</f>
        <v/>
      </c>
      <c r="C279" s="50" t="str">
        <f>IF($A279="","",计算结果!BT279-G279-H279)</f>
        <v/>
      </c>
      <c r="D279" s="40" t="str">
        <f>IF($A279="","",基本信息!BS279)</f>
        <v/>
      </c>
      <c r="F279" s="40" t="str">
        <f>IF($A279="","",基本信息!A279)</f>
        <v/>
      </c>
      <c r="G279" s="50" t="str">
        <f>IF($A279="","",计算结果!BI279+计算结果!BJ279)</f>
        <v/>
      </c>
      <c r="H279" s="50" t="str">
        <f>IF($A279="","",计算结果!BK279)</f>
        <v/>
      </c>
    </row>
    <row r="280" spans="1:8">
      <c r="A280" s="40" t="str">
        <f>IF(OR(OR(IFERROR(FIND("交行",基本信息!BS280),0)&gt;0,IFERROR(FIND("交通银行",基本信息!BS280),0)&gt;0),计算结果!BT280=0),"",基本信息!BR280)</f>
        <v/>
      </c>
      <c r="B280" s="40" t="str">
        <f>IF($A280="","",基本信息!BQ280)</f>
        <v/>
      </c>
      <c r="C280" s="50" t="str">
        <f>IF($A280="","",计算结果!BT280-G280-H280)</f>
        <v/>
      </c>
      <c r="D280" s="40" t="str">
        <f>IF($A280="","",基本信息!BS280)</f>
        <v/>
      </c>
      <c r="F280" s="40" t="str">
        <f>IF($A280="","",基本信息!A280)</f>
        <v/>
      </c>
      <c r="G280" s="50" t="str">
        <f>IF($A280="","",计算结果!BI280+计算结果!BJ280)</f>
        <v/>
      </c>
      <c r="H280" s="50" t="str">
        <f>IF($A280="","",计算结果!BK280)</f>
        <v/>
      </c>
    </row>
    <row r="281" spans="1:8">
      <c r="A281" s="40" t="str">
        <f>IF(OR(OR(IFERROR(FIND("交行",基本信息!BS281),0)&gt;0,IFERROR(FIND("交通银行",基本信息!BS281),0)&gt;0),计算结果!BT281=0),"",基本信息!BR281)</f>
        <v/>
      </c>
      <c r="B281" s="40" t="str">
        <f>IF($A281="","",基本信息!BQ281)</f>
        <v/>
      </c>
      <c r="C281" s="50" t="str">
        <f>IF($A281="","",计算结果!BT281-G281-H281)</f>
        <v/>
      </c>
      <c r="D281" s="40" t="str">
        <f>IF($A281="","",基本信息!BS281)</f>
        <v/>
      </c>
      <c r="F281" s="40" t="str">
        <f>IF($A281="","",基本信息!A281)</f>
        <v/>
      </c>
      <c r="G281" s="50" t="str">
        <f>IF($A281="","",计算结果!BI281+计算结果!BJ281)</f>
        <v/>
      </c>
      <c r="H281" s="50" t="str">
        <f>IF($A281="","",计算结果!BK281)</f>
        <v/>
      </c>
    </row>
    <row r="282" spans="1:8">
      <c r="A282" s="40" t="str">
        <f>IF(OR(OR(IFERROR(FIND("交行",基本信息!BS282),0)&gt;0,IFERROR(FIND("交通银行",基本信息!BS282),0)&gt;0),计算结果!BT282=0),"",基本信息!BR282)</f>
        <v/>
      </c>
      <c r="B282" s="40" t="str">
        <f>IF($A282="","",基本信息!BQ282)</f>
        <v/>
      </c>
      <c r="C282" s="50" t="str">
        <f>IF($A282="","",计算结果!BT282-G282-H282)</f>
        <v/>
      </c>
      <c r="D282" s="40" t="str">
        <f>IF($A282="","",基本信息!BS282)</f>
        <v/>
      </c>
      <c r="F282" s="40" t="str">
        <f>IF($A282="","",基本信息!A282)</f>
        <v/>
      </c>
      <c r="G282" s="50" t="str">
        <f>IF($A282="","",计算结果!BI282+计算结果!BJ282)</f>
        <v/>
      </c>
      <c r="H282" s="50" t="str">
        <f>IF($A282="","",计算结果!BK282)</f>
        <v/>
      </c>
    </row>
    <row r="283" spans="1:8">
      <c r="A283" s="40" t="str">
        <f>IF(OR(OR(IFERROR(FIND("交行",基本信息!BS283),0)&gt;0,IFERROR(FIND("交通银行",基本信息!BS283),0)&gt;0),计算结果!BT283=0),"",基本信息!BR283)</f>
        <v/>
      </c>
      <c r="B283" s="40" t="str">
        <f>IF($A283="","",基本信息!BQ283)</f>
        <v/>
      </c>
      <c r="C283" s="50" t="str">
        <f>IF($A283="","",计算结果!BT283-G283-H283)</f>
        <v/>
      </c>
      <c r="D283" s="40" t="str">
        <f>IF($A283="","",基本信息!BS283)</f>
        <v/>
      </c>
      <c r="F283" s="40" t="str">
        <f>IF($A283="","",基本信息!A283)</f>
        <v/>
      </c>
      <c r="G283" s="50" t="str">
        <f>IF($A283="","",计算结果!BI283+计算结果!BJ283)</f>
        <v/>
      </c>
      <c r="H283" s="50" t="str">
        <f>IF($A283="","",计算结果!BK283)</f>
        <v/>
      </c>
    </row>
    <row r="284" spans="1:8">
      <c r="A284" s="40" t="str">
        <f>IF(OR(OR(IFERROR(FIND("交行",基本信息!BS284),0)&gt;0,IFERROR(FIND("交通银行",基本信息!BS284),0)&gt;0),计算结果!BT284=0),"",基本信息!BR284)</f>
        <v/>
      </c>
      <c r="B284" s="40" t="str">
        <f>IF($A284="","",基本信息!BQ284)</f>
        <v/>
      </c>
      <c r="C284" s="50" t="str">
        <f>IF($A284="","",计算结果!BT284-G284-H284)</f>
        <v/>
      </c>
      <c r="D284" s="40" t="str">
        <f>IF($A284="","",基本信息!BS284)</f>
        <v/>
      </c>
      <c r="F284" s="40" t="str">
        <f>IF($A284="","",基本信息!A284)</f>
        <v/>
      </c>
      <c r="G284" s="50" t="str">
        <f>IF($A284="","",计算结果!BI284+计算结果!BJ284)</f>
        <v/>
      </c>
      <c r="H284" s="50" t="str">
        <f>IF($A284="","",计算结果!BK284)</f>
        <v/>
      </c>
    </row>
    <row r="285" spans="1:8">
      <c r="A285" s="40" t="str">
        <f>IF(OR(OR(IFERROR(FIND("交行",基本信息!BS285),0)&gt;0,IFERROR(FIND("交通银行",基本信息!BS285),0)&gt;0),计算结果!BT285=0),"",基本信息!BR285)</f>
        <v/>
      </c>
      <c r="B285" s="40" t="str">
        <f>IF($A285="","",基本信息!BQ285)</f>
        <v/>
      </c>
      <c r="C285" s="50" t="str">
        <f>IF($A285="","",计算结果!BT285-G285-H285)</f>
        <v/>
      </c>
      <c r="D285" s="40" t="str">
        <f>IF($A285="","",基本信息!BS285)</f>
        <v/>
      </c>
      <c r="F285" s="40" t="str">
        <f>IF($A285="","",基本信息!A285)</f>
        <v/>
      </c>
      <c r="G285" s="50" t="str">
        <f>IF($A285="","",计算结果!BI285+计算结果!BJ285)</f>
        <v/>
      </c>
      <c r="H285" s="50" t="str">
        <f>IF($A285="","",计算结果!BK285)</f>
        <v/>
      </c>
    </row>
    <row r="286" spans="1:8">
      <c r="A286" s="40" t="str">
        <f>IF(OR(OR(IFERROR(FIND("交行",基本信息!BS286),0)&gt;0,IFERROR(FIND("交通银行",基本信息!BS286),0)&gt;0),计算结果!BT286=0),"",基本信息!BR286)</f>
        <v/>
      </c>
      <c r="B286" s="40" t="str">
        <f>IF($A286="","",基本信息!BQ286)</f>
        <v/>
      </c>
      <c r="C286" s="50" t="str">
        <f>IF($A286="","",计算结果!BT286-G286-H286)</f>
        <v/>
      </c>
      <c r="D286" s="40" t="str">
        <f>IF($A286="","",基本信息!BS286)</f>
        <v/>
      </c>
      <c r="F286" s="40" t="str">
        <f>IF($A286="","",基本信息!A286)</f>
        <v/>
      </c>
      <c r="G286" s="50" t="str">
        <f>IF($A286="","",计算结果!BI286+计算结果!BJ286)</f>
        <v/>
      </c>
      <c r="H286" s="50" t="str">
        <f>IF($A286="","",计算结果!BK286)</f>
        <v/>
      </c>
    </row>
    <row r="287" spans="1:8">
      <c r="A287" s="40" t="str">
        <f>IF(OR(OR(IFERROR(FIND("交行",基本信息!BS287),0)&gt;0,IFERROR(FIND("交通银行",基本信息!BS287),0)&gt;0),计算结果!BT287=0),"",基本信息!BR287)</f>
        <v/>
      </c>
      <c r="B287" s="40" t="str">
        <f>IF($A287="","",基本信息!BQ287)</f>
        <v/>
      </c>
      <c r="C287" s="50" t="str">
        <f>IF($A287="","",计算结果!BT287-G287-H287)</f>
        <v/>
      </c>
      <c r="D287" s="40" t="str">
        <f>IF($A287="","",基本信息!BS287)</f>
        <v/>
      </c>
      <c r="F287" s="40" t="str">
        <f>IF($A287="","",基本信息!A287)</f>
        <v/>
      </c>
      <c r="G287" s="50" t="str">
        <f>IF($A287="","",计算结果!BI287+计算结果!BJ287)</f>
        <v/>
      </c>
      <c r="H287" s="50" t="str">
        <f>IF($A287="","",计算结果!BK287)</f>
        <v/>
      </c>
    </row>
    <row r="288" spans="1:8">
      <c r="A288" s="40" t="str">
        <f>IF(OR(OR(IFERROR(FIND("交行",基本信息!BS288),0)&gt;0,IFERROR(FIND("交通银行",基本信息!BS288),0)&gt;0),计算结果!BT288=0),"",基本信息!BR288)</f>
        <v/>
      </c>
      <c r="B288" s="40" t="str">
        <f>IF($A288="","",基本信息!BQ288)</f>
        <v/>
      </c>
      <c r="C288" s="50" t="str">
        <f>IF($A288="","",计算结果!BT288-G288-H288)</f>
        <v/>
      </c>
      <c r="D288" s="40" t="str">
        <f>IF($A288="","",基本信息!BS288)</f>
        <v/>
      </c>
      <c r="F288" s="40" t="str">
        <f>IF($A288="","",基本信息!A288)</f>
        <v/>
      </c>
      <c r="G288" s="50" t="str">
        <f>IF($A288="","",计算结果!BI288+计算结果!BJ288)</f>
        <v/>
      </c>
      <c r="H288" s="50" t="str">
        <f>IF($A288="","",计算结果!BK288)</f>
        <v/>
      </c>
    </row>
    <row r="289" spans="1:8">
      <c r="A289" s="40" t="str">
        <f>IF(OR(OR(IFERROR(FIND("交行",基本信息!BS289),0)&gt;0,IFERROR(FIND("交通银行",基本信息!BS289),0)&gt;0),计算结果!BT289=0),"",基本信息!BR289)</f>
        <v/>
      </c>
      <c r="B289" s="40" t="str">
        <f>IF($A289="","",基本信息!BQ289)</f>
        <v/>
      </c>
      <c r="C289" s="50" t="str">
        <f>IF($A289="","",计算结果!BT289-G289-H289)</f>
        <v/>
      </c>
      <c r="D289" s="40" t="str">
        <f>IF($A289="","",基本信息!BS289)</f>
        <v/>
      </c>
      <c r="F289" s="40" t="str">
        <f>IF($A289="","",基本信息!A289)</f>
        <v/>
      </c>
      <c r="G289" s="50" t="str">
        <f>IF($A289="","",计算结果!BI289+计算结果!BJ289)</f>
        <v/>
      </c>
      <c r="H289" s="50" t="str">
        <f>IF($A289="","",计算结果!BK289)</f>
        <v/>
      </c>
    </row>
    <row r="290" spans="1:8">
      <c r="A290" s="40" t="str">
        <f>IF(OR(OR(IFERROR(FIND("交行",基本信息!BS290),0)&gt;0,IFERROR(FIND("交通银行",基本信息!BS290),0)&gt;0),计算结果!BT290=0),"",基本信息!BR290)</f>
        <v/>
      </c>
      <c r="B290" s="40" t="str">
        <f>IF($A290="","",基本信息!BQ290)</f>
        <v/>
      </c>
      <c r="C290" s="50" t="str">
        <f>IF($A290="","",计算结果!BT290-G290-H290)</f>
        <v/>
      </c>
      <c r="D290" s="40" t="str">
        <f>IF($A290="","",基本信息!BS290)</f>
        <v/>
      </c>
      <c r="F290" s="40" t="str">
        <f>IF($A290="","",基本信息!A290)</f>
        <v/>
      </c>
      <c r="G290" s="50" t="str">
        <f>IF($A290="","",计算结果!BI290+计算结果!BJ290)</f>
        <v/>
      </c>
      <c r="H290" s="50" t="str">
        <f>IF($A290="","",计算结果!BK290)</f>
        <v/>
      </c>
    </row>
    <row r="291" spans="1:8">
      <c r="A291" s="40" t="str">
        <f>IF(OR(OR(IFERROR(FIND("交行",基本信息!BS291),0)&gt;0,IFERROR(FIND("交通银行",基本信息!BS291),0)&gt;0),计算结果!BT291=0),"",基本信息!BR291)</f>
        <v/>
      </c>
      <c r="B291" s="40" t="str">
        <f>IF($A291="","",基本信息!BQ291)</f>
        <v/>
      </c>
      <c r="C291" s="50" t="str">
        <f>IF($A291="","",计算结果!BT291-G291-H291)</f>
        <v/>
      </c>
      <c r="D291" s="40" t="str">
        <f>IF($A291="","",基本信息!BS291)</f>
        <v/>
      </c>
      <c r="F291" s="40" t="str">
        <f>IF($A291="","",基本信息!A291)</f>
        <v/>
      </c>
      <c r="G291" s="50" t="str">
        <f>IF($A291="","",计算结果!BI291+计算结果!BJ291)</f>
        <v/>
      </c>
      <c r="H291" s="50" t="str">
        <f>IF($A291="","",计算结果!BK291)</f>
        <v/>
      </c>
    </row>
    <row r="292" spans="1:8">
      <c r="A292" s="40" t="str">
        <f>IF(OR(OR(IFERROR(FIND("交行",基本信息!BS292),0)&gt;0,IFERROR(FIND("交通银行",基本信息!BS292),0)&gt;0),计算结果!BT292=0),"",基本信息!BR292)</f>
        <v/>
      </c>
      <c r="B292" s="40" t="str">
        <f>IF($A292="","",基本信息!BQ292)</f>
        <v/>
      </c>
      <c r="C292" s="50" t="str">
        <f>IF($A292="","",计算结果!BT292-G292-H292)</f>
        <v/>
      </c>
      <c r="D292" s="40" t="str">
        <f>IF($A292="","",基本信息!BS292)</f>
        <v/>
      </c>
      <c r="F292" s="40" t="str">
        <f>IF($A292="","",基本信息!A292)</f>
        <v/>
      </c>
      <c r="G292" s="50" t="str">
        <f>IF($A292="","",计算结果!BI292+计算结果!BJ292)</f>
        <v/>
      </c>
      <c r="H292" s="50" t="str">
        <f>IF($A292="","",计算结果!BK292)</f>
        <v/>
      </c>
    </row>
    <row r="293" spans="1:8">
      <c r="A293" s="40" t="str">
        <f>IF(OR(OR(IFERROR(FIND("交行",基本信息!BS293),0)&gt;0,IFERROR(FIND("交通银行",基本信息!BS293),0)&gt;0),计算结果!BT293=0),"",基本信息!BR293)</f>
        <v/>
      </c>
      <c r="B293" s="40" t="str">
        <f>IF($A293="","",基本信息!BQ293)</f>
        <v/>
      </c>
      <c r="C293" s="50" t="str">
        <f>IF($A293="","",计算结果!BT293-G293-H293)</f>
        <v/>
      </c>
      <c r="D293" s="40" t="str">
        <f>IF($A293="","",基本信息!BS293)</f>
        <v/>
      </c>
      <c r="F293" s="40" t="str">
        <f>IF($A293="","",基本信息!A293)</f>
        <v/>
      </c>
      <c r="G293" s="50" t="str">
        <f>IF($A293="","",计算结果!BI293+计算结果!BJ293)</f>
        <v/>
      </c>
      <c r="H293" s="50" t="str">
        <f>IF($A293="","",计算结果!BK293)</f>
        <v/>
      </c>
    </row>
    <row r="294" spans="1:8">
      <c r="A294" s="40" t="str">
        <f>IF(OR(OR(IFERROR(FIND("交行",基本信息!BS294),0)&gt;0,IFERROR(FIND("交通银行",基本信息!BS294),0)&gt;0),计算结果!BT294=0),"",基本信息!BR294)</f>
        <v/>
      </c>
      <c r="B294" s="40" t="str">
        <f>IF($A294="","",基本信息!BQ294)</f>
        <v/>
      </c>
      <c r="C294" s="50" t="str">
        <f>IF($A294="","",计算结果!BT294-G294-H294)</f>
        <v/>
      </c>
      <c r="D294" s="40" t="str">
        <f>IF($A294="","",基本信息!BS294)</f>
        <v/>
      </c>
      <c r="F294" s="40" t="str">
        <f>IF($A294="","",基本信息!A294)</f>
        <v/>
      </c>
      <c r="G294" s="50" t="str">
        <f>IF($A294="","",计算结果!BI294+计算结果!BJ294)</f>
        <v/>
      </c>
      <c r="H294" s="50" t="str">
        <f>IF($A294="","",计算结果!BK294)</f>
        <v/>
      </c>
    </row>
    <row r="295" spans="1:8">
      <c r="A295" s="40" t="str">
        <f>IF(OR(OR(IFERROR(FIND("交行",基本信息!BS295),0)&gt;0,IFERROR(FIND("交通银行",基本信息!BS295),0)&gt;0),计算结果!BT295=0),"",基本信息!BR295)</f>
        <v/>
      </c>
      <c r="B295" s="40" t="str">
        <f>IF($A295="","",基本信息!BQ295)</f>
        <v/>
      </c>
      <c r="C295" s="50" t="str">
        <f>IF($A295="","",计算结果!BT295-G295-H295)</f>
        <v/>
      </c>
      <c r="D295" s="40" t="str">
        <f>IF($A295="","",基本信息!BS295)</f>
        <v/>
      </c>
      <c r="F295" s="40" t="str">
        <f>IF($A295="","",基本信息!A295)</f>
        <v/>
      </c>
      <c r="G295" s="50" t="str">
        <f>IF($A295="","",计算结果!BI295+计算结果!BJ295)</f>
        <v/>
      </c>
      <c r="H295" s="50" t="str">
        <f>IF($A295="","",计算结果!BK295)</f>
        <v/>
      </c>
    </row>
    <row r="296" spans="1:8">
      <c r="A296" s="40" t="str">
        <f>IF(OR(OR(IFERROR(FIND("交行",基本信息!BS296),0)&gt;0,IFERROR(FIND("交通银行",基本信息!BS296),0)&gt;0),计算结果!BT296=0),"",基本信息!BR296)</f>
        <v/>
      </c>
      <c r="B296" s="40" t="str">
        <f>IF($A296="","",基本信息!BQ296)</f>
        <v/>
      </c>
      <c r="C296" s="50" t="str">
        <f>IF($A296="","",计算结果!BT296-G296-H296)</f>
        <v/>
      </c>
      <c r="D296" s="40" t="str">
        <f>IF($A296="","",基本信息!BS296)</f>
        <v/>
      </c>
      <c r="F296" s="40" t="str">
        <f>IF($A296="","",基本信息!A296)</f>
        <v/>
      </c>
      <c r="G296" s="50" t="str">
        <f>IF($A296="","",计算结果!BI296+计算结果!BJ296)</f>
        <v/>
      </c>
      <c r="H296" s="50" t="str">
        <f>IF($A296="","",计算结果!BK296)</f>
        <v/>
      </c>
    </row>
    <row r="297" spans="1:8">
      <c r="A297" s="40" t="str">
        <f>IF(OR(OR(IFERROR(FIND("交行",基本信息!BS297),0)&gt;0,IFERROR(FIND("交通银行",基本信息!BS297),0)&gt;0),计算结果!BT297=0),"",基本信息!BR297)</f>
        <v/>
      </c>
      <c r="B297" s="40" t="str">
        <f>IF($A297="","",基本信息!BQ297)</f>
        <v/>
      </c>
      <c r="C297" s="50" t="str">
        <f>IF($A297="","",计算结果!BT297-G297-H297)</f>
        <v/>
      </c>
      <c r="D297" s="40" t="str">
        <f>IF($A297="","",基本信息!BS297)</f>
        <v/>
      </c>
      <c r="F297" s="40" t="str">
        <f>IF($A297="","",基本信息!A297)</f>
        <v/>
      </c>
      <c r="G297" s="50" t="str">
        <f>IF($A297="","",计算结果!BI297+计算结果!BJ297)</f>
        <v/>
      </c>
      <c r="H297" s="50" t="str">
        <f>IF($A297="","",计算结果!BK297)</f>
        <v/>
      </c>
    </row>
    <row r="298" spans="1:8">
      <c r="A298" s="40" t="str">
        <f>IF(OR(OR(IFERROR(FIND("交行",基本信息!BS298),0)&gt;0,IFERROR(FIND("交通银行",基本信息!BS298),0)&gt;0),计算结果!BT298=0),"",基本信息!BR298)</f>
        <v/>
      </c>
      <c r="B298" s="40" t="str">
        <f>IF($A298="","",基本信息!BQ298)</f>
        <v/>
      </c>
      <c r="C298" s="50" t="str">
        <f>IF($A298="","",计算结果!BT298-G298-H298)</f>
        <v/>
      </c>
      <c r="D298" s="40" t="str">
        <f>IF($A298="","",基本信息!BS298)</f>
        <v/>
      </c>
      <c r="F298" s="40" t="str">
        <f>IF($A298="","",基本信息!A298)</f>
        <v/>
      </c>
      <c r="G298" s="50" t="str">
        <f>IF($A298="","",计算结果!BI298+计算结果!BJ298)</f>
        <v/>
      </c>
      <c r="H298" s="50" t="str">
        <f>IF($A298="","",计算结果!BK298)</f>
        <v/>
      </c>
    </row>
    <row r="299" spans="1:8">
      <c r="A299" s="40" t="str">
        <f>IF(OR(OR(IFERROR(FIND("交行",基本信息!BS299),0)&gt;0,IFERROR(FIND("交通银行",基本信息!BS299),0)&gt;0),计算结果!BT299=0),"",基本信息!BR299)</f>
        <v/>
      </c>
      <c r="B299" s="40" t="str">
        <f>IF($A299="","",基本信息!BQ299)</f>
        <v/>
      </c>
      <c r="C299" s="50" t="str">
        <f>IF($A299="","",计算结果!BT299-G299-H299)</f>
        <v/>
      </c>
      <c r="D299" s="40" t="str">
        <f>IF($A299="","",基本信息!BS299)</f>
        <v/>
      </c>
      <c r="F299" s="40" t="str">
        <f>IF($A299="","",基本信息!A299)</f>
        <v/>
      </c>
      <c r="G299" s="50" t="str">
        <f>IF($A299="","",计算结果!BI299+计算结果!BJ299)</f>
        <v/>
      </c>
      <c r="H299" s="50" t="str">
        <f>IF($A299="","",计算结果!BK299)</f>
        <v/>
      </c>
    </row>
    <row r="300" spans="1:8">
      <c r="A300" s="40" t="str">
        <f>IF(OR(OR(IFERROR(FIND("交行",基本信息!BS300),0)&gt;0,IFERROR(FIND("交通银行",基本信息!BS300),0)&gt;0),计算结果!BT300=0),"",基本信息!BR300)</f>
        <v/>
      </c>
      <c r="B300" s="40" t="str">
        <f>IF($A300="","",基本信息!BQ300)</f>
        <v/>
      </c>
      <c r="C300" s="50" t="str">
        <f>IF($A300="","",计算结果!BT300-G300-H300)</f>
        <v/>
      </c>
      <c r="D300" s="40" t="str">
        <f>IF($A300="","",基本信息!BS300)</f>
        <v/>
      </c>
      <c r="F300" s="40" t="str">
        <f>IF($A300="","",基本信息!A300)</f>
        <v/>
      </c>
      <c r="G300" s="50" t="str">
        <f>IF($A300="","",计算结果!BI300+计算结果!BJ300)</f>
        <v/>
      </c>
      <c r="H300" s="50" t="str">
        <f>IF($A300="","",计算结果!BK300)</f>
        <v/>
      </c>
    </row>
    <row r="301" spans="1:8">
      <c r="A301" s="40" t="str">
        <f>IF(OR(OR(IFERROR(FIND("交行",基本信息!BS301),0)&gt;0,IFERROR(FIND("交通银行",基本信息!BS301),0)&gt;0),计算结果!BT301=0),"",基本信息!BR301)</f>
        <v/>
      </c>
      <c r="B301" s="40" t="str">
        <f>IF($A301="","",基本信息!BQ301)</f>
        <v/>
      </c>
      <c r="C301" s="50" t="str">
        <f>IF($A301="","",计算结果!BT301-G301-H301)</f>
        <v/>
      </c>
      <c r="D301" s="40" t="str">
        <f>IF($A301="","",基本信息!BS301)</f>
        <v/>
      </c>
      <c r="F301" s="40" t="str">
        <f>IF($A301="","",基本信息!A301)</f>
        <v/>
      </c>
      <c r="G301" s="50" t="str">
        <f>IF($A301="","",计算结果!BI301+计算结果!BJ301)</f>
        <v/>
      </c>
      <c r="H301" s="50" t="str">
        <f>IF($A301="","",计算结果!BK301)</f>
        <v/>
      </c>
    </row>
    <row r="302" spans="1:8">
      <c r="A302" s="40" t="str">
        <f>IF(OR(OR(IFERROR(FIND("交行",基本信息!BS302),0)&gt;0,IFERROR(FIND("交通银行",基本信息!BS302),0)&gt;0),计算结果!BT302=0),"",基本信息!BR302)</f>
        <v/>
      </c>
      <c r="B302" s="40" t="str">
        <f>IF($A302="","",基本信息!BQ302)</f>
        <v/>
      </c>
      <c r="C302" s="50" t="str">
        <f>IF($A302="","",计算结果!BT302-G302-H302)</f>
        <v/>
      </c>
      <c r="D302" s="40" t="str">
        <f>IF($A302="","",基本信息!BS302)</f>
        <v/>
      </c>
      <c r="F302" s="40" t="str">
        <f>IF($A302="","",基本信息!A302)</f>
        <v/>
      </c>
      <c r="G302" s="50" t="str">
        <f>IF($A302="","",计算结果!BI302+计算结果!BJ302)</f>
        <v/>
      </c>
      <c r="H302" s="50" t="str">
        <f>IF($A302="","",计算结果!BK302)</f>
        <v/>
      </c>
    </row>
    <row r="303" spans="1:8">
      <c r="A303" s="40" t="str">
        <f>IF(OR(OR(IFERROR(FIND("交行",基本信息!BS303),0)&gt;0,IFERROR(FIND("交通银行",基本信息!BS303),0)&gt;0),计算结果!BT303=0),"",基本信息!BR303)</f>
        <v/>
      </c>
      <c r="B303" s="40" t="str">
        <f>IF($A303="","",基本信息!BQ303)</f>
        <v/>
      </c>
      <c r="C303" s="50" t="str">
        <f>IF($A303="","",计算结果!BT303-G303-H303)</f>
        <v/>
      </c>
      <c r="D303" s="40" t="str">
        <f>IF($A303="","",基本信息!BS303)</f>
        <v/>
      </c>
      <c r="F303" s="40" t="str">
        <f>IF($A303="","",基本信息!A303)</f>
        <v/>
      </c>
      <c r="G303" s="50" t="str">
        <f>IF($A303="","",计算结果!BI303+计算结果!BJ303)</f>
        <v/>
      </c>
      <c r="H303" s="50" t="str">
        <f>IF($A303="","",计算结果!BK303)</f>
        <v/>
      </c>
    </row>
    <row r="304" spans="1:8">
      <c r="A304" s="40" t="str">
        <f>IF(OR(OR(IFERROR(FIND("交行",基本信息!BS304),0)&gt;0,IFERROR(FIND("交通银行",基本信息!BS304),0)&gt;0),计算结果!BT304=0),"",基本信息!BR304)</f>
        <v/>
      </c>
      <c r="B304" s="40" t="str">
        <f>IF($A304="","",基本信息!BQ304)</f>
        <v/>
      </c>
      <c r="C304" s="50" t="str">
        <f>IF($A304="","",计算结果!BT304-G304-H304)</f>
        <v/>
      </c>
      <c r="D304" s="40" t="str">
        <f>IF($A304="","",基本信息!BS304)</f>
        <v/>
      </c>
      <c r="F304" s="40" t="str">
        <f>IF($A304="","",基本信息!A304)</f>
        <v/>
      </c>
      <c r="G304" s="50" t="str">
        <f>IF($A304="","",计算结果!BI304+计算结果!BJ304)</f>
        <v/>
      </c>
      <c r="H304" s="50" t="str">
        <f>IF($A304="","",计算结果!BK304)</f>
        <v/>
      </c>
    </row>
    <row r="305" spans="1:8">
      <c r="A305" s="40" t="str">
        <f>IF(OR(OR(IFERROR(FIND("交行",基本信息!BS305),0)&gt;0,IFERROR(FIND("交通银行",基本信息!BS305),0)&gt;0),计算结果!BT305=0),"",基本信息!BR305)</f>
        <v/>
      </c>
      <c r="B305" s="40" t="str">
        <f>IF($A305="","",基本信息!BQ305)</f>
        <v/>
      </c>
      <c r="C305" s="50" t="str">
        <f>IF($A305="","",计算结果!BT305-G305-H305)</f>
        <v/>
      </c>
      <c r="D305" s="40" t="str">
        <f>IF($A305="","",基本信息!BS305)</f>
        <v/>
      </c>
      <c r="F305" s="40" t="str">
        <f>IF($A305="","",基本信息!A305)</f>
        <v/>
      </c>
      <c r="G305" s="50" t="str">
        <f>IF($A305="","",计算结果!BI305+计算结果!BJ305)</f>
        <v/>
      </c>
      <c r="H305" s="50" t="str">
        <f>IF($A305="","",计算结果!BK305)</f>
        <v/>
      </c>
    </row>
    <row r="306" spans="1:8">
      <c r="A306" s="40" t="str">
        <f>IF(OR(OR(IFERROR(FIND("交行",基本信息!BS306),0)&gt;0,IFERROR(FIND("交通银行",基本信息!BS306),0)&gt;0),计算结果!BT306=0),"",基本信息!BR306)</f>
        <v/>
      </c>
      <c r="B306" s="40" t="str">
        <f>IF($A306="","",基本信息!BQ306)</f>
        <v/>
      </c>
      <c r="C306" s="50" t="str">
        <f>IF($A306="","",计算结果!BT306-G306-H306)</f>
        <v/>
      </c>
      <c r="D306" s="40" t="str">
        <f>IF($A306="","",基本信息!BS306)</f>
        <v/>
      </c>
      <c r="F306" s="40" t="str">
        <f>IF($A306="","",基本信息!A306)</f>
        <v/>
      </c>
      <c r="G306" s="50" t="str">
        <f>IF($A306="","",计算结果!BI306+计算结果!BJ306)</f>
        <v/>
      </c>
      <c r="H306" s="50" t="str">
        <f>IF($A306="","",计算结果!BK306)</f>
        <v/>
      </c>
    </row>
    <row r="307" spans="1:8">
      <c r="A307" s="40" t="str">
        <f>IF(OR(OR(IFERROR(FIND("交行",基本信息!BS307),0)&gt;0,IFERROR(FIND("交通银行",基本信息!BS307),0)&gt;0),计算结果!BT307=0),"",基本信息!BR307)</f>
        <v/>
      </c>
      <c r="B307" s="40" t="str">
        <f>IF($A307="","",基本信息!BQ307)</f>
        <v/>
      </c>
      <c r="C307" s="50" t="str">
        <f>IF($A307="","",计算结果!BT307-G307-H307)</f>
        <v/>
      </c>
      <c r="D307" s="40" t="str">
        <f>IF($A307="","",基本信息!BS307)</f>
        <v/>
      </c>
      <c r="F307" s="40" t="str">
        <f>IF($A307="","",基本信息!A307)</f>
        <v/>
      </c>
      <c r="G307" s="50" t="str">
        <f>IF($A307="","",计算结果!BI307+计算结果!BJ307)</f>
        <v/>
      </c>
      <c r="H307" s="50" t="str">
        <f>IF($A307="","",计算结果!BK307)</f>
        <v/>
      </c>
    </row>
    <row r="308" spans="1:8">
      <c r="A308" s="40" t="str">
        <f>IF(OR(OR(IFERROR(FIND("交行",基本信息!BS308),0)&gt;0,IFERROR(FIND("交通银行",基本信息!BS308),0)&gt;0),计算结果!BT308=0),"",基本信息!BR308)</f>
        <v/>
      </c>
      <c r="B308" s="40" t="str">
        <f>IF($A308="","",基本信息!BQ308)</f>
        <v/>
      </c>
      <c r="C308" s="50" t="str">
        <f>IF($A308="","",计算结果!BT308-G308-H308)</f>
        <v/>
      </c>
      <c r="D308" s="40" t="str">
        <f>IF($A308="","",基本信息!BS308)</f>
        <v/>
      </c>
      <c r="F308" s="40" t="str">
        <f>IF($A308="","",基本信息!A308)</f>
        <v/>
      </c>
      <c r="G308" s="50" t="str">
        <f>IF($A308="","",计算结果!BI308+计算结果!BJ308)</f>
        <v/>
      </c>
      <c r="H308" s="50" t="str">
        <f>IF($A308="","",计算结果!BK308)</f>
        <v/>
      </c>
    </row>
    <row r="309" spans="1:8">
      <c r="A309" s="40" t="str">
        <f>IF(OR(OR(IFERROR(FIND("交行",基本信息!BS309),0)&gt;0,IFERROR(FIND("交通银行",基本信息!BS309),0)&gt;0),计算结果!BT309=0),"",基本信息!BR309)</f>
        <v/>
      </c>
      <c r="B309" s="40" t="str">
        <f>IF($A309="","",基本信息!BQ309)</f>
        <v/>
      </c>
      <c r="C309" s="50" t="str">
        <f>IF($A309="","",计算结果!BT309-G309-H309)</f>
        <v/>
      </c>
      <c r="D309" s="40" t="str">
        <f>IF($A309="","",基本信息!BS309)</f>
        <v/>
      </c>
      <c r="F309" s="40" t="str">
        <f>IF($A309="","",基本信息!A309)</f>
        <v/>
      </c>
      <c r="G309" s="50" t="str">
        <f>IF($A309="","",计算结果!BI309+计算结果!BJ309)</f>
        <v/>
      </c>
      <c r="H309" s="50" t="str">
        <f>IF($A309="","",计算结果!BK309)</f>
        <v/>
      </c>
    </row>
    <row r="310" spans="1:8">
      <c r="A310" s="40" t="str">
        <f>IF(OR(OR(IFERROR(FIND("交行",基本信息!BS310),0)&gt;0,IFERROR(FIND("交通银行",基本信息!BS310),0)&gt;0),计算结果!BT310=0),"",基本信息!BR310)</f>
        <v/>
      </c>
      <c r="B310" s="40" t="str">
        <f>IF($A310="","",基本信息!BQ310)</f>
        <v/>
      </c>
      <c r="C310" s="50" t="str">
        <f>IF($A310="","",计算结果!BT310-G310-H310)</f>
        <v/>
      </c>
      <c r="D310" s="40" t="str">
        <f>IF($A310="","",基本信息!BS310)</f>
        <v/>
      </c>
      <c r="F310" s="40" t="str">
        <f>IF($A310="","",基本信息!A310)</f>
        <v/>
      </c>
      <c r="G310" s="50" t="str">
        <f>IF($A310="","",计算结果!BI310+计算结果!BJ310)</f>
        <v/>
      </c>
      <c r="H310" s="50" t="str">
        <f>IF($A310="","",计算结果!BK310)</f>
        <v/>
      </c>
    </row>
    <row r="311" spans="1:8">
      <c r="A311" s="40" t="str">
        <f>IF(OR(OR(IFERROR(FIND("交行",基本信息!BS311),0)&gt;0,IFERROR(FIND("交通银行",基本信息!BS311),0)&gt;0),计算结果!BT311=0),"",基本信息!BR311)</f>
        <v/>
      </c>
      <c r="B311" s="40" t="str">
        <f>IF($A311="","",基本信息!BQ311)</f>
        <v/>
      </c>
      <c r="C311" s="50" t="str">
        <f>IF($A311="","",计算结果!BT311-G311-H311)</f>
        <v/>
      </c>
      <c r="D311" s="40" t="str">
        <f>IF($A311="","",基本信息!BS311)</f>
        <v/>
      </c>
      <c r="F311" s="40" t="str">
        <f>IF($A311="","",基本信息!A311)</f>
        <v/>
      </c>
      <c r="G311" s="50" t="str">
        <f>IF($A311="","",计算结果!BI311+计算结果!BJ311)</f>
        <v/>
      </c>
      <c r="H311" s="50" t="str">
        <f>IF($A311="","",计算结果!BK311)</f>
        <v/>
      </c>
    </row>
    <row r="312" spans="1:8">
      <c r="A312" s="40" t="str">
        <f>IF(OR(OR(IFERROR(FIND("交行",基本信息!BS312),0)&gt;0,IFERROR(FIND("交通银行",基本信息!BS312),0)&gt;0),计算结果!BT312=0),"",基本信息!BR312)</f>
        <v/>
      </c>
      <c r="B312" s="40" t="str">
        <f>IF($A312="","",基本信息!BQ312)</f>
        <v/>
      </c>
      <c r="C312" s="50" t="str">
        <f>IF($A312="","",计算结果!BT312-G312-H312)</f>
        <v/>
      </c>
      <c r="D312" s="40" t="str">
        <f>IF($A312="","",基本信息!BS312)</f>
        <v/>
      </c>
      <c r="F312" s="40" t="str">
        <f>IF($A312="","",基本信息!A312)</f>
        <v/>
      </c>
      <c r="G312" s="50" t="str">
        <f>IF($A312="","",计算结果!BI312+计算结果!BJ312)</f>
        <v/>
      </c>
      <c r="H312" s="50" t="str">
        <f>IF($A312="","",计算结果!BK312)</f>
        <v/>
      </c>
    </row>
    <row r="313" spans="1:8">
      <c r="A313" s="40" t="str">
        <f>IF(OR(OR(IFERROR(FIND("交行",基本信息!BS313),0)&gt;0,IFERROR(FIND("交通银行",基本信息!BS313),0)&gt;0),计算结果!BT313=0),"",基本信息!BR313)</f>
        <v/>
      </c>
      <c r="B313" s="40" t="str">
        <f>IF($A313="","",基本信息!BQ313)</f>
        <v/>
      </c>
      <c r="C313" s="50" t="str">
        <f>IF($A313="","",计算结果!BT313-G313-H313)</f>
        <v/>
      </c>
      <c r="D313" s="40" t="str">
        <f>IF($A313="","",基本信息!BS313)</f>
        <v/>
      </c>
      <c r="F313" s="40" t="str">
        <f>IF($A313="","",基本信息!A313)</f>
        <v/>
      </c>
      <c r="G313" s="50" t="str">
        <f>IF($A313="","",计算结果!BI313+计算结果!BJ313)</f>
        <v/>
      </c>
      <c r="H313" s="50" t="str">
        <f>IF($A313="","",计算结果!BK313)</f>
        <v/>
      </c>
    </row>
    <row r="314" spans="1:8">
      <c r="A314" s="40" t="str">
        <f>IF(OR(OR(IFERROR(FIND("交行",基本信息!BS314),0)&gt;0,IFERROR(FIND("交通银行",基本信息!BS314),0)&gt;0),计算结果!BT314=0),"",基本信息!BR314)</f>
        <v/>
      </c>
      <c r="B314" s="40" t="str">
        <f>IF($A314="","",基本信息!BQ314)</f>
        <v/>
      </c>
      <c r="C314" s="50" t="str">
        <f>IF($A314="","",计算结果!BT314-G314-H314)</f>
        <v/>
      </c>
      <c r="D314" s="40" t="str">
        <f>IF($A314="","",基本信息!BS314)</f>
        <v/>
      </c>
      <c r="F314" s="40" t="str">
        <f>IF($A314="","",基本信息!A314)</f>
        <v/>
      </c>
      <c r="G314" s="50" t="str">
        <f>IF($A314="","",计算结果!BI314+计算结果!BJ314)</f>
        <v/>
      </c>
      <c r="H314" s="50" t="str">
        <f>IF($A314="","",计算结果!BK314)</f>
        <v/>
      </c>
    </row>
    <row r="315" spans="1:8">
      <c r="A315" s="40" t="str">
        <f>IF(OR(OR(IFERROR(FIND("交行",基本信息!BS315),0)&gt;0,IFERROR(FIND("交通银行",基本信息!BS315),0)&gt;0),计算结果!BT315=0),"",基本信息!BR315)</f>
        <v/>
      </c>
      <c r="B315" s="40" t="str">
        <f>IF($A315="","",基本信息!BQ315)</f>
        <v/>
      </c>
      <c r="C315" s="50" t="str">
        <f>IF($A315="","",计算结果!BT315-G315-H315)</f>
        <v/>
      </c>
      <c r="D315" s="40" t="str">
        <f>IF($A315="","",基本信息!BS315)</f>
        <v/>
      </c>
      <c r="F315" s="40" t="str">
        <f>IF($A315="","",基本信息!A315)</f>
        <v/>
      </c>
      <c r="G315" s="50" t="str">
        <f>IF($A315="","",计算结果!BI315+计算结果!BJ315)</f>
        <v/>
      </c>
      <c r="H315" s="50" t="str">
        <f>IF($A315="","",计算结果!BK315)</f>
        <v/>
      </c>
    </row>
    <row r="316" spans="1:8">
      <c r="A316" s="40" t="str">
        <f>IF(OR(OR(IFERROR(FIND("交行",基本信息!BS316),0)&gt;0,IFERROR(FIND("交通银行",基本信息!BS316),0)&gt;0),计算结果!BT316=0),"",基本信息!BR316)</f>
        <v/>
      </c>
      <c r="B316" s="40" t="str">
        <f>IF($A316="","",基本信息!BQ316)</f>
        <v/>
      </c>
      <c r="C316" s="50" t="str">
        <f>IF($A316="","",计算结果!BT316-G316-H316)</f>
        <v/>
      </c>
      <c r="D316" s="40" t="str">
        <f>IF($A316="","",基本信息!BS316)</f>
        <v/>
      </c>
      <c r="F316" s="40" t="str">
        <f>IF($A316="","",基本信息!A316)</f>
        <v/>
      </c>
      <c r="G316" s="50" t="str">
        <f>IF($A316="","",计算结果!BI316+计算结果!BJ316)</f>
        <v/>
      </c>
      <c r="H316" s="50" t="str">
        <f>IF($A316="","",计算结果!BK316)</f>
        <v/>
      </c>
    </row>
    <row r="317" spans="1:8">
      <c r="A317" s="40" t="str">
        <f>IF(OR(OR(IFERROR(FIND("交行",基本信息!BS317),0)&gt;0,IFERROR(FIND("交通银行",基本信息!BS317),0)&gt;0),计算结果!BT317=0),"",基本信息!BR317)</f>
        <v/>
      </c>
      <c r="B317" s="40" t="str">
        <f>IF($A317="","",基本信息!BQ317)</f>
        <v/>
      </c>
      <c r="C317" s="50" t="str">
        <f>IF($A317="","",计算结果!BT317-G317-H317)</f>
        <v/>
      </c>
      <c r="D317" s="40" t="str">
        <f>IF($A317="","",基本信息!BS317)</f>
        <v/>
      </c>
      <c r="F317" s="40" t="str">
        <f>IF($A317="","",基本信息!A317)</f>
        <v/>
      </c>
      <c r="G317" s="50" t="str">
        <f>IF($A317="","",计算结果!BI317+计算结果!BJ317)</f>
        <v/>
      </c>
      <c r="H317" s="50" t="str">
        <f>IF($A317="","",计算结果!BK317)</f>
        <v/>
      </c>
    </row>
    <row r="318" spans="1:8">
      <c r="A318" s="40" t="str">
        <f>IF(OR(OR(IFERROR(FIND("交行",基本信息!BS318),0)&gt;0,IFERROR(FIND("交通银行",基本信息!BS318),0)&gt;0),计算结果!BT318=0),"",基本信息!BR318)</f>
        <v/>
      </c>
      <c r="B318" s="40" t="str">
        <f>IF($A318="","",基本信息!BQ318)</f>
        <v/>
      </c>
      <c r="C318" s="50" t="str">
        <f>IF($A318="","",计算结果!BT318-G318-H318)</f>
        <v/>
      </c>
      <c r="D318" s="40" t="str">
        <f>IF($A318="","",基本信息!BS318)</f>
        <v/>
      </c>
      <c r="F318" s="40" t="str">
        <f>IF($A318="","",基本信息!A318)</f>
        <v/>
      </c>
      <c r="G318" s="50" t="str">
        <f>IF($A318="","",计算结果!BI318+计算结果!BJ318)</f>
        <v/>
      </c>
      <c r="H318" s="50" t="str">
        <f>IF($A318="","",计算结果!BK318)</f>
        <v/>
      </c>
    </row>
    <row r="319" spans="1:8">
      <c r="A319" s="40" t="str">
        <f>IF(OR(OR(IFERROR(FIND("交行",基本信息!BS319),0)&gt;0,IFERROR(FIND("交通银行",基本信息!BS319),0)&gt;0),计算结果!BT319=0),"",基本信息!BR319)</f>
        <v/>
      </c>
      <c r="B319" s="40" t="str">
        <f>IF($A319="","",基本信息!BQ319)</f>
        <v/>
      </c>
      <c r="C319" s="50" t="str">
        <f>IF($A319="","",计算结果!BT319-G319-H319)</f>
        <v/>
      </c>
      <c r="D319" s="40" t="str">
        <f>IF($A319="","",基本信息!BS319)</f>
        <v/>
      </c>
      <c r="F319" s="40" t="str">
        <f>IF($A319="","",基本信息!A319)</f>
        <v/>
      </c>
      <c r="G319" s="50" t="str">
        <f>IF($A319="","",计算结果!BI319+计算结果!BJ319)</f>
        <v/>
      </c>
      <c r="H319" s="50" t="str">
        <f>IF($A319="","",计算结果!BK319)</f>
        <v/>
      </c>
    </row>
    <row r="320" spans="1:8">
      <c r="A320" s="40" t="str">
        <f>IF(OR(OR(IFERROR(FIND("交行",基本信息!BS320),0)&gt;0,IFERROR(FIND("交通银行",基本信息!BS320),0)&gt;0),计算结果!BT320=0),"",基本信息!BR320)</f>
        <v/>
      </c>
      <c r="B320" s="40" t="str">
        <f>IF($A320="","",基本信息!BQ320)</f>
        <v/>
      </c>
      <c r="C320" s="50" t="str">
        <f>IF($A320="","",计算结果!BT320-G320-H320)</f>
        <v/>
      </c>
      <c r="D320" s="40" t="str">
        <f>IF($A320="","",基本信息!BS320)</f>
        <v/>
      </c>
      <c r="F320" s="40" t="str">
        <f>IF($A320="","",基本信息!A320)</f>
        <v/>
      </c>
      <c r="G320" s="50" t="str">
        <f>IF($A320="","",计算结果!BI320+计算结果!BJ320)</f>
        <v/>
      </c>
      <c r="H320" s="50" t="str">
        <f>IF($A320="","",计算结果!BK320)</f>
        <v/>
      </c>
    </row>
    <row r="321" spans="1:8">
      <c r="A321" s="40" t="str">
        <f>IF(OR(OR(IFERROR(FIND("交行",基本信息!BS321),0)&gt;0,IFERROR(FIND("交通银行",基本信息!BS321),0)&gt;0),计算结果!BT321=0),"",基本信息!BR321)</f>
        <v/>
      </c>
      <c r="B321" s="40" t="str">
        <f>IF($A321="","",基本信息!BQ321)</f>
        <v/>
      </c>
      <c r="C321" s="50" t="str">
        <f>IF($A321="","",计算结果!BT321-G321-H321)</f>
        <v/>
      </c>
      <c r="D321" s="40" t="str">
        <f>IF($A321="","",基本信息!BS321)</f>
        <v/>
      </c>
      <c r="F321" s="40" t="str">
        <f>IF($A321="","",基本信息!A321)</f>
        <v/>
      </c>
      <c r="G321" s="50" t="str">
        <f>IF($A321="","",计算结果!BI321+计算结果!BJ321)</f>
        <v/>
      </c>
      <c r="H321" s="50" t="str">
        <f>IF($A321="","",计算结果!BK321)</f>
        <v/>
      </c>
    </row>
    <row r="322" spans="1:8">
      <c r="A322" s="40" t="str">
        <f>IF(OR(OR(IFERROR(FIND("交行",基本信息!BS322),0)&gt;0,IFERROR(FIND("交通银行",基本信息!BS322),0)&gt;0),计算结果!BT322=0),"",基本信息!BR322)</f>
        <v/>
      </c>
      <c r="B322" s="40" t="str">
        <f>IF($A322="","",基本信息!BQ322)</f>
        <v/>
      </c>
      <c r="C322" s="50" t="str">
        <f>IF($A322="","",计算结果!BT322-G322-H322)</f>
        <v/>
      </c>
      <c r="D322" s="40" t="str">
        <f>IF($A322="","",基本信息!BS322)</f>
        <v/>
      </c>
      <c r="F322" s="40" t="str">
        <f>IF($A322="","",基本信息!A322)</f>
        <v/>
      </c>
      <c r="G322" s="50" t="str">
        <f>IF($A322="","",计算结果!BI322+计算结果!BJ322)</f>
        <v/>
      </c>
      <c r="H322" s="50" t="str">
        <f>IF($A322="","",计算结果!BK322)</f>
        <v/>
      </c>
    </row>
    <row r="323" spans="1:8">
      <c r="A323" s="40" t="str">
        <f>IF(OR(OR(IFERROR(FIND("交行",基本信息!BS323),0)&gt;0,IFERROR(FIND("交通银行",基本信息!BS323),0)&gt;0),计算结果!BT323=0),"",基本信息!BR323)</f>
        <v/>
      </c>
      <c r="B323" s="40" t="str">
        <f>IF($A323="","",基本信息!BQ323)</f>
        <v/>
      </c>
      <c r="C323" s="50" t="str">
        <f>IF($A323="","",计算结果!BT323-G323-H323)</f>
        <v/>
      </c>
      <c r="D323" s="40" t="str">
        <f>IF($A323="","",基本信息!BS323)</f>
        <v/>
      </c>
      <c r="F323" s="40" t="str">
        <f>IF($A323="","",基本信息!A323)</f>
        <v/>
      </c>
      <c r="G323" s="50" t="str">
        <f>IF($A323="","",计算结果!BI323+计算结果!BJ323)</f>
        <v/>
      </c>
      <c r="H323" s="50" t="str">
        <f>IF($A323="","",计算结果!BK323)</f>
        <v/>
      </c>
    </row>
    <row r="324" spans="1:8">
      <c r="A324" s="40" t="str">
        <f>IF(OR(OR(IFERROR(FIND("交行",基本信息!BS324),0)&gt;0,IFERROR(FIND("交通银行",基本信息!BS324),0)&gt;0),计算结果!BT324=0),"",基本信息!BR324)</f>
        <v/>
      </c>
      <c r="B324" s="40" t="str">
        <f>IF($A324="","",基本信息!BQ324)</f>
        <v/>
      </c>
      <c r="C324" s="50" t="str">
        <f>IF($A324="","",计算结果!BT324-G324-H324)</f>
        <v/>
      </c>
      <c r="D324" s="40" t="str">
        <f>IF($A324="","",基本信息!BS324)</f>
        <v/>
      </c>
      <c r="F324" s="40" t="str">
        <f>IF($A324="","",基本信息!A324)</f>
        <v/>
      </c>
      <c r="G324" s="50" t="str">
        <f>IF($A324="","",计算结果!BI324+计算结果!BJ324)</f>
        <v/>
      </c>
      <c r="H324" s="50" t="str">
        <f>IF($A324="","",计算结果!BK324)</f>
        <v/>
      </c>
    </row>
    <row r="325" spans="1:8">
      <c r="A325" s="40" t="str">
        <f>IF(OR(OR(IFERROR(FIND("交行",基本信息!BS325),0)&gt;0,IFERROR(FIND("交通银行",基本信息!BS325),0)&gt;0),计算结果!BT325=0),"",基本信息!BR325)</f>
        <v/>
      </c>
      <c r="B325" s="40" t="str">
        <f>IF($A325="","",基本信息!BQ325)</f>
        <v/>
      </c>
      <c r="C325" s="50" t="str">
        <f>IF($A325="","",计算结果!BT325-G325-H325)</f>
        <v/>
      </c>
      <c r="D325" s="40" t="str">
        <f>IF($A325="","",基本信息!BS325)</f>
        <v/>
      </c>
      <c r="F325" s="40" t="str">
        <f>IF($A325="","",基本信息!A325)</f>
        <v/>
      </c>
      <c r="G325" s="50" t="str">
        <f>IF($A325="","",计算结果!BI325+计算结果!BJ325)</f>
        <v/>
      </c>
      <c r="H325" s="50" t="str">
        <f>IF($A325="","",计算结果!BK325)</f>
        <v/>
      </c>
    </row>
    <row r="326" spans="1:8">
      <c r="A326" s="40" t="str">
        <f>IF(OR(OR(IFERROR(FIND("交行",基本信息!BS326),0)&gt;0,IFERROR(FIND("交通银行",基本信息!BS326),0)&gt;0),计算结果!BT326=0),"",基本信息!BR326)</f>
        <v/>
      </c>
      <c r="B326" s="40" t="str">
        <f>IF($A326="","",基本信息!BQ326)</f>
        <v/>
      </c>
      <c r="C326" s="50" t="str">
        <f>IF($A326="","",计算结果!BT326-G326-H326)</f>
        <v/>
      </c>
      <c r="D326" s="40" t="str">
        <f>IF($A326="","",基本信息!BS326)</f>
        <v/>
      </c>
      <c r="F326" s="40" t="str">
        <f>IF($A326="","",基本信息!A326)</f>
        <v/>
      </c>
      <c r="G326" s="50" t="str">
        <f>IF($A326="","",计算结果!BI326+计算结果!BJ326)</f>
        <v/>
      </c>
      <c r="H326" s="50" t="str">
        <f>IF($A326="","",计算结果!BK326)</f>
        <v/>
      </c>
    </row>
    <row r="327" spans="1:8">
      <c r="A327" s="40" t="str">
        <f>IF(OR(OR(IFERROR(FIND("交行",基本信息!BS327),0)&gt;0,IFERROR(FIND("交通银行",基本信息!BS327),0)&gt;0),计算结果!BT327=0),"",基本信息!BR327)</f>
        <v/>
      </c>
      <c r="B327" s="40" t="str">
        <f>IF($A327="","",基本信息!BQ327)</f>
        <v/>
      </c>
      <c r="C327" s="50" t="str">
        <f>IF($A327="","",计算结果!BT327-G327-H327)</f>
        <v/>
      </c>
      <c r="D327" s="40" t="str">
        <f>IF($A327="","",基本信息!BS327)</f>
        <v/>
      </c>
      <c r="F327" s="40" t="str">
        <f>IF($A327="","",基本信息!A327)</f>
        <v/>
      </c>
      <c r="G327" s="50" t="str">
        <f>IF($A327="","",计算结果!BI327+计算结果!BJ327)</f>
        <v/>
      </c>
      <c r="H327" s="50" t="str">
        <f>IF($A327="","",计算结果!BK327)</f>
        <v/>
      </c>
    </row>
    <row r="328" spans="1:8">
      <c r="A328" s="40" t="str">
        <f>IF(OR(OR(IFERROR(FIND("交行",基本信息!BS328),0)&gt;0,IFERROR(FIND("交通银行",基本信息!BS328),0)&gt;0),计算结果!BT328=0),"",基本信息!BR328)</f>
        <v/>
      </c>
      <c r="B328" s="40" t="str">
        <f>IF($A328="","",基本信息!BQ328)</f>
        <v/>
      </c>
      <c r="C328" s="50" t="str">
        <f>IF($A328="","",计算结果!BT328-G328-H328)</f>
        <v/>
      </c>
      <c r="D328" s="40" t="str">
        <f>IF($A328="","",基本信息!BS328)</f>
        <v/>
      </c>
      <c r="F328" s="40" t="str">
        <f>IF($A328="","",基本信息!A328)</f>
        <v/>
      </c>
      <c r="G328" s="50" t="str">
        <f>IF($A328="","",计算结果!BI328+计算结果!BJ328)</f>
        <v/>
      </c>
      <c r="H328" s="50" t="str">
        <f>IF($A328="","",计算结果!BK328)</f>
        <v/>
      </c>
    </row>
    <row r="329" spans="1:8">
      <c r="A329" s="40" t="str">
        <f>IF(OR(OR(IFERROR(FIND("交行",基本信息!BS329),0)&gt;0,IFERROR(FIND("交通银行",基本信息!BS329),0)&gt;0),计算结果!BT329=0),"",基本信息!BR329)</f>
        <v/>
      </c>
      <c r="B329" s="40" t="str">
        <f>IF($A329="","",基本信息!BQ329)</f>
        <v/>
      </c>
      <c r="C329" s="50" t="str">
        <f>IF($A329="","",计算结果!BT329-G329-H329)</f>
        <v/>
      </c>
      <c r="D329" s="40" t="str">
        <f>IF($A329="","",基本信息!BS329)</f>
        <v/>
      </c>
      <c r="F329" s="40" t="str">
        <f>IF($A329="","",基本信息!A329)</f>
        <v/>
      </c>
      <c r="G329" s="50" t="str">
        <f>IF($A329="","",计算结果!BI329+计算结果!BJ329)</f>
        <v/>
      </c>
      <c r="H329" s="50" t="str">
        <f>IF($A329="","",计算结果!BK329)</f>
        <v/>
      </c>
    </row>
    <row r="330" spans="1:8">
      <c r="A330" s="40" t="str">
        <f>IF(OR(OR(IFERROR(FIND("交行",基本信息!BS330),0)&gt;0,IFERROR(FIND("交通银行",基本信息!BS330),0)&gt;0),计算结果!BT330=0),"",基本信息!BR330)</f>
        <v/>
      </c>
      <c r="B330" s="40" t="str">
        <f>IF($A330="","",基本信息!BQ330)</f>
        <v/>
      </c>
      <c r="C330" s="50" t="str">
        <f>IF($A330="","",计算结果!BT330-G330-H330)</f>
        <v/>
      </c>
      <c r="D330" s="40" t="str">
        <f>IF($A330="","",基本信息!BS330)</f>
        <v/>
      </c>
      <c r="F330" s="40" t="str">
        <f>IF($A330="","",基本信息!A330)</f>
        <v/>
      </c>
      <c r="G330" s="50" t="str">
        <f>IF($A330="","",计算结果!BI330+计算结果!BJ330)</f>
        <v/>
      </c>
      <c r="H330" s="50" t="str">
        <f>IF($A330="","",计算结果!BK330)</f>
        <v/>
      </c>
    </row>
    <row r="331" spans="1:8">
      <c r="A331" s="40" t="str">
        <f>IF(OR(OR(IFERROR(FIND("交行",基本信息!BS331),0)&gt;0,IFERROR(FIND("交通银行",基本信息!BS331),0)&gt;0),计算结果!BT331=0),"",基本信息!BR331)</f>
        <v/>
      </c>
      <c r="B331" s="40" t="str">
        <f>IF($A331="","",基本信息!BQ331)</f>
        <v/>
      </c>
      <c r="C331" s="50" t="str">
        <f>IF($A331="","",计算结果!BT331-G331-H331)</f>
        <v/>
      </c>
      <c r="D331" s="40" t="str">
        <f>IF($A331="","",基本信息!BS331)</f>
        <v/>
      </c>
      <c r="F331" s="40" t="str">
        <f>IF($A331="","",基本信息!A331)</f>
        <v/>
      </c>
      <c r="G331" s="50" t="str">
        <f>IF($A331="","",计算结果!BI331+计算结果!BJ331)</f>
        <v/>
      </c>
      <c r="H331" s="50" t="str">
        <f>IF($A331="","",计算结果!BK331)</f>
        <v/>
      </c>
    </row>
    <row r="332" spans="1:8">
      <c r="A332" s="40" t="str">
        <f>IF(OR(OR(IFERROR(FIND("交行",基本信息!BS332),0)&gt;0,IFERROR(FIND("交通银行",基本信息!BS332),0)&gt;0),计算结果!BT332=0),"",基本信息!BR332)</f>
        <v/>
      </c>
      <c r="B332" s="40" t="str">
        <f>IF($A332="","",基本信息!BQ332)</f>
        <v/>
      </c>
      <c r="C332" s="50" t="str">
        <f>IF($A332="","",计算结果!BT332-G332-H332)</f>
        <v/>
      </c>
      <c r="D332" s="40" t="str">
        <f>IF($A332="","",基本信息!BS332)</f>
        <v/>
      </c>
      <c r="F332" s="40" t="str">
        <f>IF($A332="","",基本信息!A332)</f>
        <v/>
      </c>
      <c r="G332" s="50" t="str">
        <f>IF($A332="","",计算结果!BI332+计算结果!BJ332)</f>
        <v/>
      </c>
      <c r="H332" s="50" t="str">
        <f>IF($A332="","",计算结果!BK332)</f>
        <v/>
      </c>
    </row>
    <row r="333" spans="1:8">
      <c r="A333" s="40" t="str">
        <f>IF(OR(OR(IFERROR(FIND("交行",基本信息!BS333),0)&gt;0,IFERROR(FIND("交通银行",基本信息!BS333),0)&gt;0),计算结果!BT333=0),"",基本信息!BR333)</f>
        <v/>
      </c>
      <c r="B333" s="40" t="str">
        <f>IF($A333="","",基本信息!BQ333)</f>
        <v/>
      </c>
      <c r="C333" s="50" t="str">
        <f>IF($A333="","",计算结果!BT333-G333-H333)</f>
        <v/>
      </c>
      <c r="D333" s="40" t="str">
        <f>IF($A333="","",基本信息!BS333)</f>
        <v/>
      </c>
      <c r="F333" s="40" t="str">
        <f>IF($A333="","",基本信息!A333)</f>
        <v/>
      </c>
      <c r="G333" s="50" t="str">
        <f>IF($A333="","",计算结果!BI333+计算结果!BJ333)</f>
        <v/>
      </c>
      <c r="H333" s="50" t="str">
        <f>IF($A333="","",计算结果!BK333)</f>
        <v/>
      </c>
    </row>
    <row r="334" spans="1:8">
      <c r="A334" s="40" t="str">
        <f>IF(OR(OR(IFERROR(FIND("交行",基本信息!BS334),0)&gt;0,IFERROR(FIND("交通银行",基本信息!BS334),0)&gt;0),计算结果!BT334=0),"",基本信息!BR334)</f>
        <v/>
      </c>
      <c r="B334" s="40" t="str">
        <f>IF($A334="","",基本信息!BQ334)</f>
        <v/>
      </c>
      <c r="C334" s="50" t="str">
        <f>IF($A334="","",计算结果!BT334-G334-H334)</f>
        <v/>
      </c>
      <c r="D334" s="40" t="str">
        <f>IF($A334="","",基本信息!BS334)</f>
        <v/>
      </c>
      <c r="F334" s="40" t="str">
        <f>IF($A334="","",基本信息!A334)</f>
        <v/>
      </c>
      <c r="G334" s="50" t="str">
        <f>IF($A334="","",计算结果!BI334+计算结果!BJ334)</f>
        <v/>
      </c>
      <c r="H334" s="50" t="str">
        <f>IF($A334="","",计算结果!BK334)</f>
        <v/>
      </c>
    </row>
    <row r="335" spans="1:8">
      <c r="A335" s="40" t="str">
        <f>IF(OR(OR(IFERROR(FIND("交行",基本信息!BS335),0)&gt;0,IFERROR(FIND("交通银行",基本信息!BS335),0)&gt;0),计算结果!BT335=0),"",基本信息!BR335)</f>
        <v/>
      </c>
      <c r="B335" s="40" t="str">
        <f>IF($A335="","",基本信息!BQ335)</f>
        <v/>
      </c>
      <c r="C335" s="50" t="str">
        <f>IF($A335="","",计算结果!BT335-G335-H335)</f>
        <v/>
      </c>
      <c r="D335" s="40" t="str">
        <f>IF($A335="","",基本信息!BS335)</f>
        <v/>
      </c>
      <c r="F335" s="40" t="str">
        <f>IF($A335="","",基本信息!A335)</f>
        <v/>
      </c>
      <c r="G335" s="50" t="str">
        <f>IF($A335="","",计算结果!BI335+计算结果!BJ335)</f>
        <v/>
      </c>
      <c r="H335" s="50" t="str">
        <f>IF($A335="","",计算结果!BK335)</f>
        <v/>
      </c>
    </row>
    <row r="336" spans="1:8">
      <c r="A336" s="40" t="str">
        <f>IF(OR(OR(IFERROR(FIND("交行",基本信息!BS336),0)&gt;0,IFERROR(FIND("交通银行",基本信息!BS336),0)&gt;0),计算结果!BT336=0),"",基本信息!BR336)</f>
        <v/>
      </c>
      <c r="B336" s="40" t="str">
        <f>IF($A336="","",基本信息!BQ336)</f>
        <v/>
      </c>
      <c r="C336" s="50" t="str">
        <f>IF($A336="","",计算结果!BT336-G336-H336)</f>
        <v/>
      </c>
      <c r="D336" s="40" t="str">
        <f>IF($A336="","",基本信息!BS336)</f>
        <v/>
      </c>
      <c r="F336" s="40" t="str">
        <f>IF($A336="","",基本信息!A336)</f>
        <v/>
      </c>
      <c r="G336" s="50" t="str">
        <f>IF($A336="","",计算结果!BI336+计算结果!BJ336)</f>
        <v/>
      </c>
      <c r="H336" s="50" t="str">
        <f>IF($A336="","",计算结果!BK336)</f>
        <v/>
      </c>
    </row>
    <row r="337" spans="1:8">
      <c r="A337" s="40" t="str">
        <f>IF(OR(OR(IFERROR(FIND("交行",基本信息!BS337),0)&gt;0,IFERROR(FIND("交通银行",基本信息!BS337),0)&gt;0),计算结果!BT337=0),"",基本信息!BR337)</f>
        <v/>
      </c>
      <c r="B337" s="40" t="str">
        <f>IF($A337="","",基本信息!BQ337)</f>
        <v/>
      </c>
      <c r="C337" s="50" t="str">
        <f>IF($A337="","",计算结果!BT337-G337-H337)</f>
        <v/>
      </c>
      <c r="D337" s="40" t="str">
        <f>IF($A337="","",基本信息!BS337)</f>
        <v/>
      </c>
      <c r="F337" s="40" t="str">
        <f>IF($A337="","",基本信息!A337)</f>
        <v/>
      </c>
      <c r="G337" s="50" t="str">
        <f>IF($A337="","",计算结果!BI337+计算结果!BJ337)</f>
        <v/>
      </c>
      <c r="H337" s="50" t="str">
        <f>IF($A337="","",计算结果!BK337)</f>
        <v/>
      </c>
    </row>
    <row r="338" spans="1:8">
      <c r="A338" s="40" t="str">
        <f>IF(OR(OR(IFERROR(FIND("交行",基本信息!BS338),0)&gt;0,IFERROR(FIND("交通银行",基本信息!BS338),0)&gt;0),计算结果!BT338=0),"",基本信息!BR338)</f>
        <v/>
      </c>
      <c r="B338" s="40" t="str">
        <f>IF($A338="","",基本信息!BQ338)</f>
        <v/>
      </c>
      <c r="C338" s="50" t="str">
        <f>IF($A338="","",计算结果!BT338-G338-H338)</f>
        <v/>
      </c>
      <c r="D338" s="40" t="str">
        <f>IF($A338="","",基本信息!BS338)</f>
        <v/>
      </c>
      <c r="F338" s="40" t="str">
        <f>IF($A338="","",基本信息!A338)</f>
        <v/>
      </c>
      <c r="G338" s="50" t="str">
        <f>IF($A338="","",计算结果!BI338+计算结果!BJ338)</f>
        <v/>
      </c>
      <c r="H338" s="50" t="str">
        <f>IF($A338="","",计算结果!BK338)</f>
        <v/>
      </c>
    </row>
    <row r="339" spans="1:8">
      <c r="A339" s="40" t="str">
        <f>IF(OR(OR(IFERROR(FIND("交行",基本信息!BS339),0)&gt;0,IFERROR(FIND("交通银行",基本信息!BS339),0)&gt;0),计算结果!BT339=0),"",基本信息!BR339)</f>
        <v/>
      </c>
      <c r="B339" s="40" t="str">
        <f>IF($A339="","",基本信息!BQ339)</f>
        <v/>
      </c>
      <c r="C339" s="50" t="str">
        <f>IF($A339="","",计算结果!BT339-G339-H339)</f>
        <v/>
      </c>
      <c r="D339" s="40" t="str">
        <f>IF($A339="","",基本信息!BS339)</f>
        <v/>
      </c>
      <c r="F339" s="40" t="str">
        <f>IF($A339="","",基本信息!A339)</f>
        <v/>
      </c>
      <c r="G339" s="50" t="str">
        <f>IF($A339="","",计算结果!BI339+计算结果!BJ339)</f>
        <v/>
      </c>
      <c r="H339" s="50" t="str">
        <f>IF($A339="","",计算结果!BK339)</f>
        <v/>
      </c>
    </row>
    <row r="340" spans="1:8">
      <c r="A340" s="40" t="str">
        <f>IF(OR(OR(IFERROR(FIND("交行",基本信息!BS340),0)&gt;0,IFERROR(FIND("交通银行",基本信息!BS340),0)&gt;0),计算结果!BT340=0),"",基本信息!BR340)</f>
        <v/>
      </c>
      <c r="B340" s="40" t="str">
        <f>IF($A340="","",基本信息!BQ340)</f>
        <v/>
      </c>
      <c r="C340" s="50" t="str">
        <f>IF($A340="","",计算结果!BT340-G340-H340)</f>
        <v/>
      </c>
      <c r="D340" s="40" t="str">
        <f>IF($A340="","",基本信息!BS340)</f>
        <v/>
      </c>
      <c r="F340" s="40" t="str">
        <f>IF($A340="","",基本信息!A340)</f>
        <v/>
      </c>
      <c r="G340" s="50" t="str">
        <f>IF($A340="","",计算结果!BI340+计算结果!BJ340)</f>
        <v/>
      </c>
      <c r="H340" s="50" t="str">
        <f>IF($A340="","",计算结果!BK340)</f>
        <v/>
      </c>
    </row>
    <row r="341" spans="1:8">
      <c r="A341" s="40" t="str">
        <f>IF(OR(OR(IFERROR(FIND("交行",基本信息!BS341),0)&gt;0,IFERROR(FIND("交通银行",基本信息!BS341),0)&gt;0),计算结果!BT341=0),"",基本信息!BR341)</f>
        <v/>
      </c>
      <c r="B341" s="40" t="str">
        <f>IF($A341="","",基本信息!BQ341)</f>
        <v/>
      </c>
      <c r="C341" s="50" t="str">
        <f>IF($A341="","",计算结果!BT341-G341-H341)</f>
        <v/>
      </c>
      <c r="D341" s="40" t="str">
        <f>IF($A341="","",基本信息!BS341)</f>
        <v/>
      </c>
      <c r="F341" s="40" t="str">
        <f>IF($A341="","",基本信息!A341)</f>
        <v/>
      </c>
      <c r="G341" s="50" t="str">
        <f>IF($A341="","",计算结果!BI341+计算结果!BJ341)</f>
        <v/>
      </c>
      <c r="H341" s="50" t="str">
        <f>IF($A341="","",计算结果!BK341)</f>
        <v/>
      </c>
    </row>
    <row r="342" spans="1:8">
      <c r="A342" s="40" t="str">
        <f>IF(OR(OR(IFERROR(FIND("交行",基本信息!BS342),0)&gt;0,IFERROR(FIND("交通银行",基本信息!BS342),0)&gt;0),计算结果!BT342=0),"",基本信息!BR342)</f>
        <v/>
      </c>
      <c r="B342" s="40" t="str">
        <f>IF($A342="","",基本信息!BQ342)</f>
        <v/>
      </c>
      <c r="C342" s="50" t="str">
        <f>IF($A342="","",计算结果!BT342-G342-H342)</f>
        <v/>
      </c>
      <c r="D342" s="40" t="str">
        <f>IF($A342="","",基本信息!BS342)</f>
        <v/>
      </c>
      <c r="F342" s="40" t="str">
        <f>IF($A342="","",基本信息!A342)</f>
        <v/>
      </c>
      <c r="G342" s="50" t="str">
        <f>IF($A342="","",计算结果!BI342+计算结果!BJ342)</f>
        <v/>
      </c>
      <c r="H342" s="50" t="str">
        <f>IF($A342="","",计算结果!BK342)</f>
        <v/>
      </c>
    </row>
    <row r="343" spans="1:8">
      <c r="A343" s="40" t="str">
        <f>IF(OR(OR(IFERROR(FIND("交行",基本信息!BS343),0)&gt;0,IFERROR(FIND("交通银行",基本信息!BS343),0)&gt;0),计算结果!BT343=0),"",基本信息!BR343)</f>
        <v/>
      </c>
      <c r="B343" s="40" t="str">
        <f>IF($A343="","",基本信息!BQ343)</f>
        <v/>
      </c>
      <c r="C343" s="50" t="str">
        <f>IF($A343="","",计算结果!BT343-G343-H343)</f>
        <v/>
      </c>
      <c r="D343" s="40" t="str">
        <f>IF($A343="","",基本信息!BS343)</f>
        <v/>
      </c>
      <c r="F343" s="40" t="str">
        <f>IF($A343="","",基本信息!A343)</f>
        <v/>
      </c>
      <c r="G343" s="50" t="str">
        <f>IF($A343="","",计算结果!BI343+计算结果!BJ343)</f>
        <v/>
      </c>
      <c r="H343" s="50" t="str">
        <f>IF($A343="","",计算结果!BK343)</f>
        <v/>
      </c>
    </row>
    <row r="344" spans="1:8">
      <c r="A344" s="40" t="str">
        <f>IF(OR(OR(IFERROR(FIND("交行",基本信息!BS344),0)&gt;0,IFERROR(FIND("交通银行",基本信息!BS344),0)&gt;0),计算结果!BT344=0),"",基本信息!BR344)</f>
        <v/>
      </c>
      <c r="B344" s="40" t="str">
        <f>IF($A344="","",基本信息!BQ344)</f>
        <v/>
      </c>
      <c r="C344" s="50" t="str">
        <f>IF($A344="","",计算结果!BT344-G344-H344)</f>
        <v/>
      </c>
      <c r="D344" s="40" t="str">
        <f>IF($A344="","",基本信息!BS344)</f>
        <v/>
      </c>
      <c r="F344" s="40" t="str">
        <f>IF($A344="","",基本信息!A344)</f>
        <v/>
      </c>
      <c r="G344" s="50" t="str">
        <f>IF($A344="","",计算结果!BI344+计算结果!BJ344)</f>
        <v/>
      </c>
      <c r="H344" s="50" t="str">
        <f>IF($A344="","",计算结果!BK344)</f>
        <v/>
      </c>
    </row>
    <row r="345" spans="1:8">
      <c r="A345" s="40" t="str">
        <f>IF(OR(OR(IFERROR(FIND("交行",基本信息!BS345),0)&gt;0,IFERROR(FIND("交通银行",基本信息!BS345),0)&gt;0),计算结果!BT345=0),"",基本信息!BR345)</f>
        <v/>
      </c>
      <c r="B345" s="40" t="str">
        <f>IF($A345="","",基本信息!BQ345)</f>
        <v/>
      </c>
      <c r="C345" s="50" t="str">
        <f>IF($A345="","",计算结果!BT345-G345-H345)</f>
        <v/>
      </c>
      <c r="D345" s="40" t="str">
        <f>IF($A345="","",基本信息!BS345)</f>
        <v/>
      </c>
      <c r="F345" s="40" t="str">
        <f>IF($A345="","",基本信息!A345)</f>
        <v/>
      </c>
      <c r="G345" s="50" t="str">
        <f>IF($A345="","",计算结果!BI345+计算结果!BJ345)</f>
        <v/>
      </c>
      <c r="H345" s="50" t="str">
        <f>IF($A345="","",计算结果!BK345)</f>
        <v/>
      </c>
    </row>
    <row r="346" spans="1:8">
      <c r="A346" s="40" t="str">
        <f>IF(OR(OR(IFERROR(FIND("交行",基本信息!BS346),0)&gt;0,IFERROR(FIND("交通银行",基本信息!BS346),0)&gt;0),计算结果!BT346=0),"",基本信息!BR346)</f>
        <v/>
      </c>
      <c r="B346" s="40" t="str">
        <f>IF($A346="","",基本信息!BQ346)</f>
        <v/>
      </c>
      <c r="C346" s="50" t="str">
        <f>IF($A346="","",计算结果!BT346-G346-H346)</f>
        <v/>
      </c>
      <c r="D346" s="40" t="str">
        <f>IF($A346="","",基本信息!BS346)</f>
        <v/>
      </c>
      <c r="F346" s="40" t="str">
        <f>IF($A346="","",基本信息!A346)</f>
        <v/>
      </c>
      <c r="G346" s="50" t="str">
        <f>IF($A346="","",计算结果!BI346+计算结果!BJ346)</f>
        <v/>
      </c>
      <c r="H346" s="50" t="str">
        <f>IF($A346="","",计算结果!BK346)</f>
        <v/>
      </c>
    </row>
    <row r="347" spans="1:8">
      <c r="A347" s="40" t="str">
        <f>IF(OR(OR(IFERROR(FIND("交行",基本信息!BS347),0)&gt;0,IFERROR(FIND("交通银行",基本信息!BS347),0)&gt;0),计算结果!BT347=0),"",基本信息!BR347)</f>
        <v/>
      </c>
      <c r="B347" s="40" t="str">
        <f>IF($A347="","",基本信息!BQ347)</f>
        <v/>
      </c>
      <c r="C347" s="50" t="str">
        <f>IF($A347="","",计算结果!BT347-G347-H347)</f>
        <v/>
      </c>
      <c r="D347" s="40" t="str">
        <f>IF($A347="","",基本信息!BS347)</f>
        <v/>
      </c>
      <c r="F347" s="40" t="str">
        <f>IF($A347="","",基本信息!A347)</f>
        <v/>
      </c>
      <c r="G347" s="50" t="str">
        <f>IF($A347="","",计算结果!BI347+计算结果!BJ347)</f>
        <v/>
      </c>
      <c r="H347" s="50" t="str">
        <f>IF($A347="","",计算结果!BK347)</f>
        <v/>
      </c>
    </row>
    <row r="348" spans="1:8">
      <c r="A348" s="40" t="str">
        <f>IF(OR(OR(IFERROR(FIND("交行",基本信息!BS348),0)&gt;0,IFERROR(FIND("交通银行",基本信息!BS348),0)&gt;0),计算结果!BT348=0),"",基本信息!BR348)</f>
        <v/>
      </c>
      <c r="B348" s="40" t="str">
        <f>IF($A348="","",基本信息!BQ348)</f>
        <v/>
      </c>
      <c r="C348" s="50" t="str">
        <f>IF($A348="","",计算结果!BT348-G348-H348)</f>
        <v/>
      </c>
      <c r="D348" s="40" t="str">
        <f>IF($A348="","",基本信息!BS348)</f>
        <v/>
      </c>
      <c r="F348" s="40" t="str">
        <f>IF($A348="","",基本信息!A348)</f>
        <v/>
      </c>
      <c r="G348" s="50" t="str">
        <f>IF($A348="","",计算结果!BI348+计算结果!BJ348)</f>
        <v/>
      </c>
      <c r="H348" s="50" t="str">
        <f>IF($A348="","",计算结果!BK348)</f>
        <v/>
      </c>
    </row>
    <row r="349" spans="1:8">
      <c r="A349" s="40" t="str">
        <f>IF(OR(OR(IFERROR(FIND("交行",基本信息!BS349),0)&gt;0,IFERROR(FIND("交通银行",基本信息!BS349),0)&gt;0),计算结果!BT349=0),"",基本信息!BR349)</f>
        <v/>
      </c>
      <c r="B349" s="40" t="str">
        <f>IF($A349="","",基本信息!BQ349)</f>
        <v/>
      </c>
      <c r="C349" s="50" t="str">
        <f>IF($A349="","",计算结果!BT349-G349-H349)</f>
        <v/>
      </c>
      <c r="D349" s="40" t="str">
        <f>IF($A349="","",基本信息!BS349)</f>
        <v/>
      </c>
      <c r="F349" s="40" t="str">
        <f>IF($A349="","",基本信息!A349)</f>
        <v/>
      </c>
      <c r="G349" s="50" t="str">
        <f>IF($A349="","",计算结果!BI349+计算结果!BJ349)</f>
        <v/>
      </c>
      <c r="H349" s="50" t="str">
        <f>IF($A349="","",计算结果!BK349)</f>
        <v/>
      </c>
    </row>
    <row r="350" spans="1:8">
      <c r="A350" s="40" t="str">
        <f>IF(OR(OR(IFERROR(FIND("交行",基本信息!BS350),0)&gt;0,IFERROR(FIND("交通银行",基本信息!BS350),0)&gt;0),计算结果!BT350=0),"",基本信息!BR350)</f>
        <v/>
      </c>
      <c r="B350" s="40" t="str">
        <f>IF($A350="","",基本信息!BQ350)</f>
        <v/>
      </c>
      <c r="C350" s="50" t="str">
        <f>IF($A350="","",计算结果!BT350-G350-H350)</f>
        <v/>
      </c>
      <c r="D350" s="40" t="str">
        <f>IF($A350="","",基本信息!BS350)</f>
        <v/>
      </c>
      <c r="F350" s="40" t="str">
        <f>IF($A350="","",基本信息!A350)</f>
        <v/>
      </c>
      <c r="G350" s="50" t="str">
        <f>IF($A350="","",计算结果!BI350+计算结果!BJ350)</f>
        <v/>
      </c>
      <c r="H350" s="50" t="str">
        <f>IF($A350="","",计算结果!BK350)</f>
        <v/>
      </c>
    </row>
    <row r="351" spans="1:8">
      <c r="A351" s="40" t="str">
        <f>IF(OR(OR(IFERROR(FIND("交行",基本信息!BS351),0)&gt;0,IFERROR(FIND("交通银行",基本信息!BS351),0)&gt;0),计算结果!BT351=0),"",基本信息!BR351)</f>
        <v/>
      </c>
      <c r="B351" s="40" t="str">
        <f>IF($A351="","",基本信息!BQ351)</f>
        <v/>
      </c>
      <c r="C351" s="50" t="str">
        <f>IF($A351="","",计算结果!BT351-G351-H351)</f>
        <v/>
      </c>
      <c r="D351" s="40" t="str">
        <f>IF($A351="","",基本信息!BS351)</f>
        <v/>
      </c>
      <c r="F351" s="40" t="str">
        <f>IF($A351="","",基本信息!A351)</f>
        <v/>
      </c>
      <c r="G351" s="50" t="str">
        <f>IF($A351="","",计算结果!BI351+计算结果!BJ351)</f>
        <v/>
      </c>
      <c r="H351" s="50" t="str">
        <f>IF($A351="","",计算结果!BK351)</f>
        <v/>
      </c>
    </row>
    <row r="352" spans="1:8">
      <c r="A352" s="40" t="str">
        <f>IF(OR(OR(IFERROR(FIND("交行",基本信息!BS352),0)&gt;0,IFERROR(FIND("交通银行",基本信息!BS352),0)&gt;0),计算结果!BT352=0),"",基本信息!BR352)</f>
        <v/>
      </c>
      <c r="B352" s="40" t="str">
        <f>IF($A352="","",基本信息!BQ352)</f>
        <v/>
      </c>
      <c r="C352" s="50" t="str">
        <f>IF($A352="","",计算结果!BT352-G352-H352)</f>
        <v/>
      </c>
      <c r="D352" s="40" t="str">
        <f>IF($A352="","",基本信息!BS352)</f>
        <v/>
      </c>
      <c r="F352" s="40" t="str">
        <f>IF($A352="","",基本信息!A352)</f>
        <v/>
      </c>
      <c r="G352" s="50" t="str">
        <f>IF($A352="","",计算结果!BI352+计算结果!BJ352)</f>
        <v/>
      </c>
      <c r="H352" s="50" t="str">
        <f>IF($A352="","",计算结果!BK352)</f>
        <v/>
      </c>
    </row>
    <row r="353" spans="1:8">
      <c r="A353" s="40" t="str">
        <f>IF(OR(OR(IFERROR(FIND("交行",基本信息!BS353),0)&gt;0,IFERROR(FIND("交通银行",基本信息!BS353),0)&gt;0),计算结果!BT353=0),"",基本信息!BR353)</f>
        <v/>
      </c>
      <c r="B353" s="40" t="str">
        <f>IF($A353="","",基本信息!BQ353)</f>
        <v/>
      </c>
      <c r="C353" s="50" t="str">
        <f>IF($A353="","",计算结果!BT353-G353-H353)</f>
        <v/>
      </c>
      <c r="D353" s="40" t="str">
        <f>IF($A353="","",基本信息!BS353)</f>
        <v/>
      </c>
      <c r="F353" s="40" t="str">
        <f>IF($A353="","",基本信息!A353)</f>
        <v/>
      </c>
      <c r="G353" s="50" t="str">
        <f>IF($A353="","",计算结果!BI353+计算结果!BJ353)</f>
        <v/>
      </c>
      <c r="H353" s="50" t="str">
        <f>IF($A353="","",计算结果!BK353)</f>
        <v/>
      </c>
    </row>
    <row r="354" spans="1:8">
      <c r="A354" s="40" t="str">
        <f>IF(OR(OR(IFERROR(FIND("交行",基本信息!BS354),0)&gt;0,IFERROR(FIND("交通银行",基本信息!BS354),0)&gt;0),计算结果!BT354=0),"",基本信息!BR354)</f>
        <v/>
      </c>
      <c r="B354" s="40" t="str">
        <f>IF($A354="","",基本信息!BQ354)</f>
        <v/>
      </c>
      <c r="C354" s="50" t="str">
        <f>IF($A354="","",计算结果!BT354-G354-H354)</f>
        <v/>
      </c>
      <c r="D354" s="40" t="str">
        <f>IF($A354="","",基本信息!BS354)</f>
        <v/>
      </c>
      <c r="F354" s="40" t="str">
        <f>IF($A354="","",基本信息!A354)</f>
        <v/>
      </c>
      <c r="G354" s="50" t="str">
        <f>IF($A354="","",计算结果!BI354+计算结果!BJ354)</f>
        <v/>
      </c>
      <c r="H354" s="50" t="str">
        <f>IF($A354="","",计算结果!BK354)</f>
        <v/>
      </c>
    </row>
    <row r="355" spans="1:8">
      <c r="A355" s="40" t="str">
        <f>IF(OR(OR(IFERROR(FIND("交行",基本信息!BS355),0)&gt;0,IFERROR(FIND("交通银行",基本信息!BS355),0)&gt;0),计算结果!BT355=0),"",基本信息!BR355)</f>
        <v/>
      </c>
      <c r="B355" s="40" t="str">
        <f>IF($A355="","",基本信息!BQ355)</f>
        <v/>
      </c>
      <c r="C355" s="50" t="str">
        <f>IF($A355="","",计算结果!BT355-G355-H355)</f>
        <v/>
      </c>
      <c r="D355" s="40" t="str">
        <f>IF($A355="","",基本信息!BS355)</f>
        <v/>
      </c>
      <c r="F355" s="40" t="str">
        <f>IF($A355="","",基本信息!A355)</f>
        <v/>
      </c>
      <c r="G355" s="50" t="str">
        <f>IF($A355="","",计算结果!BI355+计算结果!BJ355)</f>
        <v/>
      </c>
      <c r="H355" s="50" t="str">
        <f>IF($A355="","",计算结果!BK355)</f>
        <v/>
      </c>
    </row>
    <row r="356" spans="1:8">
      <c r="A356" s="40" t="str">
        <f>IF(OR(OR(IFERROR(FIND("交行",基本信息!BS356),0)&gt;0,IFERROR(FIND("交通银行",基本信息!BS356),0)&gt;0),计算结果!BT356=0),"",基本信息!BR356)</f>
        <v/>
      </c>
      <c r="B356" s="40" t="str">
        <f>IF($A356="","",基本信息!BQ356)</f>
        <v/>
      </c>
      <c r="C356" s="50" t="str">
        <f>IF($A356="","",计算结果!BT356-G356-H356)</f>
        <v/>
      </c>
      <c r="D356" s="40" t="str">
        <f>IF($A356="","",基本信息!BS356)</f>
        <v/>
      </c>
      <c r="F356" s="40" t="str">
        <f>IF($A356="","",基本信息!A356)</f>
        <v/>
      </c>
      <c r="G356" s="50" t="str">
        <f>IF($A356="","",计算结果!BI356+计算结果!BJ356)</f>
        <v/>
      </c>
      <c r="H356" s="50" t="str">
        <f>IF($A356="","",计算结果!BK356)</f>
        <v/>
      </c>
    </row>
    <row r="357" spans="1:8">
      <c r="A357" s="40" t="str">
        <f>IF(OR(OR(IFERROR(FIND("交行",基本信息!BS357),0)&gt;0,IFERROR(FIND("交通银行",基本信息!BS357),0)&gt;0),计算结果!BT357=0),"",基本信息!BR357)</f>
        <v/>
      </c>
      <c r="B357" s="40" t="str">
        <f>IF($A357="","",基本信息!BQ357)</f>
        <v/>
      </c>
      <c r="C357" s="50" t="str">
        <f>IF($A357="","",计算结果!BT357-G357-H357)</f>
        <v/>
      </c>
      <c r="D357" s="40" t="str">
        <f>IF($A357="","",基本信息!BS357)</f>
        <v/>
      </c>
      <c r="F357" s="40" t="str">
        <f>IF($A357="","",基本信息!A357)</f>
        <v/>
      </c>
      <c r="G357" s="50" t="str">
        <f>IF($A357="","",计算结果!BI357+计算结果!BJ357)</f>
        <v/>
      </c>
      <c r="H357" s="50" t="str">
        <f>IF($A357="","",计算结果!BK357)</f>
        <v/>
      </c>
    </row>
    <row r="358" spans="1:8">
      <c r="A358" s="40" t="str">
        <f>IF(OR(OR(IFERROR(FIND("交行",基本信息!BS358),0)&gt;0,IFERROR(FIND("交通银行",基本信息!BS358),0)&gt;0),计算结果!BT358=0),"",基本信息!BR358)</f>
        <v/>
      </c>
      <c r="B358" s="40" t="str">
        <f>IF($A358="","",基本信息!BQ358)</f>
        <v/>
      </c>
      <c r="C358" s="50" t="str">
        <f>IF($A358="","",计算结果!BT358-G358-H358)</f>
        <v/>
      </c>
      <c r="D358" s="40" t="str">
        <f>IF($A358="","",基本信息!BS358)</f>
        <v/>
      </c>
      <c r="F358" s="40" t="str">
        <f>IF($A358="","",基本信息!A358)</f>
        <v/>
      </c>
      <c r="G358" s="50" t="str">
        <f>IF($A358="","",计算结果!BI358+计算结果!BJ358)</f>
        <v/>
      </c>
      <c r="H358" s="50" t="str">
        <f>IF($A358="","",计算结果!BK358)</f>
        <v/>
      </c>
    </row>
    <row r="359" spans="1:8">
      <c r="A359" s="40" t="str">
        <f>IF(OR(OR(IFERROR(FIND("交行",基本信息!BS359),0)&gt;0,IFERROR(FIND("交通银行",基本信息!BS359),0)&gt;0),计算结果!BT359=0),"",基本信息!BR359)</f>
        <v/>
      </c>
      <c r="B359" s="40" t="str">
        <f>IF($A359="","",基本信息!BQ359)</f>
        <v/>
      </c>
      <c r="C359" s="50" t="str">
        <f>IF($A359="","",计算结果!BT359-G359-H359)</f>
        <v/>
      </c>
      <c r="D359" s="40" t="str">
        <f>IF($A359="","",基本信息!BS359)</f>
        <v/>
      </c>
      <c r="F359" s="40" t="str">
        <f>IF($A359="","",基本信息!A359)</f>
        <v/>
      </c>
      <c r="G359" s="50" t="str">
        <f>IF($A359="","",计算结果!BI359+计算结果!BJ359)</f>
        <v/>
      </c>
      <c r="H359" s="50" t="str">
        <f>IF($A359="","",计算结果!BK359)</f>
        <v/>
      </c>
    </row>
    <row r="360" spans="1:8">
      <c r="A360" s="40" t="str">
        <f>IF(OR(OR(IFERROR(FIND("交行",基本信息!BS360),0)&gt;0,IFERROR(FIND("交通银行",基本信息!BS360),0)&gt;0),计算结果!BT360=0),"",基本信息!BR360)</f>
        <v/>
      </c>
      <c r="B360" s="40" t="str">
        <f>IF($A360="","",基本信息!BQ360)</f>
        <v/>
      </c>
      <c r="C360" s="50" t="str">
        <f>IF($A360="","",计算结果!BT360-G360-H360)</f>
        <v/>
      </c>
      <c r="D360" s="40" t="str">
        <f>IF($A360="","",基本信息!BS360)</f>
        <v/>
      </c>
      <c r="F360" s="40" t="str">
        <f>IF($A360="","",基本信息!A360)</f>
        <v/>
      </c>
      <c r="G360" s="50" t="str">
        <f>IF($A360="","",计算结果!BI360+计算结果!BJ360)</f>
        <v/>
      </c>
      <c r="H360" s="50" t="str">
        <f>IF($A360="","",计算结果!BK360)</f>
        <v/>
      </c>
    </row>
    <row r="361" spans="1:8">
      <c r="A361" s="40" t="str">
        <f>IF(OR(OR(IFERROR(FIND("交行",基本信息!BS361),0)&gt;0,IFERROR(FIND("交通银行",基本信息!BS361),0)&gt;0),计算结果!BT361=0),"",基本信息!BR361)</f>
        <v/>
      </c>
      <c r="B361" s="40" t="str">
        <f>IF($A361="","",基本信息!BQ361)</f>
        <v/>
      </c>
      <c r="C361" s="50" t="str">
        <f>IF($A361="","",计算结果!BT361-G361-H361)</f>
        <v/>
      </c>
      <c r="D361" s="40" t="str">
        <f>IF($A361="","",基本信息!BS361)</f>
        <v/>
      </c>
      <c r="F361" s="40" t="str">
        <f>IF($A361="","",基本信息!A361)</f>
        <v/>
      </c>
      <c r="G361" s="50" t="str">
        <f>IF($A361="","",计算结果!BI361+计算结果!BJ361)</f>
        <v/>
      </c>
      <c r="H361" s="50" t="str">
        <f>IF($A361="","",计算结果!BK361)</f>
        <v/>
      </c>
    </row>
    <row r="362" spans="1:8">
      <c r="A362" s="40" t="str">
        <f>IF(OR(OR(IFERROR(FIND("交行",基本信息!BS362),0)&gt;0,IFERROR(FIND("交通银行",基本信息!BS362),0)&gt;0),计算结果!BT362=0),"",基本信息!BR362)</f>
        <v/>
      </c>
      <c r="B362" s="40" t="str">
        <f>IF($A362="","",基本信息!BQ362)</f>
        <v/>
      </c>
      <c r="C362" s="50" t="str">
        <f>IF($A362="","",计算结果!BT362-G362-H362)</f>
        <v/>
      </c>
      <c r="D362" s="40" t="str">
        <f>IF($A362="","",基本信息!BS362)</f>
        <v/>
      </c>
      <c r="F362" s="40" t="str">
        <f>IF($A362="","",基本信息!A362)</f>
        <v/>
      </c>
      <c r="G362" s="50" t="str">
        <f>IF($A362="","",计算结果!BI362+计算结果!BJ362)</f>
        <v/>
      </c>
      <c r="H362" s="50" t="str">
        <f>IF($A362="","",计算结果!BK362)</f>
        <v/>
      </c>
    </row>
    <row r="363" spans="1:8">
      <c r="A363" s="40" t="str">
        <f>IF(OR(OR(IFERROR(FIND("交行",基本信息!BS363),0)&gt;0,IFERROR(FIND("交通银行",基本信息!BS363),0)&gt;0),计算结果!BT363=0),"",基本信息!BR363)</f>
        <v/>
      </c>
      <c r="B363" s="40" t="str">
        <f>IF($A363="","",基本信息!BQ363)</f>
        <v/>
      </c>
      <c r="C363" s="50" t="str">
        <f>IF($A363="","",计算结果!BT363-G363-H363)</f>
        <v/>
      </c>
      <c r="D363" s="40" t="str">
        <f>IF($A363="","",基本信息!BS363)</f>
        <v/>
      </c>
      <c r="F363" s="40" t="str">
        <f>IF($A363="","",基本信息!A363)</f>
        <v/>
      </c>
      <c r="G363" s="50" t="str">
        <f>IF($A363="","",计算结果!BI363+计算结果!BJ363)</f>
        <v/>
      </c>
      <c r="H363" s="50" t="str">
        <f>IF($A363="","",计算结果!BK363)</f>
        <v/>
      </c>
    </row>
    <row r="364" spans="1:8">
      <c r="A364" s="40" t="str">
        <f>IF(OR(OR(IFERROR(FIND("交行",基本信息!BS364),0)&gt;0,IFERROR(FIND("交通银行",基本信息!BS364),0)&gt;0),计算结果!BT364=0),"",基本信息!BR364)</f>
        <v/>
      </c>
      <c r="B364" s="40" t="str">
        <f>IF($A364="","",基本信息!BQ364)</f>
        <v/>
      </c>
      <c r="C364" s="50" t="str">
        <f>IF($A364="","",计算结果!BT364-G364-H364)</f>
        <v/>
      </c>
      <c r="D364" s="40" t="str">
        <f>IF($A364="","",基本信息!BS364)</f>
        <v/>
      </c>
      <c r="F364" s="40" t="str">
        <f>IF($A364="","",基本信息!A364)</f>
        <v/>
      </c>
      <c r="G364" s="50" t="str">
        <f>IF($A364="","",计算结果!BI364+计算结果!BJ364)</f>
        <v/>
      </c>
      <c r="H364" s="50" t="str">
        <f>IF($A364="","",计算结果!BK364)</f>
        <v/>
      </c>
    </row>
    <row r="365" spans="1:8">
      <c r="A365" s="40" t="str">
        <f>IF(OR(OR(IFERROR(FIND("交行",基本信息!BS365),0)&gt;0,IFERROR(FIND("交通银行",基本信息!BS365),0)&gt;0),计算结果!BT365=0),"",基本信息!BR365)</f>
        <v/>
      </c>
      <c r="B365" s="40" t="str">
        <f>IF($A365="","",基本信息!BQ365)</f>
        <v/>
      </c>
      <c r="C365" s="50" t="str">
        <f>IF($A365="","",计算结果!BT365-G365-H365)</f>
        <v/>
      </c>
      <c r="D365" s="40" t="str">
        <f>IF($A365="","",基本信息!BS365)</f>
        <v/>
      </c>
      <c r="F365" s="40" t="str">
        <f>IF($A365="","",基本信息!A365)</f>
        <v/>
      </c>
      <c r="G365" s="50" t="str">
        <f>IF($A365="","",计算结果!BI365+计算结果!BJ365)</f>
        <v/>
      </c>
      <c r="H365" s="50" t="str">
        <f>IF($A365="","",计算结果!BK365)</f>
        <v/>
      </c>
    </row>
    <row r="366" spans="1:8">
      <c r="A366" s="40" t="str">
        <f>IF(OR(OR(IFERROR(FIND("交行",基本信息!BS366),0)&gt;0,IFERROR(FIND("交通银行",基本信息!BS366),0)&gt;0),计算结果!BT366=0),"",基本信息!BR366)</f>
        <v/>
      </c>
      <c r="B366" s="40" t="str">
        <f>IF($A366="","",基本信息!BQ366)</f>
        <v/>
      </c>
      <c r="C366" s="50" t="str">
        <f>IF($A366="","",计算结果!BT366-G366-H366)</f>
        <v/>
      </c>
      <c r="D366" s="40" t="str">
        <f>IF($A366="","",基本信息!BS366)</f>
        <v/>
      </c>
      <c r="F366" s="40" t="str">
        <f>IF($A366="","",基本信息!A366)</f>
        <v/>
      </c>
      <c r="G366" s="50" t="str">
        <f>IF($A366="","",计算结果!BI366+计算结果!BJ366)</f>
        <v/>
      </c>
      <c r="H366" s="50" t="str">
        <f>IF($A366="","",计算结果!BK366)</f>
        <v/>
      </c>
    </row>
    <row r="367" spans="1:8">
      <c r="A367" s="40" t="str">
        <f>IF(OR(OR(IFERROR(FIND("交行",基本信息!BS367),0)&gt;0,IFERROR(FIND("交通银行",基本信息!BS367),0)&gt;0),计算结果!BT367=0),"",基本信息!BR367)</f>
        <v/>
      </c>
      <c r="B367" s="40" t="str">
        <f>IF($A367="","",基本信息!BQ367)</f>
        <v/>
      </c>
      <c r="C367" s="50" t="str">
        <f>IF($A367="","",计算结果!BT367-G367-H367)</f>
        <v/>
      </c>
      <c r="D367" s="40" t="str">
        <f>IF($A367="","",基本信息!BS367)</f>
        <v/>
      </c>
      <c r="F367" s="40" t="str">
        <f>IF($A367="","",基本信息!A367)</f>
        <v/>
      </c>
      <c r="G367" s="50" t="str">
        <f>IF($A367="","",计算结果!BI367+计算结果!BJ367)</f>
        <v/>
      </c>
      <c r="H367" s="50" t="str">
        <f>IF($A367="","",计算结果!BK367)</f>
        <v/>
      </c>
    </row>
    <row r="368" spans="1:8">
      <c r="A368" s="40" t="str">
        <f>IF(OR(OR(IFERROR(FIND("交行",基本信息!BS368),0)&gt;0,IFERROR(FIND("交通银行",基本信息!BS368),0)&gt;0),计算结果!BT368=0),"",基本信息!BR368)</f>
        <v/>
      </c>
      <c r="B368" s="40" t="str">
        <f>IF($A368="","",基本信息!BQ368)</f>
        <v/>
      </c>
      <c r="C368" s="50" t="str">
        <f>IF($A368="","",计算结果!BT368-G368-H368)</f>
        <v/>
      </c>
      <c r="D368" s="40" t="str">
        <f>IF($A368="","",基本信息!BS368)</f>
        <v/>
      </c>
      <c r="F368" s="40" t="str">
        <f>IF($A368="","",基本信息!A368)</f>
        <v/>
      </c>
      <c r="G368" s="50" t="str">
        <f>IF($A368="","",计算结果!BI368+计算结果!BJ368)</f>
        <v/>
      </c>
      <c r="H368" s="50" t="str">
        <f>IF($A368="","",计算结果!BK368)</f>
        <v/>
      </c>
    </row>
    <row r="369" spans="1:8">
      <c r="A369" s="40" t="str">
        <f>IF(OR(OR(IFERROR(FIND("交行",基本信息!BS369),0)&gt;0,IFERROR(FIND("交通银行",基本信息!BS369),0)&gt;0),计算结果!BT369=0),"",基本信息!BR369)</f>
        <v/>
      </c>
      <c r="B369" s="40" t="str">
        <f>IF($A369="","",基本信息!BQ369)</f>
        <v/>
      </c>
      <c r="C369" s="50" t="str">
        <f>IF($A369="","",计算结果!BT369-G369-H369)</f>
        <v/>
      </c>
      <c r="D369" s="40" t="str">
        <f>IF($A369="","",基本信息!BS369)</f>
        <v/>
      </c>
      <c r="F369" s="40" t="str">
        <f>IF($A369="","",基本信息!A369)</f>
        <v/>
      </c>
      <c r="G369" s="50" t="str">
        <f>IF($A369="","",计算结果!BI369+计算结果!BJ369)</f>
        <v/>
      </c>
      <c r="H369" s="50" t="str">
        <f>IF($A369="","",计算结果!BK369)</f>
        <v/>
      </c>
    </row>
    <row r="370" spans="1:8">
      <c r="A370" s="40" t="str">
        <f>IF(OR(OR(IFERROR(FIND("交行",基本信息!BS370),0)&gt;0,IFERROR(FIND("交通银行",基本信息!BS370),0)&gt;0),计算结果!BT370=0),"",基本信息!BR370)</f>
        <v/>
      </c>
      <c r="B370" s="40" t="str">
        <f>IF($A370="","",基本信息!BQ370)</f>
        <v/>
      </c>
      <c r="C370" s="50" t="str">
        <f>IF($A370="","",计算结果!BT370-G370-H370)</f>
        <v/>
      </c>
      <c r="D370" s="40" t="str">
        <f>IF($A370="","",基本信息!BS370)</f>
        <v/>
      </c>
      <c r="F370" s="40" t="str">
        <f>IF($A370="","",基本信息!A370)</f>
        <v/>
      </c>
      <c r="G370" s="50" t="str">
        <f>IF($A370="","",计算结果!BI370+计算结果!BJ370)</f>
        <v/>
      </c>
      <c r="H370" s="50" t="str">
        <f>IF($A370="","",计算结果!BK370)</f>
        <v/>
      </c>
    </row>
    <row r="371" spans="1:8">
      <c r="A371" s="40" t="str">
        <f>IF(OR(OR(IFERROR(FIND("交行",基本信息!BS371),0)&gt;0,IFERROR(FIND("交通银行",基本信息!BS371),0)&gt;0),计算结果!BT371=0),"",基本信息!BR371)</f>
        <v/>
      </c>
      <c r="B371" s="40" t="str">
        <f>IF($A371="","",基本信息!BQ371)</f>
        <v/>
      </c>
      <c r="C371" s="50" t="str">
        <f>IF($A371="","",计算结果!BT371-G371-H371)</f>
        <v/>
      </c>
      <c r="D371" s="40" t="str">
        <f>IF($A371="","",基本信息!BS371)</f>
        <v/>
      </c>
      <c r="F371" s="40" t="str">
        <f>IF($A371="","",基本信息!A371)</f>
        <v/>
      </c>
      <c r="G371" s="50" t="str">
        <f>IF($A371="","",计算结果!BI371+计算结果!BJ371)</f>
        <v/>
      </c>
      <c r="H371" s="50" t="str">
        <f>IF($A371="","",计算结果!BK371)</f>
        <v/>
      </c>
    </row>
    <row r="372" spans="1:8">
      <c r="A372" s="40" t="str">
        <f>IF(OR(OR(IFERROR(FIND("交行",基本信息!BS372),0)&gt;0,IFERROR(FIND("交通银行",基本信息!BS372),0)&gt;0),计算结果!BT372=0),"",基本信息!BR372)</f>
        <v/>
      </c>
      <c r="B372" s="40" t="str">
        <f>IF($A372="","",基本信息!BQ372)</f>
        <v/>
      </c>
      <c r="C372" s="50" t="str">
        <f>IF($A372="","",计算结果!BT372-G372-H372)</f>
        <v/>
      </c>
      <c r="D372" s="40" t="str">
        <f>IF($A372="","",基本信息!BS372)</f>
        <v/>
      </c>
      <c r="F372" s="40" t="str">
        <f>IF($A372="","",基本信息!A372)</f>
        <v/>
      </c>
      <c r="G372" s="50" t="str">
        <f>IF($A372="","",计算结果!BI372+计算结果!BJ372)</f>
        <v/>
      </c>
      <c r="H372" s="50" t="str">
        <f>IF($A372="","",计算结果!BK372)</f>
        <v/>
      </c>
    </row>
    <row r="373" spans="1:8">
      <c r="A373" s="40" t="str">
        <f>IF(OR(OR(IFERROR(FIND("交行",基本信息!BS373),0)&gt;0,IFERROR(FIND("交通银行",基本信息!BS373),0)&gt;0),计算结果!BT373=0),"",基本信息!BR373)</f>
        <v/>
      </c>
      <c r="B373" s="40" t="str">
        <f>IF($A373="","",基本信息!BQ373)</f>
        <v/>
      </c>
      <c r="C373" s="50" t="str">
        <f>IF($A373="","",计算结果!BT373-G373-H373)</f>
        <v/>
      </c>
      <c r="D373" s="40" t="str">
        <f>IF($A373="","",基本信息!BS373)</f>
        <v/>
      </c>
      <c r="F373" s="40" t="str">
        <f>IF($A373="","",基本信息!A373)</f>
        <v/>
      </c>
      <c r="G373" s="50" t="str">
        <f>IF($A373="","",计算结果!BI373+计算结果!BJ373)</f>
        <v/>
      </c>
      <c r="H373" s="50" t="str">
        <f>IF($A373="","",计算结果!BK373)</f>
        <v/>
      </c>
    </row>
    <row r="374" spans="1:8">
      <c r="A374" s="40" t="str">
        <f>IF(OR(OR(IFERROR(FIND("交行",基本信息!BS374),0)&gt;0,IFERROR(FIND("交通银行",基本信息!BS374),0)&gt;0),计算结果!BT374=0),"",基本信息!BR374)</f>
        <v/>
      </c>
      <c r="B374" s="40" t="str">
        <f>IF($A374="","",基本信息!BQ374)</f>
        <v/>
      </c>
      <c r="C374" s="50" t="str">
        <f>IF($A374="","",计算结果!BT374-G374-H374)</f>
        <v/>
      </c>
      <c r="D374" s="40" t="str">
        <f>IF($A374="","",基本信息!BS374)</f>
        <v/>
      </c>
      <c r="F374" s="40" t="str">
        <f>IF($A374="","",基本信息!A374)</f>
        <v/>
      </c>
      <c r="G374" s="50" t="str">
        <f>IF($A374="","",计算结果!BI374+计算结果!BJ374)</f>
        <v/>
      </c>
      <c r="H374" s="50" t="str">
        <f>IF($A374="","",计算结果!BK374)</f>
        <v/>
      </c>
    </row>
    <row r="375" spans="1:8">
      <c r="A375" s="40" t="str">
        <f>IF(OR(OR(IFERROR(FIND("交行",基本信息!BS375),0)&gt;0,IFERROR(FIND("交通银行",基本信息!BS375),0)&gt;0),计算结果!BT375=0),"",基本信息!BR375)</f>
        <v/>
      </c>
      <c r="B375" s="40" t="str">
        <f>IF($A375="","",基本信息!BQ375)</f>
        <v/>
      </c>
      <c r="C375" s="50" t="str">
        <f>IF($A375="","",计算结果!BT375-G375-H375)</f>
        <v/>
      </c>
      <c r="D375" s="40" t="str">
        <f>IF($A375="","",基本信息!BS375)</f>
        <v/>
      </c>
      <c r="F375" s="40" t="str">
        <f>IF($A375="","",基本信息!A375)</f>
        <v/>
      </c>
      <c r="G375" s="50" t="str">
        <f>IF($A375="","",计算结果!BI375+计算结果!BJ375)</f>
        <v/>
      </c>
      <c r="H375" s="50" t="str">
        <f>IF($A375="","",计算结果!BK375)</f>
        <v/>
      </c>
    </row>
    <row r="376" spans="1:8">
      <c r="A376" s="40" t="str">
        <f>IF(OR(OR(IFERROR(FIND("交行",基本信息!BS376),0)&gt;0,IFERROR(FIND("交通银行",基本信息!BS376),0)&gt;0),计算结果!BT376=0),"",基本信息!BR376)</f>
        <v/>
      </c>
      <c r="B376" s="40" t="str">
        <f>IF($A376="","",基本信息!BQ376)</f>
        <v/>
      </c>
      <c r="C376" s="50" t="str">
        <f>IF($A376="","",计算结果!BT376-G376-H376)</f>
        <v/>
      </c>
      <c r="D376" s="40" t="str">
        <f>IF($A376="","",基本信息!BS376)</f>
        <v/>
      </c>
      <c r="F376" s="40" t="str">
        <f>IF($A376="","",基本信息!A376)</f>
        <v/>
      </c>
      <c r="G376" s="50" t="str">
        <f>IF($A376="","",计算结果!BI376+计算结果!BJ376)</f>
        <v/>
      </c>
      <c r="H376" s="50" t="str">
        <f>IF($A376="","",计算结果!BK376)</f>
        <v/>
      </c>
    </row>
    <row r="377" spans="1:8">
      <c r="A377" s="40" t="str">
        <f>IF(OR(OR(IFERROR(FIND("交行",基本信息!BS377),0)&gt;0,IFERROR(FIND("交通银行",基本信息!BS377),0)&gt;0),计算结果!BT377=0),"",基本信息!BR377)</f>
        <v/>
      </c>
      <c r="B377" s="40" t="str">
        <f>IF($A377="","",基本信息!BQ377)</f>
        <v/>
      </c>
      <c r="C377" s="50" t="str">
        <f>IF($A377="","",计算结果!BT377-G377-H377)</f>
        <v/>
      </c>
      <c r="D377" s="40" t="str">
        <f>IF($A377="","",基本信息!BS377)</f>
        <v/>
      </c>
      <c r="F377" s="40" t="str">
        <f>IF($A377="","",基本信息!A377)</f>
        <v/>
      </c>
      <c r="G377" s="50" t="str">
        <f>IF($A377="","",计算结果!BI377+计算结果!BJ377)</f>
        <v/>
      </c>
      <c r="H377" s="50" t="str">
        <f>IF($A377="","",计算结果!BK377)</f>
        <v/>
      </c>
    </row>
    <row r="378" spans="1:8">
      <c r="A378" s="40" t="str">
        <f>IF(OR(OR(IFERROR(FIND("交行",基本信息!BS378),0)&gt;0,IFERROR(FIND("交通银行",基本信息!BS378),0)&gt;0),计算结果!BT378=0),"",基本信息!BR378)</f>
        <v/>
      </c>
      <c r="B378" s="40" t="str">
        <f>IF($A378="","",基本信息!BQ378)</f>
        <v/>
      </c>
      <c r="C378" s="50" t="str">
        <f>IF($A378="","",计算结果!BT378-G378-H378)</f>
        <v/>
      </c>
      <c r="D378" s="40" t="str">
        <f>IF($A378="","",基本信息!BS378)</f>
        <v/>
      </c>
      <c r="F378" s="40" t="str">
        <f>IF($A378="","",基本信息!A378)</f>
        <v/>
      </c>
      <c r="G378" s="50" t="str">
        <f>IF($A378="","",计算结果!BI378+计算结果!BJ378)</f>
        <v/>
      </c>
      <c r="H378" s="50" t="str">
        <f>IF($A378="","",计算结果!BK378)</f>
        <v/>
      </c>
    </row>
    <row r="379" spans="1:8">
      <c r="A379" s="40" t="str">
        <f>IF(OR(OR(IFERROR(FIND("交行",基本信息!BS379),0)&gt;0,IFERROR(FIND("交通银行",基本信息!BS379),0)&gt;0),计算结果!BT379=0),"",基本信息!BR379)</f>
        <v/>
      </c>
      <c r="B379" s="40" t="str">
        <f>IF($A379="","",基本信息!BQ379)</f>
        <v/>
      </c>
      <c r="C379" s="50" t="str">
        <f>IF($A379="","",计算结果!BT379-G379-H379)</f>
        <v/>
      </c>
      <c r="D379" s="40" t="str">
        <f>IF($A379="","",基本信息!BS379)</f>
        <v/>
      </c>
      <c r="F379" s="40" t="str">
        <f>IF($A379="","",基本信息!A379)</f>
        <v/>
      </c>
      <c r="G379" s="50" t="str">
        <f>IF($A379="","",计算结果!BI379+计算结果!BJ379)</f>
        <v/>
      </c>
      <c r="H379" s="50" t="str">
        <f>IF($A379="","",计算结果!BK379)</f>
        <v/>
      </c>
    </row>
    <row r="380" spans="1:8">
      <c r="A380" s="40" t="str">
        <f>IF(OR(OR(IFERROR(FIND("交行",基本信息!BS380),0)&gt;0,IFERROR(FIND("交通银行",基本信息!BS380),0)&gt;0),计算结果!BT380=0),"",基本信息!BR380)</f>
        <v/>
      </c>
      <c r="B380" s="40" t="str">
        <f>IF($A380="","",基本信息!BQ380)</f>
        <v/>
      </c>
      <c r="C380" s="50" t="str">
        <f>IF($A380="","",计算结果!BT380-G380-H380)</f>
        <v/>
      </c>
      <c r="D380" s="40" t="str">
        <f>IF($A380="","",基本信息!BS380)</f>
        <v/>
      </c>
      <c r="F380" s="40" t="str">
        <f>IF($A380="","",基本信息!A380)</f>
        <v/>
      </c>
      <c r="G380" s="50" t="str">
        <f>IF($A380="","",计算结果!BI380+计算结果!BJ380)</f>
        <v/>
      </c>
      <c r="H380" s="50" t="str">
        <f>IF($A380="","",计算结果!BK380)</f>
        <v/>
      </c>
    </row>
    <row r="381" spans="1:8">
      <c r="A381" s="40" t="str">
        <f>IF(OR(OR(IFERROR(FIND("交行",基本信息!BS381),0)&gt;0,IFERROR(FIND("交通银行",基本信息!BS381),0)&gt;0),计算结果!BT381=0),"",基本信息!BR381)</f>
        <v/>
      </c>
      <c r="B381" s="40" t="str">
        <f>IF($A381="","",基本信息!BQ381)</f>
        <v/>
      </c>
      <c r="C381" s="50" t="str">
        <f>IF($A381="","",计算结果!BT381-G381-H381)</f>
        <v/>
      </c>
      <c r="D381" s="40" t="str">
        <f>IF($A381="","",基本信息!BS381)</f>
        <v/>
      </c>
      <c r="F381" s="40" t="str">
        <f>IF($A381="","",基本信息!A381)</f>
        <v/>
      </c>
      <c r="G381" s="50" t="str">
        <f>IF($A381="","",计算结果!BI381+计算结果!BJ381)</f>
        <v/>
      </c>
      <c r="H381" s="50" t="str">
        <f>IF($A381="","",计算结果!BK381)</f>
        <v/>
      </c>
    </row>
    <row r="382" spans="1:8">
      <c r="A382" s="40" t="str">
        <f>IF(OR(OR(IFERROR(FIND("交行",基本信息!BS382),0)&gt;0,IFERROR(FIND("交通银行",基本信息!BS382),0)&gt;0),计算结果!BT382=0),"",基本信息!BR382)</f>
        <v/>
      </c>
      <c r="B382" s="40" t="str">
        <f>IF($A382="","",基本信息!BQ382)</f>
        <v/>
      </c>
      <c r="C382" s="50" t="str">
        <f>IF($A382="","",计算结果!BT382-G382-H382)</f>
        <v/>
      </c>
      <c r="D382" s="40" t="str">
        <f>IF($A382="","",基本信息!BS382)</f>
        <v/>
      </c>
      <c r="F382" s="40" t="str">
        <f>IF($A382="","",基本信息!A382)</f>
        <v/>
      </c>
      <c r="G382" s="50" t="str">
        <f>IF($A382="","",计算结果!BI382+计算结果!BJ382)</f>
        <v/>
      </c>
      <c r="H382" s="50" t="str">
        <f>IF($A382="","",计算结果!BK382)</f>
        <v/>
      </c>
    </row>
    <row r="383" spans="1:8">
      <c r="A383" s="40" t="str">
        <f>IF(OR(OR(IFERROR(FIND("交行",基本信息!BS383),0)&gt;0,IFERROR(FIND("交通银行",基本信息!BS383),0)&gt;0),计算结果!BT383=0),"",基本信息!BR383)</f>
        <v/>
      </c>
      <c r="B383" s="40" t="str">
        <f>IF($A383="","",基本信息!BQ383)</f>
        <v/>
      </c>
      <c r="C383" s="50" t="str">
        <f>IF($A383="","",计算结果!BT383-G383-H383)</f>
        <v/>
      </c>
      <c r="D383" s="40" t="str">
        <f>IF($A383="","",基本信息!BS383)</f>
        <v/>
      </c>
      <c r="F383" s="40" t="str">
        <f>IF($A383="","",基本信息!A383)</f>
        <v/>
      </c>
      <c r="G383" s="50" t="str">
        <f>IF($A383="","",计算结果!BI383+计算结果!BJ383)</f>
        <v/>
      </c>
      <c r="H383" s="50" t="str">
        <f>IF($A383="","",计算结果!BK383)</f>
        <v/>
      </c>
    </row>
    <row r="384" spans="1:8">
      <c r="A384" s="40" t="str">
        <f>IF(OR(OR(IFERROR(FIND("交行",基本信息!BS384),0)&gt;0,IFERROR(FIND("交通银行",基本信息!BS384),0)&gt;0),计算结果!BT384=0),"",基本信息!BR384)</f>
        <v/>
      </c>
      <c r="B384" s="40" t="str">
        <f>IF($A384="","",基本信息!BQ384)</f>
        <v/>
      </c>
      <c r="C384" s="50" t="str">
        <f>IF($A384="","",计算结果!BT384-G384-H384)</f>
        <v/>
      </c>
      <c r="D384" s="40" t="str">
        <f>IF($A384="","",基本信息!BS384)</f>
        <v/>
      </c>
      <c r="F384" s="40" t="str">
        <f>IF($A384="","",基本信息!A384)</f>
        <v/>
      </c>
      <c r="G384" s="50" t="str">
        <f>IF($A384="","",计算结果!BI384+计算结果!BJ384)</f>
        <v/>
      </c>
      <c r="H384" s="50" t="str">
        <f>IF($A384="","",计算结果!BK384)</f>
        <v/>
      </c>
    </row>
    <row r="385" spans="1:8">
      <c r="A385" s="40" t="str">
        <f>IF(OR(OR(IFERROR(FIND("交行",基本信息!BS385),0)&gt;0,IFERROR(FIND("交通银行",基本信息!BS385),0)&gt;0),计算结果!BT385=0),"",基本信息!BR385)</f>
        <v/>
      </c>
      <c r="B385" s="40" t="str">
        <f>IF($A385="","",基本信息!BQ385)</f>
        <v/>
      </c>
      <c r="C385" s="50" t="str">
        <f>IF($A385="","",计算结果!BT385-G385-H385)</f>
        <v/>
      </c>
      <c r="D385" s="40" t="str">
        <f>IF($A385="","",基本信息!BS385)</f>
        <v/>
      </c>
      <c r="F385" s="40" t="str">
        <f>IF($A385="","",基本信息!A385)</f>
        <v/>
      </c>
      <c r="G385" s="50" t="str">
        <f>IF($A385="","",计算结果!BI385+计算结果!BJ385)</f>
        <v/>
      </c>
      <c r="H385" s="50" t="str">
        <f>IF($A385="","",计算结果!BK385)</f>
        <v/>
      </c>
    </row>
    <row r="386" spans="1:8">
      <c r="A386" s="40" t="str">
        <f>IF(OR(OR(IFERROR(FIND("交行",基本信息!BS386),0)&gt;0,IFERROR(FIND("交通银行",基本信息!BS386),0)&gt;0),计算结果!BT386=0),"",基本信息!BR386)</f>
        <v/>
      </c>
      <c r="B386" s="40" t="str">
        <f>IF($A386="","",基本信息!BQ386)</f>
        <v/>
      </c>
      <c r="C386" s="50" t="str">
        <f>IF($A386="","",计算结果!BT386-G386-H386)</f>
        <v/>
      </c>
      <c r="D386" s="40" t="str">
        <f>IF($A386="","",基本信息!BS386)</f>
        <v/>
      </c>
      <c r="F386" s="40" t="str">
        <f>IF($A386="","",基本信息!A386)</f>
        <v/>
      </c>
      <c r="G386" s="50" t="str">
        <f>IF($A386="","",计算结果!BI386+计算结果!BJ386)</f>
        <v/>
      </c>
      <c r="H386" s="50" t="str">
        <f>IF($A386="","",计算结果!BK386)</f>
        <v/>
      </c>
    </row>
    <row r="387" spans="1:8">
      <c r="A387" s="40" t="str">
        <f>IF(OR(OR(IFERROR(FIND("交行",基本信息!BS387),0)&gt;0,IFERROR(FIND("交通银行",基本信息!BS387),0)&gt;0),计算结果!BT387=0),"",基本信息!BR387)</f>
        <v/>
      </c>
      <c r="B387" s="40" t="str">
        <f>IF($A387="","",基本信息!BQ387)</f>
        <v/>
      </c>
      <c r="C387" s="50" t="str">
        <f>IF($A387="","",计算结果!BT387-G387-H387)</f>
        <v/>
      </c>
      <c r="D387" s="40" t="str">
        <f>IF($A387="","",基本信息!BS387)</f>
        <v/>
      </c>
      <c r="F387" s="40" t="str">
        <f>IF($A387="","",基本信息!A387)</f>
        <v/>
      </c>
      <c r="G387" s="50" t="str">
        <f>IF($A387="","",计算结果!BI387+计算结果!BJ387)</f>
        <v/>
      </c>
      <c r="H387" s="50" t="str">
        <f>IF($A387="","",计算结果!BK387)</f>
        <v/>
      </c>
    </row>
    <row r="388" spans="1:8">
      <c r="A388" s="40" t="str">
        <f>IF(OR(OR(IFERROR(FIND("交行",基本信息!BS388),0)&gt;0,IFERROR(FIND("交通银行",基本信息!BS388),0)&gt;0),计算结果!BT388=0),"",基本信息!BR388)</f>
        <v/>
      </c>
      <c r="B388" s="40" t="str">
        <f>IF($A388="","",基本信息!BQ388)</f>
        <v/>
      </c>
      <c r="C388" s="50" t="str">
        <f>IF($A388="","",计算结果!BT388-G388-H388)</f>
        <v/>
      </c>
      <c r="D388" s="40" t="str">
        <f>IF($A388="","",基本信息!BS388)</f>
        <v/>
      </c>
      <c r="F388" s="40" t="str">
        <f>IF($A388="","",基本信息!A388)</f>
        <v/>
      </c>
      <c r="G388" s="50" t="str">
        <f>IF($A388="","",计算结果!BI388+计算结果!BJ388)</f>
        <v/>
      </c>
      <c r="H388" s="50" t="str">
        <f>IF($A388="","",计算结果!BK388)</f>
        <v/>
      </c>
    </row>
    <row r="389" spans="1:8">
      <c r="A389" s="40" t="str">
        <f>IF(OR(OR(IFERROR(FIND("交行",基本信息!BS389),0)&gt;0,IFERROR(FIND("交通银行",基本信息!BS389),0)&gt;0),计算结果!BT389=0),"",基本信息!BR389)</f>
        <v/>
      </c>
      <c r="B389" s="40" t="str">
        <f>IF($A389="","",基本信息!BQ389)</f>
        <v/>
      </c>
      <c r="C389" s="50" t="str">
        <f>IF($A389="","",计算结果!BT389-G389-H389)</f>
        <v/>
      </c>
      <c r="D389" s="40" t="str">
        <f>IF($A389="","",基本信息!BS389)</f>
        <v/>
      </c>
      <c r="F389" s="40" t="str">
        <f>IF($A389="","",基本信息!A389)</f>
        <v/>
      </c>
      <c r="G389" s="50" t="str">
        <f>IF($A389="","",计算结果!BI389+计算结果!BJ389)</f>
        <v/>
      </c>
      <c r="H389" s="50" t="str">
        <f>IF($A389="","",计算结果!BK389)</f>
        <v/>
      </c>
    </row>
  </sheetData>
  <phoneticPr fontId="28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F67"/>
  <sheetViews>
    <sheetView workbookViewId="0">
      <selection activeCell="B2" sqref="B2:B3"/>
    </sheetView>
  </sheetViews>
  <sheetFormatPr defaultColWidth="8.7109375" defaultRowHeight="14.45"/>
  <cols>
    <col min="1" max="1" width="34.7109375" style="95" bestFit="1" customWidth="1"/>
    <col min="2" max="2" width="36.42578125" style="95" bestFit="1" customWidth="1"/>
    <col min="3" max="3" width="31.5703125" style="95" bestFit="1" customWidth="1"/>
    <col min="4" max="4" width="39" style="95" bestFit="1" customWidth="1"/>
    <col min="5" max="5" width="39.28515625" style="95" bestFit="1" customWidth="1"/>
    <col min="6" max="6" width="35.28515625" style="95" bestFit="1" customWidth="1"/>
    <col min="7" max="7" width="28.42578125" style="95" bestFit="1" customWidth="1"/>
    <col min="8" max="8" width="20.7109375" style="95" bestFit="1" customWidth="1"/>
    <col min="9" max="9" width="27.28515625" style="95" bestFit="1" customWidth="1"/>
    <col min="10" max="10" width="31.28515625" style="95" bestFit="1" customWidth="1"/>
    <col min="11" max="11" width="40.28515625" style="95" bestFit="1" customWidth="1"/>
    <col min="12" max="12" width="21.42578125" style="95" bestFit="1" customWidth="1"/>
    <col min="13" max="13" width="26" style="95" bestFit="1" customWidth="1"/>
    <col min="14" max="14" width="35.28515625" style="95" bestFit="1" customWidth="1"/>
    <col min="15" max="15" width="37" style="95" bestFit="1" customWidth="1"/>
    <col min="16" max="18" width="8.7109375" style="95"/>
    <col min="19" max="19" width="11" style="95" customWidth="1"/>
    <col min="20" max="20" width="13" style="95" customWidth="1"/>
    <col min="21" max="21" width="11.42578125" style="95" customWidth="1"/>
    <col min="22" max="22" width="8.7109375" style="95"/>
    <col min="23" max="23" width="11" style="95" customWidth="1"/>
    <col min="24" max="24" width="11.7109375" style="95" customWidth="1"/>
    <col min="25" max="25" width="12.7109375" style="95" bestFit="1" customWidth="1"/>
    <col min="26" max="26" width="8.7109375" style="95"/>
    <col min="27" max="27" width="15" style="95" customWidth="1"/>
    <col min="28" max="28" width="12.7109375" style="95" bestFit="1" customWidth="1"/>
    <col min="29" max="29" width="8.7109375" style="95"/>
    <col min="30" max="30" width="15.28515625" style="95" customWidth="1"/>
    <col min="31" max="16384" width="8.7109375" style="95"/>
  </cols>
  <sheetData>
    <row r="1" spans="1:28" ht="15" thickBot="1">
      <c r="A1" s="375" t="s">
        <v>549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244"/>
      <c r="Z1" s="244"/>
      <c r="AA1" s="244"/>
      <c r="AB1" s="244"/>
    </row>
    <row r="2" spans="1:28">
      <c r="A2" s="376" t="s">
        <v>163</v>
      </c>
      <c r="B2" s="378" t="s">
        <v>164</v>
      </c>
      <c r="C2" s="387" t="s">
        <v>165</v>
      </c>
      <c r="D2" s="378" t="s">
        <v>166</v>
      </c>
      <c r="E2" s="391" t="s">
        <v>167</v>
      </c>
      <c r="F2" s="392"/>
      <c r="G2" s="392"/>
      <c r="H2" s="392"/>
      <c r="I2" s="392"/>
      <c r="J2" s="393"/>
      <c r="K2" s="383" t="s">
        <v>168</v>
      </c>
      <c r="L2" s="383" t="s">
        <v>169</v>
      </c>
      <c r="M2" s="381" t="s">
        <v>170</v>
      </c>
      <c r="N2" s="382"/>
      <c r="O2" s="382"/>
      <c r="P2" s="382"/>
      <c r="Q2" s="382"/>
      <c r="R2" s="382"/>
      <c r="S2" s="382"/>
      <c r="T2" s="382"/>
      <c r="U2" s="382"/>
      <c r="V2" s="399"/>
      <c r="W2" s="389" t="s">
        <v>550</v>
      </c>
      <c r="X2" s="389" t="s">
        <v>172</v>
      </c>
      <c r="Y2" s="389" t="s">
        <v>173</v>
      </c>
      <c r="Z2" s="389" t="s">
        <v>551</v>
      </c>
      <c r="AA2" s="389" t="s">
        <v>132</v>
      </c>
      <c r="AB2" s="397" t="s">
        <v>174</v>
      </c>
    </row>
    <row r="3" spans="1:28" ht="104.1">
      <c r="A3" s="377"/>
      <c r="B3" s="379"/>
      <c r="C3" s="388"/>
      <c r="D3" s="379"/>
      <c r="E3" s="96" t="s">
        <v>175</v>
      </c>
      <c r="F3" s="96" t="s">
        <v>552</v>
      </c>
      <c r="G3" s="96" t="s">
        <v>553</v>
      </c>
      <c r="H3" s="96" t="s">
        <v>178</v>
      </c>
      <c r="I3" s="96" t="s">
        <v>179</v>
      </c>
      <c r="J3" s="96" t="s">
        <v>180</v>
      </c>
      <c r="K3" s="384" t="s">
        <v>168</v>
      </c>
      <c r="L3" s="384" t="s">
        <v>169</v>
      </c>
      <c r="M3" s="96" t="s">
        <v>184</v>
      </c>
      <c r="N3" s="96" t="s">
        <v>185</v>
      </c>
      <c r="O3" s="96" t="s">
        <v>186</v>
      </c>
      <c r="P3" s="96" t="s">
        <v>187</v>
      </c>
      <c r="Q3" s="96" t="s">
        <v>188</v>
      </c>
      <c r="R3" s="96" t="s">
        <v>554</v>
      </c>
      <c r="S3" s="96" t="s">
        <v>190</v>
      </c>
      <c r="T3" s="96" t="s">
        <v>191</v>
      </c>
      <c r="U3" s="96" t="s">
        <v>192</v>
      </c>
      <c r="V3" s="96" t="s">
        <v>193</v>
      </c>
      <c r="W3" s="390"/>
      <c r="X3" s="390"/>
      <c r="Y3" s="390"/>
      <c r="Z3" s="390"/>
      <c r="AA3" s="390"/>
      <c r="AB3" s="398"/>
    </row>
    <row r="4" spans="1:28" s="103" customFormat="1" ht="12.95">
      <c r="A4" s="91" t="s">
        <v>159</v>
      </c>
      <c r="B4" s="97" t="s">
        <v>555</v>
      </c>
      <c r="C4" s="98" t="s">
        <v>556</v>
      </c>
      <c r="D4" s="99" t="s">
        <v>557</v>
      </c>
      <c r="E4" s="100">
        <v>28644.3</v>
      </c>
      <c r="F4" s="100">
        <v>0</v>
      </c>
      <c r="G4" s="100">
        <v>0</v>
      </c>
      <c r="H4" s="100">
        <v>0</v>
      </c>
      <c r="I4" s="100">
        <v>0</v>
      </c>
      <c r="J4" s="100">
        <v>0</v>
      </c>
      <c r="K4" s="100">
        <v>16208</v>
      </c>
      <c r="L4" s="100">
        <v>17300</v>
      </c>
      <c r="M4" s="100">
        <v>1296.6400000000001</v>
      </c>
      <c r="N4" s="100">
        <v>329.16</v>
      </c>
      <c r="O4" s="100">
        <v>81.040000000000006</v>
      </c>
      <c r="P4" s="100">
        <v>1730</v>
      </c>
      <c r="Q4" s="100">
        <v>0</v>
      </c>
      <c r="R4" s="100">
        <v>0</v>
      </c>
      <c r="S4" s="100">
        <v>0</v>
      </c>
      <c r="T4" s="100">
        <v>0</v>
      </c>
      <c r="U4" s="100">
        <v>0</v>
      </c>
      <c r="V4" s="100">
        <v>0</v>
      </c>
      <c r="W4" s="100">
        <v>0</v>
      </c>
      <c r="X4" s="100">
        <v>4421.87</v>
      </c>
      <c r="Y4" s="101">
        <v>0</v>
      </c>
      <c r="Z4" s="101">
        <v>0</v>
      </c>
      <c r="AA4" s="101">
        <v>0</v>
      </c>
      <c r="AB4" s="102">
        <v>20785.59</v>
      </c>
    </row>
    <row r="5" spans="1:28">
      <c r="A5" s="244"/>
      <c r="B5" s="244"/>
      <c r="C5" s="244"/>
      <c r="D5" s="244"/>
      <c r="E5" s="245" t="s">
        <v>558</v>
      </c>
      <c r="F5" s="245" t="s">
        <v>559</v>
      </c>
      <c r="G5" s="245" t="s">
        <v>560</v>
      </c>
      <c r="H5" s="245" t="s">
        <v>561</v>
      </c>
      <c r="I5" s="245" t="s">
        <v>562</v>
      </c>
      <c r="J5" s="245" t="s">
        <v>563</v>
      </c>
      <c r="K5" s="245" t="s">
        <v>564</v>
      </c>
      <c r="L5" s="245" t="s">
        <v>565</v>
      </c>
      <c r="M5" s="246" t="s">
        <v>566</v>
      </c>
      <c r="N5" s="245" t="s">
        <v>567</v>
      </c>
      <c r="O5" s="245" t="s">
        <v>568</v>
      </c>
      <c r="P5" s="245" t="s">
        <v>569</v>
      </c>
      <c r="Q5" s="105" t="s">
        <v>570</v>
      </c>
      <c r="R5" s="105" t="s">
        <v>571</v>
      </c>
      <c r="S5" s="105" t="s">
        <v>572</v>
      </c>
      <c r="T5" s="105" t="s">
        <v>573</v>
      </c>
      <c r="U5" s="105" t="s">
        <v>574</v>
      </c>
      <c r="V5" s="105" t="s">
        <v>575</v>
      </c>
      <c r="W5" s="105" t="s">
        <v>576</v>
      </c>
      <c r="X5" s="105" t="s">
        <v>577</v>
      </c>
      <c r="Y5" s="105" t="s">
        <v>578</v>
      </c>
      <c r="Z5" s="105" t="s">
        <v>579</v>
      </c>
      <c r="AA5" s="105" t="s">
        <v>580</v>
      </c>
      <c r="AB5" s="105" t="s">
        <v>581</v>
      </c>
    </row>
    <row r="6" spans="1:28">
      <c r="A6" s="244"/>
      <c r="B6" s="244"/>
      <c r="C6" s="244"/>
      <c r="D6" s="244"/>
      <c r="E6" s="245"/>
      <c r="F6" s="245"/>
      <c r="G6" s="244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</row>
    <row r="7" spans="1:28">
      <c r="A7" s="380" t="s">
        <v>582</v>
      </c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244"/>
      <c r="Z7" s="244"/>
      <c r="AA7" s="244"/>
      <c r="AB7" s="244"/>
    </row>
    <row r="8" spans="1:28">
      <c r="A8" s="380" t="s">
        <v>583</v>
      </c>
      <c r="B8" s="380"/>
      <c r="C8" s="380"/>
      <c r="D8" s="380"/>
      <c r="E8" s="380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244"/>
      <c r="Z8" s="244"/>
      <c r="AA8" s="244"/>
      <c r="AB8" s="244"/>
    </row>
    <row r="9" spans="1:28">
      <c r="A9" s="380" t="s">
        <v>584</v>
      </c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380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244"/>
      <c r="Z9" s="244"/>
      <c r="AA9" s="244"/>
      <c r="AB9" s="244"/>
    </row>
    <row r="10" spans="1:28">
      <c r="A10" s="380" t="s">
        <v>585</v>
      </c>
      <c r="B10" s="380"/>
      <c r="C10" s="380"/>
      <c r="D10" s="380"/>
      <c r="E10" s="380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244"/>
      <c r="Z10" s="244"/>
      <c r="AA10" s="244"/>
      <c r="AB10" s="244"/>
    </row>
    <row r="11" spans="1:28">
      <c r="A11" s="380" t="s">
        <v>586</v>
      </c>
      <c r="B11" s="380"/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244"/>
      <c r="Z11" s="244"/>
      <c r="AA11" s="244"/>
      <c r="AB11" s="244"/>
    </row>
    <row r="12" spans="1:28">
      <c r="A12" s="239"/>
      <c r="B12" s="380" t="s">
        <v>587</v>
      </c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0"/>
      <c r="V12" s="380"/>
      <c r="W12" s="380"/>
      <c r="X12" s="380"/>
      <c r="Y12" s="244"/>
      <c r="Z12" s="244"/>
      <c r="AA12" s="244"/>
      <c r="AB12" s="244"/>
    </row>
    <row r="13" spans="1:28">
      <c r="A13" s="380" t="s">
        <v>588</v>
      </c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80"/>
      <c r="N13" s="380"/>
      <c r="O13" s="380"/>
      <c r="P13" s="380"/>
      <c r="Q13" s="380"/>
      <c r="R13" s="380"/>
      <c r="S13" s="380"/>
      <c r="T13" s="380"/>
      <c r="U13" s="380"/>
      <c r="V13" s="380"/>
      <c r="W13" s="380"/>
      <c r="X13" s="380"/>
      <c r="Y13" s="244"/>
      <c r="Z13" s="244"/>
      <c r="AA13" s="244"/>
      <c r="AB13" s="244"/>
    </row>
    <row r="14" spans="1:28">
      <c r="A14" s="396" t="s">
        <v>589</v>
      </c>
      <c r="B14" s="396"/>
      <c r="C14" s="396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244"/>
      <c r="Z14" s="244"/>
      <c r="AA14" s="244"/>
      <c r="AB14" s="244"/>
    </row>
    <row r="15" spans="1:28">
      <c r="A15" s="380" t="s">
        <v>590</v>
      </c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0"/>
      <c r="M15" s="380"/>
      <c r="N15" s="380"/>
      <c r="O15" s="380"/>
      <c r="P15" s="380"/>
      <c r="Q15" s="380"/>
      <c r="R15" s="380"/>
      <c r="S15" s="380"/>
      <c r="T15" s="380"/>
      <c r="U15" s="380"/>
      <c r="V15" s="380"/>
      <c r="W15" s="380"/>
      <c r="X15" s="380"/>
      <c r="Y15" s="244"/>
      <c r="Z15" s="244"/>
      <c r="AA15" s="244"/>
      <c r="AB15" s="244"/>
    </row>
    <row r="16" spans="1:28">
      <c r="A16" s="380" t="s">
        <v>591</v>
      </c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0"/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244"/>
      <c r="Z16" s="244"/>
      <c r="AA16" s="244"/>
      <c r="AB16" s="244"/>
    </row>
    <row r="17" spans="1:28">
      <c r="A17" s="380" t="s">
        <v>592</v>
      </c>
      <c r="B17" s="380"/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0"/>
      <c r="U17" s="380"/>
      <c r="V17" s="380"/>
      <c r="W17" s="380"/>
      <c r="X17" s="380"/>
      <c r="Y17" s="244"/>
      <c r="Z17" s="244"/>
      <c r="AA17" s="244"/>
      <c r="AB17" s="244"/>
    </row>
    <row r="18" spans="1:28">
      <c r="A18" s="380" t="s">
        <v>593</v>
      </c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  <c r="R18" s="380"/>
      <c r="S18" s="380"/>
      <c r="T18" s="380"/>
      <c r="U18" s="380"/>
      <c r="V18" s="380"/>
      <c r="W18" s="380"/>
      <c r="X18" s="380"/>
      <c r="Y18" s="244"/>
      <c r="Z18" s="244"/>
      <c r="AA18" s="244"/>
      <c r="AB18" s="244"/>
    </row>
    <row r="19" spans="1:28">
      <c r="A19" s="380" t="s">
        <v>594</v>
      </c>
      <c r="B19" s="380"/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80"/>
      <c r="P19" s="380"/>
      <c r="Q19" s="380"/>
      <c r="R19" s="380"/>
      <c r="S19" s="380"/>
      <c r="T19" s="380"/>
      <c r="U19" s="380"/>
      <c r="V19" s="380"/>
      <c r="W19" s="380"/>
      <c r="X19" s="380"/>
      <c r="Y19" s="244"/>
      <c r="Z19" s="244"/>
      <c r="AA19" s="244"/>
      <c r="AB19" s="244"/>
    </row>
    <row r="20" spans="1:28">
      <c r="A20" s="395" t="s">
        <v>595</v>
      </c>
      <c r="B20" s="395"/>
      <c r="C20" s="395"/>
      <c r="D20" s="395"/>
      <c r="E20" s="395"/>
      <c r="F20" s="395"/>
      <c r="G20" s="395"/>
      <c r="H20" s="395"/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</row>
    <row r="21" spans="1:28">
      <c r="A21" s="106" t="s">
        <v>596</v>
      </c>
      <c r="B21" s="106" t="s">
        <v>597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</row>
    <row r="22" spans="1:28">
      <c r="A22" s="106" t="s">
        <v>598</v>
      </c>
      <c r="B22" s="106" t="s">
        <v>599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</row>
    <row r="23" spans="1:28">
      <c r="A23" s="106" t="s">
        <v>600</v>
      </c>
      <c r="B23" s="106" t="s">
        <v>601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 spans="1:28">
      <c r="A24" s="380" t="s">
        <v>602</v>
      </c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</row>
    <row r="25" spans="1:28">
      <c r="A25" s="380" t="s">
        <v>603</v>
      </c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</row>
    <row r="26" spans="1:28">
      <c r="A26" s="380" t="s">
        <v>604</v>
      </c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</row>
    <row r="27" spans="1:28">
      <c r="A27" s="380" t="s">
        <v>605</v>
      </c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</row>
    <row r="28" spans="1:28">
      <c r="A28" s="380" t="s">
        <v>606</v>
      </c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  <c r="AA28" s="380"/>
      <c r="AB28" s="380"/>
    </row>
    <row r="29" spans="1:28">
      <c r="A29" s="395" t="s">
        <v>607</v>
      </c>
      <c r="B29" s="395"/>
      <c r="C29" s="395"/>
      <c r="D29" s="395"/>
      <c r="E29" s="39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</row>
    <row r="30" spans="1:28">
      <c r="A30" s="106" t="s">
        <v>608</v>
      </c>
      <c r="B30" s="106" t="s">
        <v>609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</row>
    <row r="31" spans="1:28">
      <c r="A31" s="380" t="s">
        <v>610</v>
      </c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</row>
    <row r="32" spans="1:28" ht="15" thickBot="1">
      <c r="A32" s="244"/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</row>
    <row r="33" spans="1:31">
      <c r="A33" s="394" t="s">
        <v>611</v>
      </c>
      <c r="B33" s="394" t="s">
        <v>612</v>
      </c>
      <c r="C33" s="394" t="s">
        <v>613</v>
      </c>
      <c r="D33" s="394" t="s">
        <v>614</v>
      </c>
      <c r="E33" s="394" t="s">
        <v>615</v>
      </c>
      <c r="F33" s="394" t="s">
        <v>616</v>
      </c>
      <c r="G33" s="394" t="s">
        <v>617</v>
      </c>
      <c r="H33" s="394" t="s">
        <v>618</v>
      </c>
      <c r="I33" s="394" t="s">
        <v>619</v>
      </c>
      <c r="J33" s="394" t="s">
        <v>620</v>
      </c>
      <c r="K33" s="394" t="s">
        <v>621</v>
      </c>
      <c r="L33" s="394" t="s">
        <v>622</v>
      </c>
      <c r="M33" s="394" t="s">
        <v>623</v>
      </c>
      <c r="N33" s="394" t="s">
        <v>624</v>
      </c>
      <c r="O33" s="394" t="s">
        <v>625</v>
      </c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</row>
    <row r="34" spans="1:31">
      <c r="A34" s="379"/>
      <c r="B34" s="379"/>
      <c r="C34" s="379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</row>
    <row r="35" spans="1:31" s="104" customFormat="1">
      <c r="A35" s="91" t="s">
        <v>626</v>
      </c>
      <c r="B35" s="92">
        <v>0.08</v>
      </c>
      <c r="C35" s="92">
        <v>0.02</v>
      </c>
      <c r="D35" s="92">
        <v>5.0000000000000001E-3</v>
      </c>
      <c r="E35" s="92">
        <v>0.12</v>
      </c>
      <c r="F35" s="100"/>
      <c r="G35" s="92">
        <v>0.14000000000000001</v>
      </c>
      <c r="H35" s="92">
        <v>0.105</v>
      </c>
      <c r="I35" s="92">
        <v>5.0000000000000001E-3</v>
      </c>
      <c r="J35" s="92">
        <v>1.2E-2</v>
      </c>
      <c r="K35" s="92">
        <v>5.0000000000000001E-3</v>
      </c>
      <c r="L35" s="92">
        <v>1.4999999999999999E-2</v>
      </c>
      <c r="M35" s="92">
        <v>0.12</v>
      </c>
      <c r="N35" s="247"/>
      <c r="O35" s="248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</row>
    <row r="36" spans="1:31" s="104" customFormat="1">
      <c r="A36" s="91" t="s">
        <v>627</v>
      </c>
      <c r="B36" s="92">
        <v>0.08</v>
      </c>
      <c r="C36" s="92">
        <v>0.02</v>
      </c>
      <c r="D36" s="92">
        <v>5.0000000000000001E-3</v>
      </c>
      <c r="E36" s="92">
        <v>7.0000000000000007E-2</v>
      </c>
      <c r="F36" s="100"/>
      <c r="G36" s="92">
        <v>0.2</v>
      </c>
      <c r="H36" s="92">
        <v>9.5000000000000001E-2</v>
      </c>
      <c r="I36" s="92">
        <v>5.0000000000000001E-3</v>
      </c>
      <c r="J36" s="92">
        <v>0.01</v>
      </c>
      <c r="K36" s="92">
        <v>3.2000000000000002E-3</v>
      </c>
      <c r="L36" s="92">
        <v>1.4999999999999999E-2</v>
      </c>
      <c r="M36" s="92">
        <v>7.0000000000000007E-2</v>
      </c>
      <c r="N36" s="247"/>
      <c r="O36" s="248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</row>
    <row r="37" spans="1:31" s="104" customFormat="1">
      <c r="A37" s="91" t="s">
        <v>628</v>
      </c>
      <c r="B37" s="92">
        <v>0.08</v>
      </c>
      <c r="C37" s="92">
        <v>0.02</v>
      </c>
      <c r="D37" s="92">
        <v>4.0000000000000001E-3</v>
      </c>
      <c r="E37" s="92">
        <v>0.06</v>
      </c>
      <c r="F37" s="100"/>
      <c r="G37" s="92">
        <v>0.19</v>
      </c>
      <c r="H37" s="92">
        <v>7.4999999999999997E-2</v>
      </c>
      <c r="I37" s="92">
        <v>6.0000000000000001E-3</v>
      </c>
      <c r="J37" s="92">
        <v>8.0000000000000002E-3</v>
      </c>
      <c r="K37" s="92">
        <v>2.2000000000000001E-3</v>
      </c>
      <c r="L37" s="92"/>
      <c r="M37" s="92">
        <v>0.06</v>
      </c>
      <c r="N37" s="247"/>
      <c r="O37" s="248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</row>
    <row r="38" spans="1:31" s="104" customFormat="1">
      <c r="A38" s="91" t="s">
        <v>629</v>
      </c>
      <c r="B38" s="92">
        <v>0.08</v>
      </c>
      <c r="C38" s="92">
        <v>0.02</v>
      </c>
      <c r="D38" s="92">
        <v>2E-3</v>
      </c>
      <c r="E38" s="92">
        <v>0.12</v>
      </c>
      <c r="F38" s="100">
        <v>3</v>
      </c>
      <c r="G38" s="92">
        <v>0.19</v>
      </c>
      <c r="H38" s="92">
        <v>0.1</v>
      </c>
      <c r="I38" s="92">
        <v>8.0000000000000002E-3</v>
      </c>
      <c r="J38" s="92">
        <v>8.0000000000000002E-3</v>
      </c>
      <c r="K38" s="92">
        <v>4.0000000000000001E-3</v>
      </c>
      <c r="L38" s="92">
        <v>1.7000000000000001E-2</v>
      </c>
      <c r="M38" s="92">
        <v>0.12</v>
      </c>
      <c r="N38" s="247"/>
      <c r="O38" s="248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</row>
    <row r="39" spans="1:31" s="104" customFormat="1">
      <c r="A39" s="91" t="s">
        <v>352</v>
      </c>
      <c r="B39" s="92">
        <v>0.08</v>
      </c>
      <c r="C39" s="92">
        <v>0.02</v>
      </c>
      <c r="D39" s="92">
        <v>5.0000000000000001E-3</v>
      </c>
      <c r="E39" s="92">
        <v>0.12</v>
      </c>
      <c r="F39" s="100"/>
      <c r="G39" s="92">
        <v>0.14000000000000001</v>
      </c>
      <c r="H39" s="92">
        <v>6.2E-2</v>
      </c>
      <c r="I39" s="92">
        <v>0.01</v>
      </c>
      <c r="J39" s="92">
        <v>5.0000000000000001E-3</v>
      </c>
      <c r="K39" s="92">
        <v>2.2000000000000001E-3</v>
      </c>
      <c r="L39" s="92"/>
      <c r="M39" s="92">
        <v>0.12</v>
      </c>
      <c r="N39" s="100"/>
      <c r="O39" s="102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</row>
    <row r="40" spans="1:31" s="104" customFormat="1">
      <c r="A40" s="91" t="s">
        <v>630</v>
      </c>
      <c r="B40" s="92">
        <v>0.08</v>
      </c>
      <c r="C40" s="92">
        <v>0.02</v>
      </c>
      <c r="D40" s="92">
        <v>3.0000000000000001E-3</v>
      </c>
      <c r="E40" s="92">
        <v>0.12</v>
      </c>
      <c r="F40" s="100"/>
      <c r="G40" s="92">
        <v>0.18</v>
      </c>
      <c r="H40" s="92">
        <v>0.09</v>
      </c>
      <c r="I40" s="92">
        <v>7.0000000000000001E-3</v>
      </c>
      <c r="J40" s="92">
        <v>0.01</v>
      </c>
      <c r="K40" s="92">
        <v>4.0000000000000001E-3</v>
      </c>
      <c r="L40" s="92"/>
      <c r="M40" s="92">
        <v>0.12</v>
      </c>
      <c r="N40" s="100"/>
      <c r="O40" s="102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</row>
    <row r="41" spans="1:31" s="104" customFormat="1">
      <c r="A41" s="91" t="s">
        <v>631</v>
      </c>
      <c r="B41" s="92">
        <v>0.08</v>
      </c>
      <c r="C41" s="92">
        <v>0.02</v>
      </c>
      <c r="D41" s="92">
        <v>5.0000000000000001E-3</v>
      </c>
      <c r="E41" s="92">
        <v>0.08</v>
      </c>
      <c r="F41" s="100"/>
      <c r="G41" s="92">
        <v>0.19</v>
      </c>
      <c r="H41" s="92">
        <v>0.09</v>
      </c>
      <c r="I41" s="92">
        <v>5.0000000000000001E-3</v>
      </c>
      <c r="J41" s="92">
        <v>8.0000000000000002E-3</v>
      </c>
      <c r="K41" s="92">
        <v>2E-3</v>
      </c>
      <c r="L41" s="92"/>
      <c r="M41" s="92">
        <v>0.08</v>
      </c>
      <c r="N41" s="100"/>
      <c r="O41" s="102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</row>
    <row r="42" spans="1:31" s="104" customFormat="1">
      <c r="A42" s="91" t="s">
        <v>632</v>
      </c>
      <c r="B42" s="92">
        <v>0.08</v>
      </c>
      <c r="C42" s="92">
        <v>0.02</v>
      </c>
      <c r="D42" s="92">
        <v>5.0000000000000001E-3</v>
      </c>
      <c r="E42" s="92">
        <v>0.08</v>
      </c>
      <c r="F42" s="100">
        <v>2.5</v>
      </c>
      <c r="G42" s="92">
        <v>0.2</v>
      </c>
      <c r="H42" s="92">
        <v>7.4999999999999997E-2</v>
      </c>
      <c r="I42" s="92">
        <v>5.0000000000000001E-3</v>
      </c>
      <c r="J42" s="92">
        <v>6.0000000000000001E-3</v>
      </c>
      <c r="K42" s="92">
        <v>8.9999999999999993E-3</v>
      </c>
      <c r="L42" s="92"/>
      <c r="M42" s="92">
        <v>0.08</v>
      </c>
      <c r="N42" s="100">
        <v>2.5</v>
      </c>
      <c r="O42" s="102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</row>
    <row r="43" spans="1:31" s="104" customFormat="1" ht="15" thickBot="1">
      <c r="A43" s="93" t="s">
        <v>633</v>
      </c>
      <c r="B43" s="94">
        <v>0.08</v>
      </c>
      <c r="C43" s="94">
        <v>0.02</v>
      </c>
      <c r="D43" s="94">
        <v>2E-3</v>
      </c>
      <c r="E43" s="94">
        <v>0.1</v>
      </c>
      <c r="F43" s="107"/>
      <c r="G43" s="94">
        <v>0.14000000000000001</v>
      </c>
      <c r="H43" s="94">
        <v>7.0000000000000007E-2</v>
      </c>
      <c r="I43" s="94">
        <v>6.0000000000000001E-3</v>
      </c>
      <c r="J43" s="94">
        <v>8.5000000000000006E-3</v>
      </c>
      <c r="K43" s="94">
        <v>3.2000000000000002E-3</v>
      </c>
      <c r="L43" s="94"/>
      <c r="M43" s="94">
        <v>0.08</v>
      </c>
      <c r="N43" s="107">
        <v>21.37</v>
      </c>
      <c r="O43" s="108">
        <v>63.76</v>
      </c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</row>
    <row r="46" spans="1:31" ht="15" thickBot="1">
      <c r="A46" s="375" t="s">
        <v>634</v>
      </c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</row>
    <row r="47" spans="1:31" s="109" customFormat="1" ht="12.95">
      <c r="A47" s="376" t="s">
        <v>163</v>
      </c>
      <c r="B47" s="378" t="s">
        <v>164</v>
      </c>
      <c r="C47" s="387" t="s">
        <v>165</v>
      </c>
      <c r="D47" s="378" t="s">
        <v>166</v>
      </c>
      <c r="E47" s="383" t="s">
        <v>635</v>
      </c>
      <c r="F47" s="389" t="s">
        <v>551</v>
      </c>
      <c r="G47" s="383" t="s">
        <v>636</v>
      </c>
      <c r="H47" s="391" t="s">
        <v>637</v>
      </c>
      <c r="I47" s="392"/>
      <c r="J47" s="392"/>
      <c r="K47" s="392"/>
      <c r="L47" s="392"/>
      <c r="M47" s="392"/>
      <c r="N47" s="392"/>
      <c r="O47" s="393"/>
      <c r="P47" s="381" t="s">
        <v>638</v>
      </c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3" t="s">
        <v>639</v>
      </c>
      <c r="AE47" s="385" t="s">
        <v>640</v>
      </c>
    </row>
    <row r="48" spans="1:31" s="109" customFormat="1" ht="51.95">
      <c r="A48" s="377"/>
      <c r="B48" s="379"/>
      <c r="C48" s="388"/>
      <c r="D48" s="379"/>
      <c r="E48" s="384"/>
      <c r="F48" s="390"/>
      <c r="G48" s="384" t="s">
        <v>428</v>
      </c>
      <c r="H48" s="96" t="s">
        <v>641</v>
      </c>
      <c r="I48" s="96" t="s">
        <v>642</v>
      </c>
      <c r="J48" s="96" t="s">
        <v>643</v>
      </c>
      <c r="K48" s="96" t="s">
        <v>644</v>
      </c>
      <c r="L48" s="96" t="s">
        <v>645</v>
      </c>
      <c r="M48" s="96" t="s">
        <v>193</v>
      </c>
      <c r="N48" s="110" t="s">
        <v>172</v>
      </c>
      <c r="O48" s="96" t="s">
        <v>646</v>
      </c>
      <c r="P48" s="96" t="s">
        <v>641</v>
      </c>
      <c r="Q48" s="96" t="s">
        <v>642</v>
      </c>
      <c r="R48" s="96" t="s">
        <v>643</v>
      </c>
      <c r="S48" s="96" t="s">
        <v>647</v>
      </c>
      <c r="T48" s="96" t="s">
        <v>648</v>
      </c>
      <c r="U48" s="96" t="s">
        <v>649</v>
      </c>
      <c r="V48" s="96" t="s">
        <v>644</v>
      </c>
      <c r="W48" s="96" t="s">
        <v>645</v>
      </c>
      <c r="X48" s="96" t="s">
        <v>193</v>
      </c>
      <c r="Y48" s="96" t="s">
        <v>650</v>
      </c>
      <c r="Z48" s="96" t="s">
        <v>651</v>
      </c>
      <c r="AA48" s="96" t="s">
        <v>652</v>
      </c>
      <c r="AB48" s="96" t="s">
        <v>653</v>
      </c>
      <c r="AC48" s="96" t="s">
        <v>654</v>
      </c>
      <c r="AD48" s="384"/>
      <c r="AE48" s="386"/>
    </row>
    <row r="49" spans="1:32" s="103" customFormat="1" ht="12.95">
      <c r="A49" s="91" t="s">
        <v>159</v>
      </c>
      <c r="B49" s="97" t="s">
        <v>555</v>
      </c>
      <c r="C49" s="98" t="s">
        <v>556</v>
      </c>
      <c r="D49" s="99" t="s">
        <v>557</v>
      </c>
      <c r="E49" s="100">
        <v>20785.59</v>
      </c>
      <c r="F49" s="100">
        <v>0</v>
      </c>
      <c r="G49" s="100">
        <v>0</v>
      </c>
      <c r="H49" s="100">
        <v>1296.6400000000001</v>
      </c>
      <c r="I49" s="100">
        <v>329.16</v>
      </c>
      <c r="J49" s="100">
        <v>81.040000000000006</v>
      </c>
      <c r="K49" s="100">
        <v>1730</v>
      </c>
      <c r="L49" s="100">
        <v>0</v>
      </c>
      <c r="M49" s="100">
        <v>0</v>
      </c>
      <c r="N49" s="100">
        <v>4421.87</v>
      </c>
      <c r="O49" s="100">
        <v>0</v>
      </c>
      <c r="P49" s="100">
        <v>3241.6</v>
      </c>
      <c r="Q49" s="100">
        <v>1458.72</v>
      </c>
      <c r="R49" s="100">
        <v>243.12</v>
      </c>
      <c r="S49" s="100">
        <v>162.08000000000001</v>
      </c>
      <c r="T49" s="100">
        <v>162.08000000000001</v>
      </c>
      <c r="U49" s="111">
        <v>0</v>
      </c>
      <c r="V49" s="111">
        <v>1730</v>
      </c>
      <c r="W49" s="111"/>
      <c r="X49" s="100"/>
      <c r="Y49" s="111">
        <v>0</v>
      </c>
      <c r="Z49" s="100"/>
      <c r="AA49" s="111">
        <v>200</v>
      </c>
      <c r="AB49" s="111"/>
      <c r="AC49" s="100"/>
      <c r="AD49" s="100">
        <v>35841.9</v>
      </c>
      <c r="AE49" s="102"/>
    </row>
    <row r="50" spans="1:32">
      <c r="A50" s="244"/>
      <c r="B50" s="244"/>
      <c r="C50" s="244"/>
      <c r="D50" s="244"/>
      <c r="E50" s="105" t="s">
        <v>581</v>
      </c>
      <c r="F50" s="105" t="s">
        <v>579</v>
      </c>
      <c r="G50" s="105" t="s">
        <v>580</v>
      </c>
      <c r="H50" s="245" t="s">
        <v>566</v>
      </c>
      <c r="I50" s="245" t="s">
        <v>567</v>
      </c>
      <c r="J50" s="245" t="s">
        <v>568</v>
      </c>
      <c r="K50" s="245" t="s">
        <v>569</v>
      </c>
      <c r="L50" s="105" t="s">
        <v>574</v>
      </c>
      <c r="M50" s="105" t="s">
        <v>575</v>
      </c>
      <c r="N50" s="112" t="s">
        <v>577</v>
      </c>
      <c r="O50" s="105" t="s">
        <v>578</v>
      </c>
      <c r="P50" s="105" t="s">
        <v>655</v>
      </c>
      <c r="Q50" s="105" t="s">
        <v>656</v>
      </c>
      <c r="R50" s="105" t="s">
        <v>657</v>
      </c>
      <c r="S50" s="105" t="s">
        <v>658</v>
      </c>
      <c r="T50" s="105" t="s">
        <v>659</v>
      </c>
      <c r="U50" s="105" t="s">
        <v>660</v>
      </c>
      <c r="V50" s="105" t="s">
        <v>661</v>
      </c>
      <c r="W50" s="105" t="s">
        <v>662</v>
      </c>
      <c r="X50" s="105" t="s">
        <v>663</v>
      </c>
      <c r="Y50" s="105" t="s">
        <v>664</v>
      </c>
      <c r="Z50" s="105" t="s">
        <v>665</v>
      </c>
      <c r="AA50" s="105" t="s">
        <v>666</v>
      </c>
      <c r="AB50" s="105" t="s">
        <v>667</v>
      </c>
      <c r="AC50" s="105" t="s">
        <v>668</v>
      </c>
      <c r="AD50" s="105" t="s">
        <v>669</v>
      </c>
      <c r="AE50" s="105" t="s">
        <v>670</v>
      </c>
      <c r="AF50" s="105"/>
    </row>
    <row r="52" spans="1:32" ht="15" customHeight="1">
      <c r="A52" s="380" t="s">
        <v>671</v>
      </c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244"/>
      <c r="AD52" s="244"/>
      <c r="AE52" s="244"/>
      <c r="AF52" s="244"/>
    </row>
    <row r="53" spans="1:32" ht="15" customHeight="1">
      <c r="A53" s="380" t="s">
        <v>672</v>
      </c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239"/>
      <c r="AD53" s="239"/>
      <c r="AE53" s="239"/>
      <c r="AF53" s="244"/>
    </row>
    <row r="54" spans="1:32" ht="15" customHeight="1">
      <c r="A54" s="380" t="s">
        <v>673</v>
      </c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239"/>
      <c r="AD54" s="239"/>
      <c r="AE54" s="239"/>
      <c r="AF54" s="244"/>
    </row>
    <row r="55" spans="1:32" ht="15" customHeight="1">
      <c r="A55" s="380" t="s">
        <v>674</v>
      </c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239"/>
      <c r="AD55" s="239"/>
      <c r="AE55" s="239"/>
      <c r="AF55" s="244"/>
    </row>
    <row r="56" spans="1:32" ht="15" customHeight="1">
      <c r="A56" s="380" t="s">
        <v>675</v>
      </c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239"/>
      <c r="AD56" s="239"/>
      <c r="AE56" s="239"/>
      <c r="AF56" s="244"/>
    </row>
    <row r="57" spans="1:32" ht="15" customHeight="1">
      <c r="A57" s="380" t="s">
        <v>676</v>
      </c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239"/>
      <c r="AD57" s="239"/>
      <c r="AE57" s="239"/>
      <c r="AF57" s="244"/>
    </row>
    <row r="58" spans="1:32" ht="15" customHeight="1">
      <c r="A58" s="380" t="s">
        <v>677</v>
      </c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239"/>
      <c r="AD58" s="239"/>
      <c r="AE58" s="239"/>
      <c r="AF58" s="244"/>
    </row>
    <row r="59" spans="1:32" ht="15" customHeight="1">
      <c r="A59" s="380" t="s">
        <v>678</v>
      </c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239"/>
      <c r="AD59" s="239"/>
      <c r="AE59" s="239"/>
      <c r="AF59" s="244"/>
    </row>
    <row r="60" spans="1:32" ht="15" customHeight="1">
      <c r="A60" s="380" t="s">
        <v>679</v>
      </c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239"/>
      <c r="AD60" s="239"/>
      <c r="AE60" s="239"/>
      <c r="AF60" s="244"/>
    </row>
    <row r="61" spans="1:32" ht="15" customHeight="1">
      <c r="A61" s="380" t="s">
        <v>680</v>
      </c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239"/>
      <c r="AD61" s="239"/>
      <c r="AE61" s="239"/>
      <c r="AF61" s="244"/>
    </row>
    <row r="62" spans="1:32" ht="15" customHeight="1">
      <c r="A62" s="380" t="s">
        <v>681</v>
      </c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239"/>
      <c r="AD62" s="239"/>
      <c r="AE62" s="239"/>
      <c r="AF62" s="244"/>
    </row>
    <row r="63" spans="1:32" ht="15" customHeight="1">
      <c r="A63" s="380" t="s">
        <v>682</v>
      </c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239"/>
      <c r="AD63" s="239"/>
      <c r="AE63" s="239"/>
      <c r="AF63" s="244"/>
    </row>
    <row r="64" spans="1:32">
      <c r="A64" s="380" t="s">
        <v>683</v>
      </c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239"/>
      <c r="AD64" s="239"/>
      <c r="AE64" s="239"/>
      <c r="AF64" s="244"/>
    </row>
    <row r="65" spans="1:31">
      <c r="A65" s="380" t="s">
        <v>684</v>
      </c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239"/>
      <c r="AD65" s="239"/>
      <c r="AE65" s="239"/>
    </row>
    <row r="66" spans="1:31">
      <c r="A66" s="380" t="s">
        <v>685</v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239"/>
      <c r="AD66" s="239"/>
      <c r="AE66" s="239"/>
    </row>
    <row r="67" spans="1:31">
      <c r="A67" s="380" t="s">
        <v>686</v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239"/>
      <c r="AD67" s="239"/>
      <c r="AE67" s="239"/>
    </row>
  </sheetData>
  <mergeCells count="79">
    <mergeCell ref="AB2:AB3"/>
    <mergeCell ref="A7:X7"/>
    <mergeCell ref="A1:X1"/>
    <mergeCell ref="A2:A3"/>
    <mergeCell ref="B2:B3"/>
    <mergeCell ref="C2:C3"/>
    <mergeCell ref="D2:D3"/>
    <mergeCell ref="E2:J2"/>
    <mergeCell ref="K2:K3"/>
    <mergeCell ref="L2:L3"/>
    <mergeCell ref="M2:V2"/>
    <mergeCell ref="W2:W3"/>
    <mergeCell ref="AA2:AA3"/>
    <mergeCell ref="X2:X3"/>
    <mergeCell ref="Y2:Y3"/>
    <mergeCell ref="Z2:Z3"/>
    <mergeCell ref="A8:X8"/>
    <mergeCell ref="A9:X9"/>
    <mergeCell ref="A10:X10"/>
    <mergeCell ref="A11:X11"/>
    <mergeCell ref="N33:N34"/>
    <mergeCell ref="A13:X13"/>
    <mergeCell ref="B12:X12"/>
    <mergeCell ref="A28:AB28"/>
    <mergeCell ref="A14:X14"/>
    <mergeCell ref="A15:X15"/>
    <mergeCell ref="A16:X16"/>
    <mergeCell ref="A17:X17"/>
    <mergeCell ref="A18:X18"/>
    <mergeCell ref="A19:X19"/>
    <mergeCell ref="A20:AB20"/>
    <mergeCell ref="A24:AB24"/>
    <mergeCell ref="A25:AB25"/>
    <mergeCell ref="A26:AB26"/>
    <mergeCell ref="A27:AB27"/>
    <mergeCell ref="A29:AB29"/>
    <mergeCell ref="A31:AB31"/>
    <mergeCell ref="A33:A34"/>
    <mergeCell ref="B33:B34"/>
    <mergeCell ref="C33:C34"/>
    <mergeCell ref="D33:D34"/>
    <mergeCell ref="E33:E34"/>
    <mergeCell ref="F33:F34"/>
    <mergeCell ref="G33:G34"/>
    <mergeCell ref="H33:H34"/>
    <mergeCell ref="O33:O34"/>
    <mergeCell ref="I33:I34"/>
    <mergeCell ref="J33:J34"/>
    <mergeCell ref="K33:K34"/>
    <mergeCell ref="L33:L34"/>
    <mergeCell ref="M33:M34"/>
    <mergeCell ref="A58:AB58"/>
    <mergeCell ref="C47:C48"/>
    <mergeCell ref="D47:D48"/>
    <mergeCell ref="E47:E48"/>
    <mergeCell ref="F47:F48"/>
    <mergeCell ref="G47:G48"/>
    <mergeCell ref="H47:O47"/>
    <mergeCell ref="A53:AB53"/>
    <mergeCell ref="A54:AB54"/>
    <mergeCell ref="A55:AB55"/>
    <mergeCell ref="A56:AB56"/>
    <mergeCell ref="A57:AB57"/>
    <mergeCell ref="A46:AE46"/>
    <mergeCell ref="A47:A48"/>
    <mergeCell ref="B47:B48"/>
    <mergeCell ref="A66:AB66"/>
    <mergeCell ref="A67:AB67"/>
    <mergeCell ref="A60:AB60"/>
    <mergeCell ref="A61:AB61"/>
    <mergeCell ref="A62:AB62"/>
    <mergeCell ref="A63:AB63"/>
    <mergeCell ref="A64:AB64"/>
    <mergeCell ref="A65:AB65"/>
    <mergeCell ref="A59:AB59"/>
    <mergeCell ref="P47:AC47"/>
    <mergeCell ref="AD47:AD48"/>
    <mergeCell ref="AE47:AE48"/>
    <mergeCell ref="A52:AB52"/>
  </mergeCells>
  <phoneticPr fontId="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Y136"/>
  <sheetViews>
    <sheetView workbookViewId="0">
      <pane xSplit="1" ySplit="2" topLeftCell="B3" activePane="bottomRight" state="frozen"/>
      <selection pane="bottomRight" activeCell="W27" sqref="W27"/>
      <selection pane="bottomLeft" activeCell="A3" sqref="A3"/>
      <selection pane="topRight" activeCell="C1" sqref="C1"/>
    </sheetView>
  </sheetViews>
  <sheetFormatPr defaultColWidth="10.28515625" defaultRowHeight="12.95"/>
  <cols>
    <col min="1" max="1" width="11.28515625" style="48" bestFit="1" customWidth="1"/>
    <col min="2" max="2" width="3.28515625" style="32" bestFit="1" customWidth="1"/>
    <col min="3" max="5" width="7.28515625" style="33" bestFit="1" customWidth="1"/>
    <col min="6" max="6" width="9" style="33" bestFit="1" customWidth="1"/>
    <col min="7" max="7" width="11.28515625" style="43" bestFit="1" customWidth="1"/>
    <col min="8" max="8" width="11.28515625" style="43" customWidth="1"/>
    <col min="9" max="9" width="9.28515625" style="33" bestFit="1" customWidth="1"/>
    <col min="10" max="11" width="8" style="33" bestFit="1" customWidth="1"/>
    <col min="12" max="12" width="7.28515625" style="33" bestFit="1" customWidth="1"/>
    <col min="13" max="14" width="7" style="33" bestFit="1" customWidth="1"/>
    <col min="15" max="15" width="8" style="33" bestFit="1" customWidth="1"/>
    <col min="16" max="17" width="11.28515625" style="43" bestFit="1" customWidth="1"/>
    <col min="18" max="18" width="11.28515625" style="43" customWidth="1"/>
    <col min="19" max="19" width="4.28515625" style="32" customWidth="1"/>
    <col min="20" max="20" width="11.28515625" style="47" bestFit="1" customWidth="1"/>
    <col min="21" max="21" width="11.28515625" style="32" bestFit="1" customWidth="1"/>
    <col min="22" max="22" width="4.28515625" style="32" bestFit="1" customWidth="1"/>
    <col min="23" max="23" width="11.28515625" style="47" bestFit="1" customWidth="1"/>
    <col min="24" max="24" width="11.28515625" style="32" bestFit="1" customWidth="1"/>
    <col min="25" max="16384" width="10.28515625" style="32"/>
  </cols>
  <sheetData>
    <row r="1" spans="1:25">
      <c r="C1" s="401" t="s">
        <v>687</v>
      </c>
      <c r="D1" s="401"/>
      <c r="E1" s="401"/>
      <c r="F1" s="401"/>
      <c r="G1" s="401"/>
      <c r="H1" s="46"/>
      <c r="J1" s="401" t="s">
        <v>688</v>
      </c>
      <c r="K1" s="401"/>
      <c r="L1" s="401"/>
      <c r="M1" s="401"/>
      <c r="N1" s="401"/>
      <c r="O1" s="401"/>
      <c r="P1" s="401"/>
      <c r="Q1" s="401"/>
      <c r="T1" s="400" t="s">
        <v>689</v>
      </c>
      <c r="U1" s="400"/>
      <c r="W1" s="400" t="s">
        <v>690</v>
      </c>
      <c r="X1" s="400"/>
    </row>
    <row r="2" spans="1:25">
      <c r="A2" s="48" t="s">
        <v>691</v>
      </c>
      <c r="C2" s="33" t="s">
        <v>692</v>
      </c>
      <c r="D2" s="33" t="s">
        <v>693</v>
      </c>
      <c r="E2" s="33" t="s">
        <v>694</v>
      </c>
      <c r="F2" s="33" t="s">
        <v>695</v>
      </c>
      <c r="G2" s="43" t="s">
        <v>696</v>
      </c>
      <c r="J2" s="33" t="s">
        <v>692</v>
      </c>
      <c r="K2" s="33" t="s">
        <v>693</v>
      </c>
      <c r="L2" s="33" t="s">
        <v>694</v>
      </c>
      <c r="M2" s="33" t="s">
        <v>440</v>
      </c>
      <c r="N2" s="33" t="s">
        <v>441</v>
      </c>
      <c r="O2" s="33" t="s">
        <v>443</v>
      </c>
      <c r="P2" s="43" t="s">
        <v>696</v>
      </c>
      <c r="Q2" s="43" t="s">
        <v>697</v>
      </c>
      <c r="T2" s="47" t="s">
        <v>698</v>
      </c>
      <c r="U2" s="32" t="s">
        <v>699</v>
      </c>
      <c r="W2" s="47" t="s">
        <v>698</v>
      </c>
      <c r="X2" s="32" t="s">
        <v>699</v>
      </c>
      <c r="Y2" s="32" t="s">
        <v>700</v>
      </c>
    </row>
    <row r="3" spans="1:25">
      <c r="A3" s="48" t="s">
        <v>701</v>
      </c>
      <c r="C3" s="33">
        <v>0.08</v>
      </c>
      <c r="D3" s="31">
        <v>0.02</v>
      </c>
      <c r="E3" s="33">
        <v>2E-3</v>
      </c>
      <c r="F3" s="33">
        <v>0.12</v>
      </c>
      <c r="G3" s="43">
        <v>3</v>
      </c>
      <c r="J3" s="33">
        <v>0.2</v>
      </c>
      <c r="K3" s="33">
        <v>0.1</v>
      </c>
      <c r="L3" s="33">
        <v>0.01</v>
      </c>
      <c r="M3" s="33">
        <v>8.0000000000000002E-3</v>
      </c>
      <c r="N3" s="33">
        <v>5.0000000000000001E-3</v>
      </c>
      <c r="O3" s="33">
        <v>0.12</v>
      </c>
      <c r="T3" s="47">
        <v>2</v>
      </c>
      <c r="U3" s="32" t="s">
        <v>702</v>
      </c>
      <c r="W3" s="47">
        <v>0</v>
      </c>
      <c r="X3" s="32" t="s">
        <v>702</v>
      </c>
      <c r="Y3" s="201">
        <v>454080</v>
      </c>
    </row>
    <row r="4" spans="1:25">
      <c r="A4" s="48" t="s">
        <v>703</v>
      </c>
      <c r="T4" s="47">
        <v>2</v>
      </c>
      <c r="U4" s="32" t="s">
        <v>704</v>
      </c>
      <c r="W4" s="47">
        <v>0</v>
      </c>
      <c r="X4" s="32" t="s">
        <v>702</v>
      </c>
    </row>
    <row r="5" spans="1:25">
      <c r="A5" s="48" t="s">
        <v>628</v>
      </c>
      <c r="C5" s="33">
        <v>0.08</v>
      </c>
      <c r="D5" s="33">
        <v>0.02</v>
      </c>
      <c r="E5" s="33">
        <v>0.01</v>
      </c>
      <c r="F5" s="33">
        <v>0.08</v>
      </c>
      <c r="J5" s="33">
        <v>0.2</v>
      </c>
      <c r="K5" s="33">
        <v>7.6999999999999999E-2</v>
      </c>
      <c r="L5" s="33">
        <v>0.02</v>
      </c>
      <c r="M5" s="33">
        <v>6.0000000000000001E-3</v>
      </c>
      <c r="N5" s="33">
        <v>6.0000000000000001E-3</v>
      </c>
      <c r="O5" s="33">
        <v>0.08</v>
      </c>
      <c r="T5" s="47">
        <v>2</v>
      </c>
      <c r="U5" s="32" t="s">
        <v>702</v>
      </c>
      <c r="W5" s="47">
        <v>0</v>
      </c>
      <c r="X5" s="32" t="s">
        <v>702</v>
      </c>
    </row>
    <row r="6" spans="1:25">
      <c r="A6" s="48" t="s">
        <v>705</v>
      </c>
      <c r="C6" s="33">
        <v>0.08</v>
      </c>
      <c r="D6" s="33">
        <v>0.02</v>
      </c>
      <c r="E6" s="33">
        <v>0.01</v>
      </c>
      <c r="F6" s="33">
        <v>0.12</v>
      </c>
      <c r="J6" s="33">
        <v>0.2</v>
      </c>
      <c r="K6" s="33">
        <v>0.08</v>
      </c>
      <c r="L6" s="33">
        <v>0.02</v>
      </c>
      <c r="M6" s="33">
        <v>8.0000000000000002E-3</v>
      </c>
      <c r="N6" s="33">
        <v>6.0000000000000001E-3</v>
      </c>
      <c r="O6" s="33">
        <v>0.12</v>
      </c>
      <c r="T6" s="47">
        <v>2</v>
      </c>
      <c r="U6" s="32" t="s">
        <v>702</v>
      </c>
      <c r="W6" s="47">
        <v>0</v>
      </c>
      <c r="X6" s="32" t="s">
        <v>702</v>
      </c>
    </row>
    <row r="7" spans="1:25">
      <c r="A7" s="48" t="s">
        <v>706</v>
      </c>
      <c r="C7" s="33">
        <v>0.08</v>
      </c>
      <c r="D7" s="33">
        <v>0.02</v>
      </c>
      <c r="E7" s="33">
        <v>0.01</v>
      </c>
      <c r="F7" s="33">
        <v>0.05</v>
      </c>
      <c r="J7" s="33">
        <v>0.1</v>
      </c>
      <c r="K7" s="33">
        <v>0.06</v>
      </c>
      <c r="L7" s="33">
        <v>0.01</v>
      </c>
      <c r="M7" s="33">
        <v>5.0000000000000001E-3</v>
      </c>
      <c r="N7" s="33">
        <v>5.0000000000000001E-3</v>
      </c>
      <c r="O7" s="33">
        <v>0.05</v>
      </c>
      <c r="T7" s="47">
        <v>2</v>
      </c>
      <c r="U7" s="32" t="s">
        <v>702</v>
      </c>
      <c r="W7" s="47">
        <v>0</v>
      </c>
      <c r="X7" s="32" t="s">
        <v>702</v>
      </c>
    </row>
    <row r="8" spans="1:25">
      <c r="A8" s="48" t="s">
        <v>707</v>
      </c>
      <c r="C8" s="33">
        <v>0.08</v>
      </c>
      <c r="D8" s="33">
        <v>0.02</v>
      </c>
      <c r="E8" s="33">
        <v>0.01</v>
      </c>
      <c r="F8" s="33">
        <v>0.12</v>
      </c>
      <c r="J8" s="33">
        <v>0.12</v>
      </c>
      <c r="K8" s="31">
        <v>0.08</v>
      </c>
      <c r="L8" s="33">
        <v>0.02</v>
      </c>
      <c r="M8" s="33">
        <v>8.5000000000000006E-3</v>
      </c>
      <c r="N8" s="33">
        <v>5.0000000000000001E-3</v>
      </c>
      <c r="O8" s="33">
        <v>0.08</v>
      </c>
      <c r="P8" s="43">
        <v>11.81</v>
      </c>
      <c r="T8" s="47">
        <v>2</v>
      </c>
      <c r="U8" s="32" t="s">
        <v>702</v>
      </c>
      <c r="W8" s="47">
        <v>0</v>
      </c>
      <c r="X8" s="32" t="s">
        <v>702</v>
      </c>
    </row>
    <row r="9" spans="1:25">
      <c r="A9" s="48" t="s">
        <v>708</v>
      </c>
      <c r="T9" s="47">
        <v>2</v>
      </c>
      <c r="U9" s="32" t="s">
        <v>704</v>
      </c>
      <c r="W9" s="47">
        <v>0</v>
      </c>
      <c r="X9" s="32" t="s">
        <v>702</v>
      </c>
    </row>
    <row r="10" spans="1:25">
      <c r="A10" s="48" t="s">
        <v>709</v>
      </c>
      <c r="T10" s="47">
        <v>2</v>
      </c>
      <c r="U10" s="32" t="s">
        <v>704</v>
      </c>
      <c r="W10" s="47">
        <v>0</v>
      </c>
      <c r="X10" s="32" t="s">
        <v>702</v>
      </c>
    </row>
    <row r="11" spans="1:25">
      <c r="A11" s="48" t="s">
        <v>710</v>
      </c>
      <c r="C11" s="33">
        <v>0.08</v>
      </c>
      <c r="D11" s="31">
        <v>0.02</v>
      </c>
      <c r="E11" s="33">
        <v>0.01</v>
      </c>
      <c r="F11" s="33">
        <v>0.12</v>
      </c>
      <c r="G11" s="43">
        <v>4</v>
      </c>
      <c r="J11" s="33">
        <v>0.14000000000000001</v>
      </c>
      <c r="K11" s="33">
        <v>0.115</v>
      </c>
      <c r="L11" s="33">
        <v>0.02</v>
      </c>
      <c r="M11" s="33">
        <v>8.0000000000000002E-3</v>
      </c>
      <c r="N11" s="33">
        <v>5.0000000000000001E-3</v>
      </c>
      <c r="O11" s="33">
        <v>0.12</v>
      </c>
      <c r="T11" s="47">
        <v>2</v>
      </c>
      <c r="U11" s="32" t="s">
        <v>704</v>
      </c>
      <c r="W11" s="47">
        <v>0</v>
      </c>
      <c r="X11" s="32" t="s">
        <v>702</v>
      </c>
    </row>
    <row r="12" spans="1:25">
      <c r="A12" s="48" t="s">
        <v>711</v>
      </c>
    </row>
    <row r="13" spans="1:25">
      <c r="A13" s="48" t="s">
        <v>712</v>
      </c>
      <c r="C13" s="33">
        <v>0.08</v>
      </c>
      <c r="D13" s="33">
        <v>0.02</v>
      </c>
      <c r="E13" s="33">
        <v>0.01</v>
      </c>
      <c r="F13" s="33">
        <v>0.05</v>
      </c>
      <c r="J13" s="33">
        <v>0.2</v>
      </c>
      <c r="K13" s="31">
        <v>0.06</v>
      </c>
      <c r="L13" s="33">
        <v>0.02</v>
      </c>
      <c r="M13" s="33">
        <v>7.0000000000000001E-3</v>
      </c>
      <c r="N13" s="33">
        <v>6.0000000000000001E-3</v>
      </c>
      <c r="O13" s="33">
        <v>0.05</v>
      </c>
      <c r="P13" s="43">
        <v>8</v>
      </c>
      <c r="T13" s="47">
        <v>2</v>
      </c>
      <c r="U13" s="32" t="s">
        <v>702</v>
      </c>
      <c r="W13" s="47">
        <v>0</v>
      </c>
      <c r="X13" s="32" t="s">
        <v>702</v>
      </c>
    </row>
    <row r="14" spans="1:25">
      <c r="A14" s="48" t="s">
        <v>713</v>
      </c>
      <c r="T14" s="47">
        <v>2</v>
      </c>
      <c r="U14" s="32" t="s">
        <v>702</v>
      </c>
      <c r="W14" s="47">
        <v>0</v>
      </c>
      <c r="X14" s="32" t="s">
        <v>702</v>
      </c>
    </row>
    <row r="15" spans="1:25">
      <c r="A15" s="48" t="s">
        <v>714</v>
      </c>
      <c r="T15" s="47">
        <v>2</v>
      </c>
      <c r="U15" s="32" t="s">
        <v>702</v>
      </c>
      <c r="W15" s="47">
        <v>0</v>
      </c>
      <c r="X15" s="32" t="s">
        <v>702</v>
      </c>
    </row>
    <row r="16" spans="1:25">
      <c r="A16" s="48" t="s">
        <v>715</v>
      </c>
      <c r="T16" s="47">
        <v>2</v>
      </c>
      <c r="U16" s="32" t="s">
        <v>702</v>
      </c>
      <c r="W16" s="47">
        <v>0</v>
      </c>
      <c r="X16" s="32" t="s">
        <v>702</v>
      </c>
    </row>
    <row r="17" spans="1:25">
      <c r="A17" s="48" t="s">
        <v>716</v>
      </c>
      <c r="T17" s="47">
        <v>2</v>
      </c>
      <c r="U17" s="32" t="s">
        <v>702</v>
      </c>
      <c r="W17" s="47">
        <v>0</v>
      </c>
      <c r="X17" s="32" t="s">
        <v>702</v>
      </c>
    </row>
    <row r="18" spans="1:25">
      <c r="A18" s="48" t="s">
        <v>717</v>
      </c>
      <c r="C18" s="33">
        <v>0.08</v>
      </c>
      <c r="D18" s="33">
        <v>0.02</v>
      </c>
      <c r="E18" s="33">
        <v>0.01</v>
      </c>
      <c r="F18" s="33">
        <v>0.08</v>
      </c>
      <c r="J18" s="33">
        <v>0.2</v>
      </c>
      <c r="K18" s="33">
        <v>7.4999999999999997E-2</v>
      </c>
      <c r="L18" s="33">
        <v>0.02</v>
      </c>
      <c r="M18" s="33">
        <v>8.9999999999999993E-3</v>
      </c>
      <c r="N18" s="33">
        <v>5.0000000000000001E-3</v>
      </c>
      <c r="O18" s="33">
        <v>0.08</v>
      </c>
      <c r="T18" s="47">
        <v>1</v>
      </c>
      <c r="U18" s="32" t="s">
        <v>702</v>
      </c>
      <c r="W18" s="47">
        <v>0</v>
      </c>
      <c r="X18" s="32" t="s">
        <v>702</v>
      </c>
    </row>
    <row r="19" spans="1:25">
      <c r="A19" s="48" t="s">
        <v>631</v>
      </c>
      <c r="T19" s="47">
        <v>2</v>
      </c>
      <c r="U19" s="32" t="s">
        <v>702</v>
      </c>
      <c r="W19" s="47">
        <v>0</v>
      </c>
      <c r="X19" s="32" t="s">
        <v>702</v>
      </c>
    </row>
    <row r="20" spans="1:25">
      <c r="A20" s="48" t="s">
        <v>718</v>
      </c>
      <c r="C20" s="33">
        <v>0.08</v>
      </c>
      <c r="D20" s="31">
        <v>0.02</v>
      </c>
      <c r="E20" s="33">
        <v>0.01</v>
      </c>
      <c r="F20" s="33">
        <v>0.08</v>
      </c>
      <c r="G20" s="43">
        <v>10</v>
      </c>
      <c r="J20" s="33">
        <v>0.2</v>
      </c>
      <c r="K20" s="33">
        <v>0.08</v>
      </c>
      <c r="L20" s="33">
        <v>0.02</v>
      </c>
      <c r="M20" s="33">
        <v>8.0000000000000002E-3</v>
      </c>
      <c r="N20" s="33">
        <v>5.0000000000000001E-3</v>
      </c>
      <c r="O20" s="33">
        <v>0.08</v>
      </c>
      <c r="T20" s="47">
        <v>1</v>
      </c>
      <c r="U20" s="32" t="s">
        <v>719</v>
      </c>
      <c r="W20" s="47">
        <v>0</v>
      </c>
      <c r="X20" s="32" t="s">
        <v>702</v>
      </c>
    </row>
    <row r="21" spans="1:25">
      <c r="A21" s="48" t="s">
        <v>720</v>
      </c>
      <c r="T21" s="47">
        <v>2</v>
      </c>
      <c r="U21" s="32" t="s">
        <v>702</v>
      </c>
      <c r="W21" s="47">
        <v>0</v>
      </c>
      <c r="X21" s="32" t="s">
        <v>702</v>
      </c>
    </row>
    <row r="22" spans="1:25">
      <c r="A22" s="48" t="s">
        <v>721</v>
      </c>
      <c r="C22" s="33">
        <v>0.08</v>
      </c>
      <c r="D22" s="33">
        <v>0.02</v>
      </c>
      <c r="E22" s="33">
        <v>0.01</v>
      </c>
      <c r="F22" s="33">
        <v>0.12</v>
      </c>
      <c r="J22" s="33">
        <v>0.18</v>
      </c>
      <c r="K22" s="33">
        <v>7.4999999999999997E-2</v>
      </c>
      <c r="L22" s="33">
        <v>0.02</v>
      </c>
      <c r="M22" s="33">
        <v>7.0000000000000001E-3</v>
      </c>
      <c r="N22" s="33">
        <v>5.0000000000000001E-3</v>
      </c>
      <c r="O22" s="33">
        <v>0.12</v>
      </c>
      <c r="T22" s="47">
        <v>2</v>
      </c>
      <c r="U22" s="32" t="s">
        <v>702</v>
      </c>
      <c r="W22" s="47">
        <v>0</v>
      </c>
      <c r="X22" s="32" t="s">
        <v>702</v>
      </c>
    </row>
    <row r="23" spans="1:25">
      <c r="A23" s="48" t="s">
        <v>722</v>
      </c>
      <c r="T23" s="47">
        <v>2</v>
      </c>
      <c r="U23" s="32" t="s">
        <v>702</v>
      </c>
      <c r="W23" s="47">
        <v>0</v>
      </c>
      <c r="X23" s="32" t="s">
        <v>702</v>
      </c>
    </row>
    <row r="24" spans="1:25">
      <c r="A24" s="48" t="s">
        <v>723</v>
      </c>
      <c r="C24" s="33">
        <v>0.08</v>
      </c>
      <c r="D24" s="33">
        <v>0.02</v>
      </c>
      <c r="E24" s="33">
        <v>0.01</v>
      </c>
      <c r="F24" s="33">
        <v>0.08</v>
      </c>
      <c r="J24" s="33">
        <v>0.15</v>
      </c>
      <c r="K24" s="33">
        <v>0.06</v>
      </c>
      <c r="L24" s="33">
        <v>0.01</v>
      </c>
      <c r="M24" s="33">
        <v>4.4999999999999997E-3</v>
      </c>
      <c r="N24" s="33">
        <v>5.0000000000000001E-3</v>
      </c>
      <c r="O24" s="33">
        <v>0.08</v>
      </c>
      <c r="T24" s="47">
        <v>1</v>
      </c>
      <c r="U24" s="32" t="s">
        <v>719</v>
      </c>
      <c r="W24" s="47">
        <v>0</v>
      </c>
      <c r="X24" s="32" t="s">
        <v>702</v>
      </c>
    </row>
    <row r="25" spans="1:25">
      <c r="A25" s="48" t="s">
        <v>724</v>
      </c>
      <c r="C25" s="31">
        <v>0.08</v>
      </c>
      <c r="D25" s="31">
        <v>0.02</v>
      </c>
      <c r="E25" s="31">
        <v>0.01</v>
      </c>
      <c r="F25" s="31">
        <v>7.0000000000000007E-2</v>
      </c>
      <c r="G25" s="42"/>
      <c r="H25" s="42"/>
      <c r="I25" s="31"/>
      <c r="J25" s="31">
        <v>0.22</v>
      </c>
      <c r="K25" s="31">
        <v>0.12</v>
      </c>
      <c r="L25" s="31">
        <v>1.7000000000000001E-2</v>
      </c>
      <c r="M25" s="31">
        <v>8.0000000000000002E-3</v>
      </c>
      <c r="N25" s="31">
        <v>5.0000000000000001E-3</v>
      </c>
      <c r="O25" s="31">
        <v>7.0000000000000007E-2</v>
      </c>
      <c r="T25" s="47">
        <v>1</v>
      </c>
      <c r="U25" s="32" t="s">
        <v>719</v>
      </c>
      <c r="W25" s="47">
        <v>0</v>
      </c>
      <c r="X25" s="32" t="s">
        <v>702</v>
      </c>
      <c r="Y25" s="201">
        <v>372168</v>
      </c>
    </row>
    <row r="26" spans="1:25">
      <c r="A26" s="48" t="s">
        <v>725</v>
      </c>
      <c r="T26" s="47">
        <v>1</v>
      </c>
      <c r="U26" s="32" t="s">
        <v>719</v>
      </c>
      <c r="W26" s="47">
        <v>0</v>
      </c>
      <c r="X26" s="32" t="s">
        <v>702</v>
      </c>
    </row>
    <row r="27" spans="1:25">
      <c r="A27" s="48" t="s">
        <v>352</v>
      </c>
      <c r="T27" s="47">
        <v>2</v>
      </c>
      <c r="U27" s="32" t="s">
        <v>702</v>
      </c>
      <c r="W27" s="47">
        <v>2</v>
      </c>
      <c r="X27" s="32" t="s">
        <v>702</v>
      </c>
    </row>
    <row r="28" spans="1:25">
      <c r="A28" s="48" t="s">
        <v>726</v>
      </c>
      <c r="T28" s="47">
        <v>2</v>
      </c>
      <c r="U28" s="32" t="s">
        <v>702</v>
      </c>
      <c r="W28" s="47">
        <v>0</v>
      </c>
      <c r="X28" s="32" t="s">
        <v>702</v>
      </c>
    </row>
    <row r="29" spans="1:25">
      <c r="A29" s="48" t="s">
        <v>727</v>
      </c>
      <c r="C29" s="33">
        <v>0.08</v>
      </c>
      <c r="D29" s="33">
        <v>0.02</v>
      </c>
      <c r="E29" s="33">
        <v>5.0000000000000001E-3</v>
      </c>
      <c r="F29" s="33">
        <v>0.12</v>
      </c>
      <c r="J29" s="33">
        <v>0.11</v>
      </c>
      <c r="K29" s="33">
        <v>5.6000000000000001E-2</v>
      </c>
      <c r="L29" s="33">
        <v>5.0000000000000001E-3</v>
      </c>
      <c r="M29" s="33">
        <v>8.9999999999999993E-3</v>
      </c>
      <c r="N29" s="33">
        <v>4.4999999999999997E-3</v>
      </c>
      <c r="O29" s="33">
        <v>0.12</v>
      </c>
      <c r="T29" s="47">
        <v>2</v>
      </c>
      <c r="U29" s="32" t="s">
        <v>702</v>
      </c>
      <c r="W29" s="47">
        <v>0</v>
      </c>
      <c r="X29" s="32" t="s">
        <v>702</v>
      </c>
    </row>
    <row r="30" spans="1:25">
      <c r="A30" s="48" t="s">
        <v>728</v>
      </c>
      <c r="T30" s="47">
        <v>2</v>
      </c>
      <c r="U30" s="32" t="s">
        <v>702</v>
      </c>
      <c r="W30" s="47">
        <v>0</v>
      </c>
      <c r="X30" s="32" t="s">
        <v>702</v>
      </c>
    </row>
    <row r="31" spans="1:25">
      <c r="A31" s="48" t="s">
        <v>729</v>
      </c>
      <c r="C31" s="33">
        <v>0.01</v>
      </c>
      <c r="D31" s="33">
        <v>1.7500000000000002E-2</v>
      </c>
      <c r="E31" s="33">
        <v>1.2500000000000001E-2</v>
      </c>
      <c r="F31" s="33">
        <v>0.18</v>
      </c>
      <c r="J31" s="33">
        <v>0.01</v>
      </c>
      <c r="K31" s="33">
        <v>0.01</v>
      </c>
      <c r="L31" s="33">
        <v>1.2500000000000001E-2</v>
      </c>
      <c r="M31" s="33">
        <v>7.4999999999999997E-3</v>
      </c>
      <c r="N31" s="33">
        <v>2E-3</v>
      </c>
      <c r="O31" s="33">
        <v>0.18</v>
      </c>
      <c r="T31" s="47">
        <v>1</v>
      </c>
      <c r="U31" s="32" t="s">
        <v>719</v>
      </c>
      <c r="W31" s="47">
        <v>0</v>
      </c>
      <c r="X31" s="32" t="s">
        <v>702</v>
      </c>
    </row>
    <row r="32" spans="1:25">
      <c r="A32" s="48" t="s">
        <v>730</v>
      </c>
      <c r="T32" s="47">
        <v>2</v>
      </c>
      <c r="U32" s="32" t="s">
        <v>702</v>
      </c>
      <c r="W32" s="47">
        <v>0</v>
      </c>
      <c r="X32" s="32" t="s">
        <v>702</v>
      </c>
    </row>
    <row r="33" spans="1:24">
      <c r="A33" s="48" t="s">
        <v>731</v>
      </c>
      <c r="T33" s="47">
        <v>2</v>
      </c>
      <c r="U33" s="32" t="s">
        <v>702</v>
      </c>
      <c r="W33" s="47">
        <v>0</v>
      </c>
      <c r="X33" s="32" t="s">
        <v>702</v>
      </c>
    </row>
    <row r="34" spans="1:24">
      <c r="A34" s="48" t="s">
        <v>732</v>
      </c>
      <c r="C34" s="33">
        <v>0.08</v>
      </c>
      <c r="D34" s="33">
        <v>2.3E-2</v>
      </c>
      <c r="E34" s="33">
        <v>0.01</v>
      </c>
      <c r="F34" s="33">
        <v>0.1</v>
      </c>
      <c r="J34" s="33">
        <v>0.21</v>
      </c>
      <c r="K34" s="33">
        <v>9.5000000000000001E-2</v>
      </c>
      <c r="L34" s="33">
        <v>0.02</v>
      </c>
      <c r="M34" s="33">
        <v>0.01</v>
      </c>
      <c r="N34" s="31">
        <v>8.0000000000000002E-3</v>
      </c>
      <c r="O34" s="33">
        <v>0.1</v>
      </c>
      <c r="Q34" s="43">
        <v>19.5</v>
      </c>
      <c r="T34" s="47">
        <v>2</v>
      </c>
      <c r="U34" s="32" t="s">
        <v>704</v>
      </c>
      <c r="W34" s="47">
        <v>0</v>
      </c>
      <c r="X34" s="32" t="s">
        <v>702</v>
      </c>
    </row>
    <row r="35" spans="1:24">
      <c r="A35" s="48" t="s">
        <v>733</v>
      </c>
      <c r="C35" s="33">
        <v>0.08</v>
      </c>
      <c r="D35" s="33">
        <v>0.02</v>
      </c>
      <c r="E35" s="33">
        <v>0.01</v>
      </c>
      <c r="F35" s="33">
        <v>0.11</v>
      </c>
      <c r="J35" s="33">
        <v>0.2</v>
      </c>
      <c r="K35" s="33">
        <v>0.1</v>
      </c>
      <c r="L35" s="33">
        <v>0.02</v>
      </c>
      <c r="M35" s="33">
        <v>8.0000000000000002E-3</v>
      </c>
      <c r="N35" s="33">
        <v>5.0000000000000001E-3</v>
      </c>
      <c r="O35" s="33">
        <v>0.11</v>
      </c>
      <c r="T35" s="47">
        <v>2</v>
      </c>
      <c r="U35" s="32" t="s">
        <v>704</v>
      </c>
      <c r="W35" s="47">
        <v>0</v>
      </c>
      <c r="X35" s="32" t="s">
        <v>702</v>
      </c>
    </row>
    <row r="36" spans="1:24">
      <c r="A36" s="48" t="s">
        <v>734</v>
      </c>
    </row>
    <row r="37" spans="1:24">
      <c r="A37" s="48" t="s">
        <v>735</v>
      </c>
      <c r="C37" s="33">
        <v>0.08</v>
      </c>
      <c r="D37" s="31">
        <v>0.02</v>
      </c>
      <c r="E37" s="33">
        <v>0.01</v>
      </c>
      <c r="F37" s="33">
        <v>0.12</v>
      </c>
      <c r="G37" s="43">
        <v>9</v>
      </c>
      <c r="J37" s="33">
        <v>0.14000000000000001</v>
      </c>
      <c r="K37" s="33">
        <v>9.5000000000000001E-2</v>
      </c>
      <c r="L37" s="33">
        <v>0.02</v>
      </c>
      <c r="M37" s="33">
        <v>6.0000000000000001E-3</v>
      </c>
      <c r="N37" s="33">
        <v>4.0000000000000001E-3</v>
      </c>
      <c r="O37" s="33">
        <v>0.12</v>
      </c>
      <c r="T37" s="47">
        <v>2</v>
      </c>
      <c r="U37" s="32" t="s">
        <v>702</v>
      </c>
      <c r="W37" s="47">
        <v>0</v>
      </c>
      <c r="X37" s="32" t="s">
        <v>702</v>
      </c>
    </row>
    <row r="38" spans="1:24">
      <c r="A38" s="48" t="s">
        <v>736</v>
      </c>
      <c r="C38" s="33">
        <v>0.08</v>
      </c>
      <c r="D38" s="33">
        <v>0.02</v>
      </c>
      <c r="E38" s="33">
        <v>0.01</v>
      </c>
      <c r="F38" s="33">
        <v>0.12</v>
      </c>
      <c r="J38" s="33">
        <v>0.2</v>
      </c>
      <c r="K38" s="33">
        <v>8.2000000000000003E-2</v>
      </c>
      <c r="L38" s="33">
        <v>0.02</v>
      </c>
      <c r="M38" s="33">
        <v>8.9999999999999993E-3</v>
      </c>
      <c r="N38" s="33">
        <v>8.0000000000000002E-3</v>
      </c>
      <c r="O38" s="33">
        <v>0.12</v>
      </c>
      <c r="T38" s="47">
        <v>2</v>
      </c>
      <c r="U38" s="32" t="s">
        <v>702</v>
      </c>
      <c r="W38" s="47">
        <v>0</v>
      </c>
      <c r="X38" s="32" t="s">
        <v>702</v>
      </c>
    </row>
    <row r="39" spans="1:24">
      <c r="A39" s="48" t="s">
        <v>737</v>
      </c>
    </row>
    <row r="40" spans="1:24">
      <c r="A40" s="48" t="s">
        <v>738</v>
      </c>
      <c r="T40" s="47">
        <v>2</v>
      </c>
      <c r="U40" s="32" t="s">
        <v>702</v>
      </c>
      <c r="W40" s="47">
        <v>0</v>
      </c>
      <c r="X40" s="32" t="s">
        <v>702</v>
      </c>
    </row>
    <row r="41" spans="1:24">
      <c r="A41" s="48" t="s">
        <v>739</v>
      </c>
      <c r="C41" s="33">
        <v>0.08</v>
      </c>
      <c r="D41" s="31">
        <v>0.02</v>
      </c>
      <c r="E41" s="33">
        <v>0.01</v>
      </c>
      <c r="F41" s="33">
        <v>0.12</v>
      </c>
      <c r="G41" s="43">
        <v>4</v>
      </c>
      <c r="J41" s="33">
        <v>0.14000000000000001</v>
      </c>
      <c r="K41" s="33">
        <v>0.115</v>
      </c>
      <c r="L41" s="33">
        <v>0.02</v>
      </c>
      <c r="M41" s="33">
        <v>1.2E-2</v>
      </c>
      <c r="N41" s="33">
        <v>5.0000000000000001E-3</v>
      </c>
      <c r="O41" s="33">
        <v>0.12</v>
      </c>
      <c r="T41" s="47">
        <v>2</v>
      </c>
      <c r="U41" s="32" t="s">
        <v>702</v>
      </c>
      <c r="W41" s="47">
        <v>0</v>
      </c>
      <c r="X41" s="32" t="s">
        <v>702</v>
      </c>
    </row>
    <row r="42" spans="1:24">
      <c r="A42" s="48" t="s">
        <v>740</v>
      </c>
      <c r="T42" s="47">
        <v>2</v>
      </c>
      <c r="U42" s="32" t="s">
        <v>702</v>
      </c>
      <c r="W42" s="47">
        <v>0</v>
      </c>
      <c r="X42" s="32" t="s">
        <v>702</v>
      </c>
    </row>
    <row r="43" spans="1:24">
      <c r="A43" s="48" t="s">
        <v>741</v>
      </c>
      <c r="C43" s="33">
        <v>0.08</v>
      </c>
      <c r="D43" s="33">
        <v>0.02</v>
      </c>
      <c r="E43" s="33">
        <v>0.01</v>
      </c>
      <c r="F43" s="33">
        <v>0.12</v>
      </c>
      <c r="J43" s="33">
        <v>0.12</v>
      </c>
      <c r="K43" s="33">
        <v>7.0000000000000007E-2</v>
      </c>
      <c r="L43" s="33">
        <v>0.02</v>
      </c>
      <c r="M43" s="33">
        <v>8.0000000000000002E-3</v>
      </c>
      <c r="N43" s="33">
        <v>5.0000000000000001E-3</v>
      </c>
      <c r="O43" s="33">
        <v>0.12</v>
      </c>
      <c r="T43" s="47">
        <v>2</v>
      </c>
      <c r="U43" s="32" t="s">
        <v>719</v>
      </c>
      <c r="W43" s="47">
        <v>0</v>
      </c>
      <c r="X43" s="32" t="s">
        <v>702</v>
      </c>
    </row>
    <row r="44" spans="1:24">
      <c r="A44" s="48" t="s">
        <v>742</v>
      </c>
      <c r="T44" s="47">
        <v>2</v>
      </c>
      <c r="U44" s="32" t="s">
        <v>702</v>
      </c>
      <c r="W44" s="47">
        <v>0</v>
      </c>
      <c r="X44" s="32" t="s">
        <v>719</v>
      </c>
    </row>
    <row r="45" spans="1:24">
      <c r="A45" s="48" t="s">
        <v>743</v>
      </c>
      <c r="C45" s="33">
        <v>0.08</v>
      </c>
      <c r="D45" s="33">
        <v>0.02</v>
      </c>
      <c r="E45" s="33">
        <v>3.0000000000000001E-3</v>
      </c>
      <c r="F45" s="33">
        <v>0.1</v>
      </c>
      <c r="J45" s="33">
        <v>0.16</v>
      </c>
      <c r="K45" s="33">
        <v>7.0000000000000007E-2</v>
      </c>
      <c r="L45" s="33">
        <v>7.0000000000000001E-3</v>
      </c>
      <c r="M45" s="33">
        <v>7.0000000000000001E-3</v>
      </c>
      <c r="N45" s="33">
        <v>2E-3</v>
      </c>
      <c r="O45" s="33">
        <v>0.1</v>
      </c>
      <c r="T45" s="47">
        <v>2</v>
      </c>
      <c r="U45" s="32" t="s">
        <v>704</v>
      </c>
      <c r="W45" s="47">
        <v>0</v>
      </c>
      <c r="X45" s="32" t="s">
        <v>719</v>
      </c>
    </row>
    <row r="46" spans="1:24">
      <c r="A46" s="48" t="s">
        <v>744</v>
      </c>
      <c r="C46" s="33">
        <v>0.08</v>
      </c>
      <c r="D46" s="33">
        <v>0.02</v>
      </c>
      <c r="E46" s="33">
        <v>0.01</v>
      </c>
      <c r="F46" s="33">
        <v>0.08</v>
      </c>
      <c r="J46" s="33">
        <v>0.2</v>
      </c>
      <c r="K46" s="33">
        <v>7.6999999999999999E-2</v>
      </c>
      <c r="L46" s="33">
        <v>0.02</v>
      </c>
      <c r="M46" s="33">
        <v>6.0000000000000001E-3</v>
      </c>
      <c r="N46" s="33">
        <v>6.0000000000000001E-3</v>
      </c>
      <c r="O46" s="33">
        <v>0.08</v>
      </c>
      <c r="T46" s="47">
        <v>2</v>
      </c>
      <c r="U46" s="32" t="s">
        <v>702</v>
      </c>
      <c r="W46" s="47">
        <v>0</v>
      </c>
      <c r="X46" s="32" t="s">
        <v>702</v>
      </c>
    </row>
    <row r="47" spans="1:24">
      <c r="A47" s="48" t="s">
        <v>721</v>
      </c>
      <c r="C47" s="33">
        <v>0.08</v>
      </c>
      <c r="D47" s="33">
        <v>0.02</v>
      </c>
      <c r="E47" s="33">
        <v>5.0000000000000001E-3</v>
      </c>
      <c r="F47" s="33">
        <v>0.12</v>
      </c>
      <c r="J47" s="33">
        <v>0.18</v>
      </c>
      <c r="K47" s="33">
        <v>7.4999999999999997E-2</v>
      </c>
      <c r="L47" s="33">
        <v>5.0000000000000001E-3</v>
      </c>
      <c r="M47" s="33">
        <v>5.0000000000000001E-3</v>
      </c>
      <c r="N47" s="33">
        <v>8.9999999999999993E-3</v>
      </c>
      <c r="O47" s="33">
        <v>0.12</v>
      </c>
      <c r="T47" s="47">
        <v>2</v>
      </c>
      <c r="U47" s="32" t="s">
        <v>702</v>
      </c>
      <c r="W47" s="47">
        <v>0</v>
      </c>
      <c r="X47" s="32" t="s">
        <v>702</v>
      </c>
    </row>
    <row r="48" spans="1:24">
      <c r="A48" s="48" t="s">
        <v>745</v>
      </c>
      <c r="K48" s="31"/>
      <c r="T48" s="47">
        <v>2</v>
      </c>
      <c r="U48" s="32" t="s">
        <v>702</v>
      </c>
      <c r="W48" s="47">
        <v>0</v>
      </c>
      <c r="X48" s="32" t="s">
        <v>702</v>
      </c>
    </row>
    <row r="49" spans="1:24" s="137" customFormat="1">
      <c r="A49" s="48" t="s">
        <v>746</v>
      </c>
      <c r="C49" s="33"/>
      <c r="D49" s="33"/>
      <c r="E49" s="33"/>
      <c r="F49" s="33"/>
      <c r="G49" s="43"/>
      <c r="H49" s="43"/>
      <c r="I49" s="33"/>
      <c r="J49" s="33"/>
      <c r="K49" s="33"/>
      <c r="L49" s="33"/>
      <c r="M49" s="33"/>
      <c r="N49" s="33"/>
      <c r="O49" s="33"/>
      <c r="P49" s="43"/>
      <c r="Q49" s="43"/>
      <c r="R49" s="43"/>
      <c r="T49" s="47">
        <v>2</v>
      </c>
      <c r="U49" s="137" t="s">
        <v>702</v>
      </c>
      <c r="W49" s="47">
        <v>0</v>
      </c>
      <c r="X49" s="137" t="s">
        <v>702</v>
      </c>
    </row>
    <row r="50" spans="1:24">
      <c r="A50" s="48" t="s">
        <v>747</v>
      </c>
      <c r="T50" s="47">
        <v>2</v>
      </c>
      <c r="U50" s="137" t="s">
        <v>702</v>
      </c>
      <c r="W50" s="47">
        <v>0</v>
      </c>
      <c r="X50" s="137" t="s">
        <v>702</v>
      </c>
    </row>
    <row r="51" spans="1:24">
      <c r="A51" s="48" t="s">
        <v>748</v>
      </c>
      <c r="C51" s="33">
        <v>0.08</v>
      </c>
      <c r="D51" s="33">
        <v>0.02</v>
      </c>
      <c r="E51" s="33">
        <v>5.0000000000000001E-3</v>
      </c>
      <c r="F51" s="33">
        <v>0.12</v>
      </c>
      <c r="G51" s="43">
        <v>5</v>
      </c>
      <c r="J51" s="33">
        <v>0.16</v>
      </c>
      <c r="K51" s="33">
        <v>0.1</v>
      </c>
      <c r="L51" s="33">
        <v>5.0000000000000001E-3</v>
      </c>
      <c r="N51" s="33">
        <v>6.0000000000000001E-3</v>
      </c>
      <c r="O51" s="33">
        <v>0.12</v>
      </c>
      <c r="T51" s="47">
        <v>2</v>
      </c>
      <c r="U51" s="137" t="s">
        <v>702</v>
      </c>
      <c r="W51" s="47">
        <v>0</v>
      </c>
      <c r="X51" s="137" t="s">
        <v>702</v>
      </c>
    </row>
    <row r="121" spans="1:24">
      <c r="A121" s="48">
        <v>1</v>
      </c>
      <c r="B121" s="48">
        <v>2</v>
      </c>
      <c r="C121" s="48">
        <v>3</v>
      </c>
      <c r="D121" s="48">
        <v>4</v>
      </c>
      <c r="E121" s="48">
        <v>5</v>
      </c>
      <c r="F121" s="48">
        <v>6</v>
      </c>
      <c r="G121" s="48">
        <v>7</v>
      </c>
      <c r="H121" s="48">
        <v>8</v>
      </c>
      <c r="I121" s="48">
        <v>9</v>
      </c>
      <c r="J121" s="48">
        <v>10</v>
      </c>
      <c r="K121" s="48">
        <v>11</v>
      </c>
      <c r="L121" s="48">
        <v>12</v>
      </c>
      <c r="M121" s="48">
        <v>13</v>
      </c>
      <c r="N121" s="48">
        <v>14</v>
      </c>
      <c r="O121" s="48">
        <v>15</v>
      </c>
      <c r="P121" s="48">
        <v>16</v>
      </c>
      <c r="Q121" s="48">
        <v>17</v>
      </c>
      <c r="R121" s="48">
        <v>18</v>
      </c>
      <c r="S121" s="48">
        <v>19</v>
      </c>
      <c r="T121" s="48">
        <v>20</v>
      </c>
      <c r="U121" s="48">
        <v>21</v>
      </c>
      <c r="V121" s="48">
        <v>22</v>
      </c>
      <c r="W121" s="48">
        <v>23</v>
      </c>
      <c r="X121" s="48">
        <v>24</v>
      </c>
    </row>
    <row r="136" spans="1:18" s="30" customFormat="1">
      <c r="A136" s="29"/>
      <c r="G136" s="42"/>
      <c r="H136" s="42"/>
      <c r="P136" s="42"/>
      <c r="Q136" s="42"/>
      <c r="R136" s="42"/>
    </row>
  </sheetData>
  <sortState xmlns:xlrd2="http://schemas.microsoft.com/office/spreadsheetml/2017/richdata2" ref="A3:Y46">
    <sortCondition ref="A3"/>
  </sortState>
  <mergeCells count="4">
    <mergeCell ref="T1:U1"/>
    <mergeCell ref="W1:X1"/>
    <mergeCell ref="J1:Q1"/>
    <mergeCell ref="C1:G1"/>
  </mergeCells>
  <phoneticPr fontId="5" type="noConversion"/>
  <dataValidations count="1">
    <dataValidation type="list" allowBlank="1" showInputMessage="1" showErrorMessage="1" sqref="U3:U96 X3:X96" xr:uid="{00000000-0002-0000-0D00-000000000000}">
      <formula1>"进位,去除,四舍五入"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J251"/>
  <sheetViews>
    <sheetView topLeftCell="A7" workbookViewId="0">
      <selection activeCell="D17" sqref="D17"/>
    </sheetView>
  </sheetViews>
  <sheetFormatPr defaultRowHeight="12.6"/>
  <cols>
    <col min="1" max="1" width="17.42578125" bestFit="1" customWidth="1"/>
    <col min="2" max="2" width="19.28515625" bestFit="1" customWidth="1"/>
    <col min="6" max="6" width="8.7109375" customWidth="1"/>
    <col min="7" max="7" width="8.7109375" bestFit="1" customWidth="1"/>
    <col min="9" max="9" width="64.42578125" bestFit="1" customWidth="1"/>
    <col min="10" max="10" width="4.7109375" bestFit="1" customWidth="1"/>
  </cols>
  <sheetData>
    <row r="1" spans="1:10" ht="13.5" thickTop="1">
      <c r="A1" s="198" t="s">
        <v>749</v>
      </c>
      <c r="F1" s="34"/>
      <c r="G1" s="34"/>
      <c r="H1" s="35"/>
      <c r="I1" s="402" t="s">
        <v>750</v>
      </c>
      <c r="J1" s="403"/>
    </row>
    <row r="2" spans="1:10" ht="12.95">
      <c r="F2" s="34"/>
      <c r="G2" s="34"/>
      <c r="H2" s="34"/>
      <c r="I2" s="36" t="s">
        <v>751</v>
      </c>
      <c r="J2" s="38" t="s">
        <v>752</v>
      </c>
    </row>
    <row r="3" spans="1:10" ht="12.95">
      <c r="A3" s="198" t="s">
        <v>753</v>
      </c>
      <c r="B3" t="s">
        <v>754</v>
      </c>
      <c r="F3" s="34"/>
      <c r="G3" s="34"/>
      <c r="H3" s="34"/>
      <c r="I3" s="36" t="s">
        <v>755</v>
      </c>
      <c r="J3" s="38" t="s">
        <v>756</v>
      </c>
    </row>
    <row r="4" spans="1:10" ht="12.95">
      <c r="B4" t="s">
        <v>757</v>
      </c>
      <c r="F4" s="34"/>
      <c r="G4" s="34"/>
      <c r="H4" s="34"/>
      <c r="I4" s="36" t="s">
        <v>758</v>
      </c>
      <c r="J4" s="38" t="s">
        <v>759</v>
      </c>
    </row>
    <row r="5" spans="1:10" ht="12.95">
      <c r="B5" t="s">
        <v>760</v>
      </c>
      <c r="F5" s="34"/>
      <c r="G5" s="34"/>
      <c r="H5" s="34"/>
      <c r="I5" s="36" t="s">
        <v>761</v>
      </c>
      <c r="J5" s="38" t="s">
        <v>762</v>
      </c>
    </row>
    <row r="6" spans="1:10" ht="12.95">
      <c r="B6" t="s">
        <v>763</v>
      </c>
      <c r="F6" s="34"/>
      <c r="G6" s="34"/>
      <c r="H6" s="34"/>
      <c r="I6" s="36" t="s">
        <v>764</v>
      </c>
      <c r="J6" s="38" t="s">
        <v>765</v>
      </c>
    </row>
    <row r="7" spans="1:10" ht="12.95">
      <c r="F7" s="34"/>
      <c r="G7" s="34"/>
      <c r="H7" s="34"/>
      <c r="I7" s="36" t="s">
        <v>766</v>
      </c>
      <c r="J7" s="38" t="s">
        <v>767</v>
      </c>
    </row>
    <row r="8" spans="1:10" ht="12.95">
      <c r="A8" s="198" t="s">
        <v>768</v>
      </c>
      <c r="B8" t="s">
        <v>769</v>
      </c>
      <c r="F8" s="34"/>
      <c r="G8" s="34"/>
      <c r="H8" s="34"/>
      <c r="I8" s="36" t="s">
        <v>770</v>
      </c>
      <c r="J8" s="38" t="s">
        <v>771</v>
      </c>
    </row>
    <row r="9" spans="1:10" ht="12.95">
      <c r="B9" t="s">
        <v>772</v>
      </c>
      <c r="F9" s="34"/>
      <c r="G9" s="34"/>
      <c r="H9" s="34"/>
      <c r="I9" s="36" t="s">
        <v>773</v>
      </c>
      <c r="J9" s="38" t="s">
        <v>774</v>
      </c>
    </row>
    <row r="10" spans="1:10" ht="12.95">
      <c r="F10" s="34"/>
      <c r="G10" s="34"/>
      <c r="H10" s="34"/>
      <c r="I10" s="36" t="s">
        <v>775</v>
      </c>
      <c r="J10" s="38" t="s">
        <v>776</v>
      </c>
    </row>
    <row r="11" spans="1:10" ht="12.95">
      <c r="A11" s="198" t="s">
        <v>223</v>
      </c>
      <c r="B11" s="198" t="s">
        <v>777</v>
      </c>
      <c r="F11" s="34"/>
      <c r="G11" s="34"/>
      <c r="H11" s="34"/>
      <c r="I11" s="36" t="s">
        <v>778</v>
      </c>
      <c r="J11" s="38" t="s">
        <v>779</v>
      </c>
    </row>
    <row r="12" spans="1:10" ht="12.95">
      <c r="F12" s="34"/>
      <c r="G12" s="34"/>
      <c r="H12" s="34"/>
      <c r="I12" s="36" t="s">
        <v>780</v>
      </c>
      <c r="J12" s="38" t="s">
        <v>781</v>
      </c>
    </row>
    <row r="13" spans="1:10" ht="12.95">
      <c r="A13" s="198" t="s">
        <v>782</v>
      </c>
      <c r="B13" t="s">
        <v>783</v>
      </c>
      <c r="F13" s="34"/>
      <c r="G13" s="34"/>
      <c r="H13" s="34"/>
      <c r="I13" s="36" t="s">
        <v>784</v>
      </c>
      <c r="J13" s="38" t="s">
        <v>785</v>
      </c>
    </row>
    <row r="14" spans="1:10" ht="12.95">
      <c r="B14" t="s">
        <v>786</v>
      </c>
      <c r="F14" s="34"/>
      <c r="G14" s="34"/>
      <c r="H14" s="34"/>
      <c r="I14" s="36" t="s">
        <v>787</v>
      </c>
      <c r="J14" s="38" t="s">
        <v>788</v>
      </c>
    </row>
    <row r="15" spans="1:10" ht="12.95">
      <c r="B15" t="s">
        <v>789</v>
      </c>
      <c r="F15" s="34"/>
      <c r="G15" s="34"/>
      <c r="H15" s="34"/>
      <c r="I15" s="36" t="s">
        <v>790</v>
      </c>
      <c r="J15" s="38" t="s">
        <v>791</v>
      </c>
    </row>
    <row r="16" spans="1:10" ht="12.95">
      <c r="B16" t="s">
        <v>792</v>
      </c>
      <c r="F16" s="34"/>
      <c r="G16" s="34"/>
      <c r="H16" s="34"/>
      <c r="I16" s="36" t="s">
        <v>793</v>
      </c>
      <c r="J16" s="38" t="s">
        <v>794</v>
      </c>
    </row>
    <row r="17" spans="2:10" ht="12.95">
      <c r="B17" t="s">
        <v>795</v>
      </c>
      <c r="F17" s="34"/>
      <c r="G17" s="34"/>
      <c r="H17" s="34"/>
      <c r="I17" s="36" t="s">
        <v>796</v>
      </c>
      <c r="J17" s="38" t="s">
        <v>797</v>
      </c>
    </row>
    <row r="18" spans="2:10" ht="12.95">
      <c r="B18" t="s">
        <v>798</v>
      </c>
      <c r="F18" s="34"/>
      <c r="G18" s="34"/>
      <c r="H18" s="34"/>
      <c r="I18" s="36" t="s">
        <v>799</v>
      </c>
      <c r="J18" s="38" t="s">
        <v>800</v>
      </c>
    </row>
    <row r="19" spans="2:10" ht="12.95">
      <c r="B19" t="s">
        <v>801</v>
      </c>
      <c r="F19" s="34"/>
      <c r="G19" s="34"/>
      <c r="H19" s="34"/>
      <c r="I19" s="36" t="s">
        <v>802</v>
      </c>
      <c r="J19" s="38" t="s">
        <v>803</v>
      </c>
    </row>
    <row r="20" spans="2:10" ht="12.95">
      <c r="B20" t="s">
        <v>804</v>
      </c>
      <c r="F20" s="34"/>
      <c r="G20" s="34"/>
      <c r="H20" s="34"/>
      <c r="I20" s="36" t="s">
        <v>805</v>
      </c>
      <c r="J20" s="38" t="s">
        <v>806</v>
      </c>
    </row>
    <row r="21" spans="2:10" ht="12.95">
      <c r="B21" t="s">
        <v>807</v>
      </c>
      <c r="F21" s="34"/>
      <c r="G21" s="34"/>
      <c r="H21" s="34"/>
      <c r="I21" s="36" t="s">
        <v>808</v>
      </c>
      <c r="J21" s="38" t="s">
        <v>809</v>
      </c>
    </row>
    <row r="22" spans="2:10" ht="12.95">
      <c r="B22" t="s">
        <v>810</v>
      </c>
      <c r="F22" s="34"/>
      <c r="G22" s="34"/>
      <c r="H22" s="34"/>
      <c r="I22" s="36" t="s">
        <v>811</v>
      </c>
      <c r="J22" s="38" t="s">
        <v>812</v>
      </c>
    </row>
    <row r="23" spans="2:10" ht="12.95">
      <c r="B23" t="s">
        <v>813</v>
      </c>
      <c r="F23" s="34"/>
      <c r="G23" s="34"/>
      <c r="H23" s="34"/>
      <c r="I23" s="36" t="s">
        <v>814</v>
      </c>
      <c r="J23" s="38" t="s">
        <v>815</v>
      </c>
    </row>
    <row r="24" spans="2:10" ht="12.95">
      <c r="B24" t="s">
        <v>816</v>
      </c>
      <c r="F24" s="34"/>
      <c r="G24" s="34"/>
      <c r="H24" s="34"/>
      <c r="I24" s="36" t="s">
        <v>817</v>
      </c>
      <c r="J24" s="38" t="s">
        <v>818</v>
      </c>
    </row>
    <row r="25" spans="2:10" ht="12.95">
      <c r="F25" s="34"/>
      <c r="G25" s="34"/>
      <c r="H25" s="34"/>
      <c r="I25" s="36" t="s">
        <v>819</v>
      </c>
      <c r="J25" s="38" t="s">
        <v>820</v>
      </c>
    </row>
    <row r="26" spans="2:10" ht="12.95">
      <c r="F26" s="34"/>
      <c r="G26" s="34"/>
      <c r="H26" s="34"/>
      <c r="I26" s="36" t="s">
        <v>821</v>
      </c>
      <c r="J26" s="38" t="s">
        <v>822</v>
      </c>
    </row>
    <row r="27" spans="2:10" ht="12.95">
      <c r="F27" s="34"/>
      <c r="G27" s="34"/>
      <c r="H27" s="34"/>
      <c r="I27" s="36" t="s">
        <v>823</v>
      </c>
      <c r="J27" s="38" t="s">
        <v>824</v>
      </c>
    </row>
    <row r="28" spans="2:10" ht="12.95">
      <c r="F28" s="34"/>
      <c r="G28" s="34"/>
      <c r="H28" s="34"/>
      <c r="I28" s="36" t="s">
        <v>825</v>
      </c>
      <c r="J28" s="38" t="s">
        <v>826</v>
      </c>
    </row>
    <row r="29" spans="2:10" ht="12.95">
      <c r="F29" s="34"/>
      <c r="G29" s="34"/>
      <c r="H29" s="34"/>
      <c r="I29" s="36" t="s">
        <v>827</v>
      </c>
      <c r="J29" s="38" t="s">
        <v>828</v>
      </c>
    </row>
    <row r="30" spans="2:10" ht="12.95">
      <c r="F30" s="34"/>
      <c r="G30" s="34"/>
      <c r="H30" s="34"/>
      <c r="I30" s="36" t="s">
        <v>829</v>
      </c>
      <c r="J30" s="38" t="s">
        <v>830</v>
      </c>
    </row>
    <row r="31" spans="2:10" ht="12.95">
      <c r="F31" s="34"/>
      <c r="G31" s="34"/>
      <c r="H31" s="34"/>
      <c r="I31" s="36" t="s">
        <v>831</v>
      </c>
      <c r="J31" s="38" t="s">
        <v>832</v>
      </c>
    </row>
    <row r="32" spans="2:10" ht="12.95">
      <c r="F32" s="34"/>
      <c r="G32" s="34"/>
      <c r="H32" s="34"/>
      <c r="I32" s="36" t="s">
        <v>833</v>
      </c>
      <c r="J32" s="38" t="s">
        <v>834</v>
      </c>
    </row>
    <row r="33" spans="6:10" ht="12.95">
      <c r="F33" s="34"/>
      <c r="G33" s="34"/>
      <c r="H33" s="34"/>
      <c r="I33" s="36" t="s">
        <v>835</v>
      </c>
      <c r="J33" s="38" t="s">
        <v>836</v>
      </c>
    </row>
    <row r="34" spans="6:10" ht="12.95">
      <c r="F34" s="34"/>
      <c r="G34" s="34"/>
      <c r="H34" s="34"/>
      <c r="I34" s="36" t="s">
        <v>837</v>
      </c>
      <c r="J34" s="38" t="s">
        <v>838</v>
      </c>
    </row>
    <row r="35" spans="6:10" ht="12.95">
      <c r="F35" s="34"/>
      <c r="G35" s="34"/>
      <c r="H35" s="34"/>
      <c r="I35" s="36" t="s">
        <v>839</v>
      </c>
      <c r="J35" s="38" t="s">
        <v>840</v>
      </c>
    </row>
    <row r="36" spans="6:10" ht="12.95">
      <c r="F36" s="34"/>
      <c r="G36" s="34"/>
      <c r="H36" s="34"/>
      <c r="I36" s="36" t="s">
        <v>841</v>
      </c>
      <c r="J36" s="38" t="s">
        <v>842</v>
      </c>
    </row>
    <row r="37" spans="6:10" ht="12.95">
      <c r="F37" s="34"/>
      <c r="G37" s="34"/>
      <c r="H37" s="34"/>
      <c r="I37" s="36" t="s">
        <v>843</v>
      </c>
      <c r="J37" s="38" t="s">
        <v>844</v>
      </c>
    </row>
    <row r="38" spans="6:10" ht="12.95">
      <c r="F38" s="34"/>
      <c r="G38" s="34"/>
      <c r="H38" s="34"/>
      <c r="I38" s="36" t="s">
        <v>845</v>
      </c>
      <c r="J38" s="38" t="s">
        <v>846</v>
      </c>
    </row>
    <row r="39" spans="6:10" ht="12.95">
      <c r="F39" s="34"/>
      <c r="G39" s="34"/>
      <c r="H39" s="34"/>
      <c r="I39" s="36" t="s">
        <v>847</v>
      </c>
      <c r="J39" s="38" t="s">
        <v>848</v>
      </c>
    </row>
    <row r="40" spans="6:10" ht="12.95">
      <c r="F40" s="34"/>
      <c r="G40" s="34"/>
      <c r="H40" s="34"/>
      <c r="I40" s="36" t="s">
        <v>849</v>
      </c>
      <c r="J40" s="38" t="s">
        <v>850</v>
      </c>
    </row>
    <row r="41" spans="6:10" ht="12.95">
      <c r="F41" s="34"/>
      <c r="G41" s="34"/>
      <c r="H41" s="34"/>
      <c r="I41" s="36" t="s">
        <v>851</v>
      </c>
      <c r="J41" s="38" t="s">
        <v>852</v>
      </c>
    </row>
    <row r="42" spans="6:10" ht="12.95">
      <c r="F42" s="34"/>
      <c r="G42" s="34"/>
      <c r="H42" s="34"/>
      <c r="I42" s="36" t="s">
        <v>853</v>
      </c>
      <c r="J42" s="38" t="s">
        <v>854</v>
      </c>
    </row>
    <row r="43" spans="6:10" ht="12.95">
      <c r="F43" s="34"/>
      <c r="G43" s="34"/>
      <c r="H43" s="34"/>
      <c r="I43" s="36" t="s">
        <v>855</v>
      </c>
      <c r="J43" s="38" t="s">
        <v>856</v>
      </c>
    </row>
    <row r="44" spans="6:10" ht="12.95">
      <c r="F44" s="34"/>
      <c r="G44" s="34"/>
      <c r="H44" s="34"/>
      <c r="I44" s="36" t="s">
        <v>857</v>
      </c>
      <c r="J44" s="38" t="s">
        <v>858</v>
      </c>
    </row>
    <row r="45" spans="6:10" ht="12.95">
      <c r="F45" s="34"/>
      <c r="G45" s="34"/>
      <c r="H45" s="34"/>
      <c r="I45" s="36" t="s">
        <v>360</v>
      </c>
      <c r="J45" s="38" t="s">
        <v>859</v>
      </c>
    </row>
    <row r="46" spans="6:10" ht="12.95">
      <c r="F46" s="34"/>
      <c r="G46" s="34"/>
      <c r="H46" s="34"/>
      <c r="I46" s="36" t="s">
        <v>860</v>
      </c>
      <c r="J46" s="38" t="s">
        <v>861</v>
      </c>
    </row>
    <row r="47" spans="6:10" ht="12.95">
      <c r="F47" s="34"/>
      <c r="G47" s="34"/>
      <c r="H47" s="34"/>
      <c r="I47" s="36" t="s">
        <v>862</v>
      </c>
      <c r="J47" s="38" t="s">
        <v>863</v>
      </c>
    </row>
    <row r="48" spans="6:10" ht="12.95">
      <c r="F48" s="34"/>
      <c r="G48" s="34"/>
      <c r="H48" s="34"/>
      <c r="I48" s="36" t="s">
        <v>864</v>
      </c>
      <c r="J48" s="38" t="s">
        <v>865</v>
      </c>
    </row>
    <row r="49" spans="6:10" ht="12.95">
      <c r="F49" s="34"/>
      <c r="G49" s="34"/>
      <c r="H49" s="34"/>
      <c r="I49" s="36" t="s">
        <v>866</v>
      </c>
      <c r="J49" s="38" t="s">
        <v>867</v>
      </c>
    </row>
    <row r="50" spans="6:10" ht="12.95">
      <c r="F50" s="34"/>
      <c r="G50" s="34"/>
      <c r="H50" s="34"/>
      <c r="I50" s="36" t="s">
        <v>868</v>
      </c>
      <c r="J50" s="38" t="s">
        <v>869</v>
      </c>
    </row>
    <row r="51" spans="6:10" ht="12.95">
      <c r="F51" s="34"/>
      <c r="G51" s="34"/>
      <c r="H51" s="34"/>
      <c r="I51" s="36" t="s">
        <v>870</v>
      </c>
      <c r="J51" s="38" t="s">
        <v>871</v>
      </c>
    </row>
    <row r="52" spans="6:10" ht="12.95">
      <c r="F52" s="34"/>
      <c r="G52" s="34"/>
      <c r="H52" s="34"/>
      <c r="I52" s="36" t="s">
        <v>872</v>
      </c>
      <c r="J52" s="38" t="s">
        <v>873</v>
      </c>
    </row>
    <row r="53" spans="6:10" ht="12.95">
      <c r="F53" s="34"/>
      <c r="G53" s="34"/>
      <c r="H53" s="34"/>
      <c r="I53" s="36" t="s">
        <v>874</v>
      </c>
      <c r="J53" s="38" t="s">
        <v>875</v>
      </c>
    </row>
    <row r="54" spans="6:10" ht="12.95">
      <c r="F54" s="34"/>
      <c r="G54" s="34"/>
      <c r="H54" s="34"/>
      <c r="I54" s="36" t="s">
        <v>876</v>
      </c>
      <c r="J54" s="38" t="s">
        <v>877</v>
      </c>
    </row>
    <row r="55" spans="6:10" ht="12.95">
      <c r="F55" s="34"/>
      <c r="G55" s="34"/>
      <c r="H55" s="34"/>
      <c r="I55" s="36" t="s">
        <v>878</v>
      </c>
      <c r="J55" s="38" t="s">
        <v>879</v>
      </c>
    </row>
    <row r="56" spans="6:10" ht="12.95">
      <c r="F56" s="34"/>
      <c r="G56" s="34"/>
      <c r="H56" s="34"/>
      <c r="I56" s="36" t="s">
        <v>880</v>
      </c>
      <c r="J56" s="38" t="s">
        <v>881</v>
      </c>
    </row>
    <row r="57" spans="6:10" ht="12.95">
      <c r="F57" s="34"/>
      <c r="G57" s="34"/>
      <c r="H57" s="34"/>
      <c r="I57" s="36" t="s">
        <v>882</v>
      </c>
      <c r="J57" s="38" t="s">
        <v>883</v>
      </c>
    </row>
    <row r="58" spans="6:10" ht="12.95">
      <c r="F58" s="34"/>
      <c r="G58" s="34"/>
      <c r="H58" s="34"/>
      <c r="I58" s="36" t="s">
        <v>884</v>
      </c>
      <c r="J58" s="38" t="s">
        <v>885</v>
      </c>
    </row>
    <row r="59" spans="6:10" ht="12.95">
      <c r="F59" s="34"/>
      <c r="G59" s="34"/>
      <c r="H59" s="34"/>
      <c r="I59" s="36" t="s">
        <v>886</v>
      </c>
      <c r="J59" s="38" t="s">
        <v>887</v>
      </c>
    </row>
    <row r="60" spans="6:10" ht="12.95">
      <c r="F60" s="34"/>
      <c r="G60" s="34"/>
      <c r="H60" s="34"/>
      <c r="I60" s="36" t="s">
        <v>888</v>
      </c>
      <c r="J60" s="38" t="s">
        <v>889</v>
      </c>
    </row>
    <row r="61" spans="6:10" ht="12.95">
      <c r="F61" s="34"/>
      <c r="G61" s="34"/>
      <c r="H61" s="34"/>
      <c r="I61" s="36" t="s">
        <v>890</v>
      </c>
      <c r="J61" s="38" t="s">
        <v>891</v>
      </c>
    </row>
    <row r="62" spans="6:10" ht="12.95">
      <c r="F62" s="34"/>
      <c r="G62" s="34"/>
      <c r="H62" s="34"/>
      <c r="I62" s="36" t="s">
        <v>892</v>
      </c>
      <c r="J62" s="38" t="s">
        <v>893</v>
      </c>
    </row>
    <row r="63" spans="6:10" ht="12.95">
      <c r="F63" s="34"/>
      <c r="G63" s="34"/>
      <c r="H63" s="34"/>
      <c r="I63" s="36" t="s">
        <v>894</v>
      </c>
      <c r="J63" s="38" t="s">
        <v>895</v>
      </c>
    </row>
    <row r="64" spans="6:10" ht="12.95">
      <c r="F64" s="34"/>
      <c r="G64" s="34"/>
      <c r="H64" s="34"/>
      <c r="I64" s="36" t="s">
        <v>896</v>
      </c>
      <c r="J64" s="38" t="s">
        <v>897</v>
      </c>
    </row>
    <row r="65" spans="6:10" ht="12.95">
      <c r="F65" s="34"/>
      <c r="G65" s="34"/>
      <c r="H65" s="34"/>
      <c r="I65" s="36" t="s">
        <v>898</v>
      </c>
      <c r="J65" s="38" t="s">
        <v>899</v>
      </c>
    </row>
    <row r="66" spans="6:10" ht="12.95">
      <c r="F66" s="34"/>
      <c r="G66" s="34"/>
      <c r="H66" s="34"/>
      <c r="I66" s="36" t="s">
        <v>900</v>
      </c>
      <c r="J66" s="38" t="s">
        <v>901</v>
      </c>
    </row>
    <row r="67" spans="6:10" ht="12.95">
      <c r="F67" s="34"/>
      <c r="G67" s="34"/>
      <c r="H67" s="34"/>
      <c r="I67" s="36" t="s">
        <v>902</v>
      </c>
      <c r="J67" s="38" t="s">
        <v>903</v>
      </c>
    </row>
    <row r="68" spans="6:10" ht="12.95">
      <c r="F68" s="34"/>
      <c r="G68" s="34"/>
      <c r="H68" s="34"/>
      <c r="I68" s="36" t="s">
        <v>904</v>
      </c>
      <c r="J68" s="38" t="s">
        <v>905</v>
      </c>
    </row>
    <row r="69" spans="6:10" ht="12.95">
      <c r="F69" s="34"/>
      <c r="G69" s="34"/>
      <c r="H69" s="34"/>
      <c r="I69" s="36" t="s">
        <v>906</v>
      </c>
      <c r="J69" s="38" t="s">
        <v>907</v>
      </c>
    </row>
    <row r="70" spans="6:10" ht="12.95">
      <c r="F70" s="34"/>
      <c r="G70" s="34"/>
      <c r="H70" s="34"/>
      <c r="I70" s="36" t="s">
        <v>908</v>
      </c>
      <c r="J70" s="38" t="s">
        <v>909</v>
      </c>
    </row>
    <row r="71" spans="6:10" ht="12.95">
      <c r="F71" s="34"/>
      <c r="G71" s="34"/>
      <c r="H71" s="34"/>
      <c r="I71" s="36" t="s">
        <v>910</v>
      </c>
      <c r="J71" s="38" t="s">
        <v>911</v>
      </c>
    </row>
    <row r="72" spans="6:10" ht="12.95">
      <c r="F72" s="34"/>
      <c r="G72" s="34"/>
      <c r="H72" s="34"/>
      <c r="I72" s="36" t="s">
        <v>912</v>
      </c>
      <c r="J72" s="38">
        <v>239</v>
      </c>
    </row>
    <row r="73" spans="6:10" ht="12.95">
      <c r="F73" s="34"/>
      <c r="G73" s="34"/>
      <c r="H73" s="34"/>
      <c r="I73" s="36" t="s">
        <v>913</v>
      </c>
      <c r="J73" s="38" t="s">
        <v>914</v>
      </c>
    </row>
    <row r="74" spans="6:10" ht="12.95">
      <c r="F74" s="34"/>
      <c r="G74" s="34"/>
      <c r="H74" s="34"/>
      <c r="I74" s="36" t="s">
        <v>915</v>
      </c>
      <c r="J74" s="38" t="s">
        <v>916</v>
      </c>
    </row>
    <row r="75" spans="6:10" ht="12.95">
      <c r="F75" s="34"/>
      <c r="G75" s="34"/>
      <c r="H75" s="34"/>
      <c r="I75" s="36" t="s">
        <v>917</v>
      </c>
      <c r="J75" s="38" t="s">
        <v>918</v>
      </c>
    </row>
    <row r="76" spans="6:10" ht="12.95">
      <c r="F76" s="34"/>
      <c r="G76" s="34"/>
      <c r="H76" s="34"/>
      <c r="I76" s="36" t="s">
        <v>919</v>
      </c>
      <c r="J76" s="38" t="s">
        <v>920</v>
      </c>
    </row>
    <row r="77" spans="6:10" ht="12.95">
      <c r="F77" s="34"/>
      <c r="G77" s="34"/>
      <c r="H77" s="34"/>
      <c r="I77" s="36" t="s">
        <v>921</v>
      </c>
      <c r="J77" s="38" t="s">
        <v>922</v>
      </c>
    </row>
    <row r="78" spans="6:10" ht="12.95">
      <c r="F78" s="34"/>
      <c r="G78" s="34"/>
      <c r="H78" s="34"/>
      <c r="I78" s="36" t="s">
        <v>923</v>
      </c>
      <c r="J78" s="38" t="s">
        <v>924</v>
      </c>
    </row>
    <row r="79" spans="6:10" ht="12.95">
      <c r="F79" s="34"/>
      <c r="G79" s="34"/>
      <c r="H79" s="34"/>
      <c r="I79" s="36" t="s">
        <v>925</v>
      </c>
      <c r="J79" s="38" t="s">
        <v>926</v>
      </c>
    </row>
    <row r="80" spans="6:10" ht="12.95">
      <c r="F80" s="34"/>
      <c r="G80" s="34"/>
      <c r="H80" s="34"/>
      <c r="I80" s="36" t="s">
        <v>927</v>
      </c>
      <c r="J80" s="38" t="s">
        <v>928</v>
      </c>
    </row>
    <row r="81" spans="6:10" ht="12.95">
      <c r="F81" s="34"/>
      <c r="G81" s="34"/>
      <c r="H81" s="34"/>
      <c r="I81" s="36" t="s">
        <v>929</v>
      </c>
      <c r="J81" s="38" t="s">
        <v>930</v>
      </c>
    </row>
    <row r="82" spans="6:10" ht="12.95">
      <c r="F82" s="34"/>
      <c r="G82" s="34"/>
      <c r="H82" s="34"/>
      <c r="I82" s="36" t="s">
        <v>931</v>
      </c>
      <c r="J82" s="38" t="s">
        <v>932</v>
      </c>
    </row>
    <row r="83" spans="6:10" ht="12.95">
      <c r="F83" s="34"/>
      <c r="G83" s="34"/>
      <c r="H83" s="34"/>
      <c r="I83" s="36" t="s">
        <v>933</v>
      </c>
      <c r="J83" s="38" t="s">
        <v>934</v>
      </c>
    </row>
    <row r="84" spans="6:10" ht="12.95">
      <c r="F84" s="34"/>
      <c r="G84" s="34"/>
      <c r="H84" s="34"/>
      <c r="I84" s="36" t="s">
        <v>935</v>
      </c>
      <c r="J84" s="38" t="s">
        <v>936</v>
      </c>
    </row>
    <row r="85" spans="6:10" ht="12.95">
      <c r="F85" s="34"/>
      <c r="G85" s="34"/>
      <c r="H85" s="34"/>
      <c r="I85" s="36" t="s">
        <v>937</v>
      </c>
      <c r="J85" s="38" t="s">
        <v>938</v>
      </c>
    </row>
    <row r="86" spans="6:10" ht="12.95">
      <c r="F86" s="34"/>
      <c r="G86" s="34"/>
      <c r="H86" s="34"/>
      <c r="I86" s="36" t="s">
        <v>939</v>
      </c>
      <c r="J86" s="38" t="s">
        <v>940</v>
      </c>
    </row>
    <row r="87" spans="6:10" ht="12.95">
      <c r="F87" s="34"/>
      <c r="G87" s="34"/>
      <c r="H87" s="34"/>
      <c r="I87" s="36" t="s">
        <v>941</v>
      </c>
      <c r="J87" s="38" t="s">
        <v>942</v>
      </c>
    </row>
    <row r="88" spans="6:10" ht="12.95">
      <c r="F88" s="34"/>
      <c r="G88" s="34"/>
      <c r="H88" s="34"/>
      <c r="I88" s="36" t="s">
        <v>943</v>
      </c>
      <c r="J88" s="38" t="s">
        <v>944</v>
      </c>
    </row>
    <row r="89" spans="6:10" ht="12.95">
      <c r="F89" s="34"/>
      <c r="G89" s="34"/>
      <c r="H89" s="34"/>
      <c r="I89" s="36" t="s">
        <v>945</v>
      </c>
      <c r="J89" s="38" t="s">
        <v>946</v>
      </c>
    </row>
    <row r="90" spans="6:10" ht="12.95">
      <c r="F90" s="34"/>
      <c r="G90" s="34"/>
      <c r="H90" s="34"/>
      <c r="I90" s="36" t="s">
        <v>947</v>
      </c>
      <c r="J90" s="38" t="s">
        <v>948</v>
      </c>
    </row>
    <row r="91" spans="6:10" ht="12.95">
      <c r="F91" s="34"/>
      <c r="G91" s="34"/>
      <c r="H91" s="34"/>
      <c r="I91" s="36" t="s">
        <v>949</v>
      </c>
      <c r="J91" s="38" t="s">
        <v>950</v>
      </c>
    </row>
    <row r="92" spans="6:10" ht="12.95">
      <c r="F92" s="34"/>
      <c r="G92" s="34"/>
      <c r="H92" s="34"/>
      <c r="I92" s="36" t="s">
        <v>951</v>
      </c>
      <c r="J92" s="38" t="s">
        <v>952</v>
      </c>
    </row>
    <row r="93" spans="6:10" ht="12.95">
      <c r="F93" s="34"/>
      <c r="G93" s="34"/>
      <c r="H93" s="34"/>
      <c r="I93" s="36" t="s">
        <v>953</v>
      </c>
      <c r="J93" s="38" t="s">
        <v>954</v>
      </c>
    </row>
    <row r="94" spans="6:10" ht="12.95">
      <c r="F94" s="34"/>
      <c r="G94" s="34"/>
      <c r="H94" s="34"/>
      <c r="I94" s="36" t="s">
        <v>955</v>
      </c>
      <c r="J94" s="38" t="s">
        <v>956</v>
      </c>
    </row>
    <row r="95" spans="6:10" ht="12.95">
      <c r="F95" s="34"/>
      <c r="G95" s="34"/>
      <c r="H95" s="34"/>
      <c r="I95" s="36" t="s">
        <v>957</v>
      </c>
      <c r="J95" s="38" t="s">
        <v>958</v>
      </c>
    </row>
    <row r="96" spans="6:10" ht="12.95">
      <c r="F96" s="34"/>
      <c r="G96" s="34"/>
      <c r="H96" s="34"/>
      <c r="I96" s="36" t="s">
        <v>959</v>
      </c>
      <c r="J96" s="38" t="s">
        <v>960</v>
      </c>
    </row>
    <row r="97" spans="6:10" ht="12.95">
      <c r="F97" s="34"/>
      <c r="G97" s="34"/>
      <c r="H97" s="34"/>
      <c r="I97" s="36" t="s">
        <v>961</v>
      </c>
      <c r="J97" s="38" t="s">
        <v>962</v>
      </c>
    </row>
    <row r="98" spans="6:10" ht="12.95">
      <c r="F98" s="34"/>
      <c r="G98" s="34"/>
      <c r="H98" s="34"/>
      <c r="I98" s="36" t="s">
        <v>963</v>
      </c>
      <c r="J98" s="38" t="s">
        <v>964</v>
      </c>
    </row>
    <row r="99" spans="6:10" ht="12.95">
      <c r="F99" s="34"/>
      <c r="G99" s="34"/>
      <c r="H99" s="34"/>
      <c r="I99" s="36" t="s">
        <v>965</v>
      </c>
      <c r="J99" s="38" t="s">
        <v>966</v>
      </c>
    </row>
    <row r="100" spans="6:10" ht="12.95">
      <c r="F100" s="34"/>
      <c r="G100" s="34"/>
      <c r="H100" s="34"/>
      <c r="I100" s="36" t="s">
        <v>967</v>
      </c>
      <c r="J100" s="38" t="s">
        <v>966</v>
      </c>
    </row>
    <row r="101" spans="6:10" ht="12.95">
      <c r="F101" s="34"/>
      <c r="G101" s="34"/>
      <c r="H101" s="34"/>
      <c r="I101" s="36" t="s">
        <v>968</v>
      </c>
      <c r="J101" s="38" t="s">
        <v>969</v>
      </c>
    </row>
    <row r="102" spans="6:10" ht="12.95">
      <c r="F102" s="34"/>
      <c r="G102" s="34"/>
      <c r="H102" s="34"/>
      <c r="I102" s="36" t="s">
        <v>970</v>
      </c>
      <c r="J102" s="38" t="s">
        <v>971</v>
      </c>
    </row>
    <row r="103" spans="6:10" ht="12.95">
      <c r="F103" s="34"/>
      <c r="G103" s="34"/>
      <c r="H103" s="34"/>
      <c r="I103" s="36" t="s">
        <v>972</v>
      </c>
      <c r="J103" s="38" t="s">
        <v>973</v>
      </c>
    </row>
    <row r="104" spans="6:10" ht="12.95">
      <c r="F104" s="34"/>
      <c r="G104" s="34"/>
      <c r="H104" s="34"/>
      <c r="I104" s="36" t="s">
        <v>974</v>
      </c>
      <c r="J104" s="38" t="s">
        <v>975</v>
      </c>
    </row>
    <row r="105" spans="6:10" ht="12.95">
      <c r="F105" s="34"/>
      <c r="G105" s="34"/>
      <c r="H105" s="34"/>
      <c r="I105" s="36" t="s">
        <v>976</v>
      </c>
      <c r="J105" s="38" t="s">
        <v>977</v>
      </c>
    </row>
    <row r="106" spans="6:10" ht="12.95">
      <c r="F106" s="34"/>
      <c r="G106" s="34"/>
      <c r="H106" s="34"/>
      <c r="I106" s="36" t="s">
        <v>978</v>
      </c>
      <c r="J106" s="38" t="s">
        <v>979</v>
      </c>
    </row>
    <row r="107" spans="6:10" ht="12.95">
      <c r="F107" s="34"/>
      <c r="G107" s="34"/>
      <c r="H107" s="34"/>
      <c r="I107" s="36" t="s">
        <v>980</v>
      </c>
      <c r="J107" s="38" t="s">
        <v>981</v>
      </c>
    </row>
    <row r="108" spans="6:10" ht="12.95">
      <c r="F108" s="34"/>
      <c r="G108" s="34"/>
      <c r="H108" s="34"/>
      <c r="I108" s="36" t="s">
        <v>982</v>
      </c>
      <c r="J108" s="38" t="s">
        <v>983</v>
      </c>
    </row>
    <row r="109" spans="6:10" ht="12.95">
      <c r="F109" s="34"/>
      <c r="G109" s="34"/>
      <c r="H109" s="34"/>
      <c r="I109" s="36" t="s">
        <v>984</v>
      </c>
      <c r="J109" s="38" t="s">
        <v>985</v>
      </c>
    </row>
    <row r="110" spans="6:10" ht="12.95">
      <c r="F110" s="34"/>
      <c r="G110" s="34"/>
      <c r="H110" s="34"/>
      <c r="I110" s="36" t="s">
        <v>986</v>
      </c>
      <c r="J110" s="38" t="s">
        <v>987</v>
      </c>
    </row>
    <row r="111" spans="6:10" ht="12.95">
      <c r="F111" s="34"/>
      <c r="G111" s="34"/>
      <c r="H111" s="34"/>
      <c r="I111" s="36" t="s">
        <v>988</v>
      </c>
      <c r="J111" s="38" t="s">
        <v>989</v>
      </c>
    </row>
    <row r="112" spans="6:10" ht="12.95">
      <c r="F112" s="34"/>
      <c r="G112" s="34"/>
      <c r="H112" s="34"/>
      <c r="I112" s="36" t="s">
        <v>990</v>
      </c>
      <c r="J112" s="38" t="s">
        <v>991</v>
      </c>
    </row>
    <row r="113" spans="6:10" ht="12.95">
      <c r="F113" s="34"/>
      <c r="G113" s="34"/>
      <c r="H113" s="34"/>
      <c r="I113" s="36" t="s">
        <v>992</v>
      </c>
      <c r="J113" s="38" t="s">
        <v>993</v>
      </c>
    </row>
    <row r="114" spans="6:10" ht="12.95">
      <c r="F114" s="34"/>
      <c r="G114" s="34"/>
      <c r="H114" s="34"/>
      <c r="I114" s="36" t="s">
        <v>994</v>
      </c>
      <c r="J114" s="38" t="s">
        <v>995</v>
      </c>
    </row>
    <row r="115" spans="6:10" ht="12.95">
      <c r="F115" s="34"/>
      <c r="G115" s="34"/>
      <c r="H115" s="34"/>
      <c r="I115" s="36" t="s">
        <v>996</v>
      </c>
      <c r="J115" s="38" t="s">
        <v>997</v>
      </c>
    </row>
    <row r="116" spans="6:10" ht="12.95">
      <c r="F116" s="34"/>
      <c r="G116" s="34"/>
      <c r="H116" s="34"/>
      <c r="I116" s="36" t="s">
        <v>998</v>
      </c>
      <c r="J116" s="38" t="s">
        <v>999</v>
      </c>
    </row>
    <row r="117" spans="6:10" ht="12.95">
      <c r="F117" s="34"/>
      <c r="G117" s="34"/>
      <c r="H117" s="34"/>
      <c r="I117" s="36" t="s">
        <v>1000</v>
      </c>
      <c r="J117" s="38" t="s">
        <v>1001</v>
      </c>
    </row>
    <row r="118" spans="6:10" ht="12.95">
      <c r="F118" s="34"/>
      <c r="G118" s="34"/>
      <c r="H118" s="34"/>
      <c r="I118" s="36" t="s">
        <v>1002</v>
      </c>
      <c r="J118" s="38" t="s">
        <v>1003</v>
      </c>
    </row>
    <row r="119" spans="6:10" ht="12.95">
      <c r="F119" s="34"/>
      <c r="G119" s="34"/>
      <c r="H119" s="34"/>
      <c r="I119" s="36" t="s">
        <v>1004</v>
      </c>
      <c r="J119" s="38" t="s">
        <v>1005</v>
      </c>
    </row>
    <row r="120" spans="6:10" ht="12.95">
      <c r="F120" s="34"/>
      <c r="G120" s="34"/>
      <c r="H120" s="34"/>
      <c r="I120" s="36" t="s">
        <v>1006</v>
      </c>
      <c r="J120" s="38" t="s">
        <v>1007</v>
      </c>
    </row>
    <row r="121" spans="6:10" ht="12.95">
      <c r="F121" s="34"/>
      <c r="G121" s="34"/>
      <c r="H121" s="34"/>
      <c r="I121" s="36" t="s">
        <v>1008</v>
      </c>
      <c r="J121" s="38" t="s">
        <v>1009</v>
      </c>
    </row>
    <row r="122" spans="6:10" ht="12.95">
      <c r="F122" s="34"/>
      <c r="G122" s="34"/>
      <c r="H122" s="34"/>
      <c r="I122" s="36" t="s">
        <v>1010</v>
      </c>
      <c r="J122" s="38" t="s">
        <v>1011</v>
      </c>
    </row>
    <row r="123" spans="6:10" ht="12.95">
      <c r="F123" s="34"/>
      <c r="G123" s="34"/>
      <c r="H123" s="34"/>
      <c r="I123" s="36" t="s">
        <v>1012</v>
      </c>
      <c r="J123" s="38" t="s">
        <v>1013</v>
      </c>
    </row>
    <row r="124" spans="6:10" ht="12.95">
      <c r="F124" s="34"/>
      <c r="G124" s="34"/>
      <c r="H124" s="34"/>
      <c r="I124" s="36" t="s">
        <v>1014</v>
      </c>
      <c r="J124" s="38" t="s">
        <v>1015</v>
      </c>
    </row>
    <row r="125" spans="6:10" ht="12.95">
      <c r="F125" s="34"/>
      <c r="G125" s="34"/>
      <c r="H125" s="34"/>
      <c r="I125" s="36" t="s">
        <v>1016</v>
      </c>
      <c r="J125" s="38" t="s">
        <v>1017</v>
      </c>
    </row>
    <row r="126" spans="6:10" ht="12.95">
      <c r="F126" s="34"/>
      <c r="G126" s="34"/>
      <c r="H126" s="34"/>
      <c r="I126" s="36" t="s">
        <v>1018</v>
      </c>
      <c r="J126" s="38" t="s">
        <v>1019</v>
      </c>
    </row>
    <row r="127" spans="6:10" ht="12.95">
      <c r="F127" s="34"/>
      <c r="G127" s="34"/>
      <c r="H127" s="34"/>
      <c r="I127" s="36" t="s">
        <v>1020</v>
      </c>
      <c r="J127" s="38" t="s">
        <v>1021</v>
      </c>
    </row>
    <row r="128" spans="6:10" ht="12.95">
      <c r="F128" s="34"/>
      <c r="G128" s="34"/>
      <c r="H128" s="34"/>
      <c r="I128" s="36" t="s">
        <v>1022</v>
      </c>
      <c r="J128" s="38" t="s">
        <v>1023</v>
      </c>
    </row>
    <row r="129" spans="6:10" ht="12.95">
      <c r="F129" s="34"/>
      <c r="G129" s="34"/>
      <c r="H129" s="34"/>
      <c r="I129" s="36" t="s">
        <v>1024</v>
      </c>
      <c r="J129" s="38" t="s">
        <v>1025</v>
      </c>
    </row>
    <row r="130" spans="6:10" ht="12.95">
      <c r="F130" s="34"/>
      <c r="G130" s="34"/>
      <c r="H130" s="34"/>
      <c r="I130" s="36" t="s">
        <v>1026</v>
      </c>
      <c r="J130" s="38" t="s">
        <v>1027</v>
      </c>
    </row>
    <row r="131" spans="6:10" ht="12.95">
      <c r="F131" s="34"/>
      <c r="G131" s="34"/>
      <c r="H131" s="34"/>
      <c r="I131" s="36" t="s">
        <v>1028</v>
      </c>
      <c r="J131" s="38" t="s">
        <v>1029</v>
      </c>
    </row>
    <row r="132" spans="6:10" ht="12.95">
      <c r="F132" s="34"/>
      <c r="G132" s="34"/>
      <c r="H132" s="34"/>
      <c r="I132" s="36" t="s">
        <v>1030</v>
      </c>
      <c r="J132" s="38" t="s">
        <v>1031</v>
      </c>
    </row>
    <row r="133" spans="6:10" ht="12.95">
      <c r="F133" s="34"/>
      <c r="G133" s="34"/>
      <c r="H133" s="34"/>
      <c r="I133" s="36" t="s">
        <v>1032</v>
      </c>
      <c r="J133" s="38" t="s">
        <v>1033</v>
      </c>
    </row>
    <row r="134" spans="6:10" ht="12.95">
      <c r="F134" s="34"/>
      <c r="G134" s="34"/>
      <c r="H134" s="34"/>
      <c r="I134" s="36" t="s">
        <v>1034</v>
      </c>
      <c r="J134" s="38" t="s">
        <v>1035</v>
      </c>
    </row>
    <row r="135" spans="6:10" ht="12.95">
      <c r="F135" s="34"/>
      <c r="G135" s="34"/>
      <c r="H135" s="34"/>
      <c r="I135" s="36" t="s">
        <v>1036</v>
      </c>
      <c r="J135" s="38" t="s">
        <v>1037</v>
      </c>
    </row>
    <row r="136" spans="6:10" ht="12.95">
      <c r="F136" s="34"/>
      <c r="G136" s="34"/>
      <c r="H136" s="34"/>
      <c r="I136" s="36" t="s">
        <v>1038</v>
      </c>
      <c r="J136" s="38" t="s">
        <v>1039</v>
      </c>
    </row>
    <row r="137" spans="6:10" ht="12.95">
      <c r="F137" s="34"/>
      <c r="G137" s="34"/>
      <c r="H137" s="34"/>
      <c r="I137" s="36" t="s">
        <v>1040</v>
      </c>
      <c r="J137" s="38" t="s">
        <v>1041</v>
      </c>
    </row>
    <row r="138" spans="6:10" ht="12.95">
      <c r="F138" s="34"/>
      <c r="G138" s="34"/>
      <c r="H138" s="34"/>
      <c r="I138" s="36" t="s">
        <v>1042</v>
      </c>
      <c r="J138" s="38" t="s">
        <v>1043</v>
      </c>
    </row>
    <row r="139" spans="6:10" ht="12.95">
      <c r="F139" s="34"/>
      <c r="G139" s="34"/>
      <c r="H139" s="34"/>
      <c r="I139" s="36" t="s">
        <v>1044</v>
      </c>
      <c r="J139" s="38" t="s">
        <v>1045</v>
      </c>
    </row>
    <row r="140" spans="6:10" ht="12.95">
      <c r="F140" s="34"/>
      <c r="G140" s="34"/>
      <c r="H140" s="34"/>
      <c r="I140" s="36" t="s">
        <v>1046</v>
      </c>
      <c r="J140" s="38" t="s">
        <v>1047</v>
      </c>
    </row>
    <row r="141" spans="6:10" ht="12.95">
      <c r="F141" s="34"/>
      <c r="G141" s="34"/>
      <c r="H141" s="34"/>
      <c r="I141" s="36" t="s">
        <v>1048</v>
      </c>
      <c r="J141" s="38" t="s">
        <v>1049</v>
      </c>
    </row>
    <row r="142" spans="6:10" ht="12.95">
      <c r="F142" s="34"/>
      <c r="G142" s="34"/>
      <c r="H142" s="34"/>
      <c r="I142" s="36" t="s">
        <v>1050</v>
      </c>
      <c r="J142" s="38" t="s">
        <v>1051</v>
      </c>
    </row>
    <row r="143" spans="6:10" ht="12.95">
      <c r="F143" s="34"/>
      <c r="G143" s="34"/>
      <c r="H143" s="34"/>
      <c r="I143" s="36" t="s">
        <v>1052</v>
      </c>
      <c r="J143" s="38" t="s">
        <v>1053</v>
      </c>
    </row>
    <row r="144" spans="6:10" ht="12.95">
      <c r="F144" s="34"/>
      <c r="G144" s="34"/>
      <c r="H144" s="34"/>
      <c r="I144" s="36" t="s">
        <v>1054</v>
      </c>
      <c r="J144" s="38" t="s">
        <v>1055</v>
      </c>
    </row>
    <row r="145" spans="6:10" ht="12.95">
      <c r="F145" s="34"/>
      <c r="G145" s="34"/>
      <c r="H145" s="34"/>
      <c r="I145" s="36" t="s">
        <v>1056</v>
      </c>
      <c r="J145" s="38" t="s">
        <v>1057</v>
      </c>
    </row>
    <row r="146" spans="6:10" ht="12.95">
      <c r="F146" s="34"/>
      <c r="G146" s="34"/>
      <c r="H146" s="34"/>
      <c r="I146" s="36" t="s">
        <v>1058</v>
      </c>
      <c r="J146" s="38" t="s">
        <v>1059</v>
      </c>
    </row>
    <row r="147" spans="6:10" ht="12.95">
      <c r="F147" s="34"/>
      <c r="G147" s="34"/>
      <c r="H147" s="34"/>
      <c r="I147" s="36" t="s">
        <v>1060</v>
      </c>
      <c r="J147" s="38" t="s">
        <v>1061</v>
      </c>
    </row>
    <row r="148" spans="6:10" ht="12.95">
      <c r="F148" s="34"/>
      <c r="G148" s="34"/>
      <c r="H148" s="34"/>
      <c r="I148" s="36" t="s">
        <v>1062</v>
      </c>
      <c r="J148" s="38" t="s">
        <v>1063</v>
      </c>
    </row>
    <row r="149" spans="6:10" ht="12.95">
      <c r="F149" s="34"/>
      <c r="G149" s="34"/>
      <c r="H149" s="34"/>
      <c r="I149" s="36" t="s">
        <v>1064</v>
      </c>
      <c r="J149" s="38" t="s">
        <v>1065</v>
      </c>
    </row>
    <row r="150" spans="6:10" ht="12.95">
      <c r="F150" s="34"/>
      <c r="G150" s="34"/>
      <c r="H150" s="34"/>
      <c r="I150" s="36" t="s">
        <v>1066</v>
      </c>
      <c r="J150" s="38" t="s">
        <v>1067</v>
      </c>
    </row>
    <row r="151" spans="6:10" ht="12.95">
      <c r="F151" s="34"/>
      <c r="G151" s="34"/>
      <c r="H151" s="34"/>
      <c r="I151" s="36" t="s">
        <v>1068</v>
      </c>
      <c r="J151" s="38" t="s">
        <v>1069</v>
      </c>
    </row>
    <row r="152" spans="6:10" ht="12.95">
      <c r="F152" s="34"/>
      <c r="G152" s="34"/>
      <c r="H152" s="34"/>
      <c r="I152" s="36" t="s">
        <v>1070</v>
      </c>
      <c r="J152" s="38" t="s">
        <v>1071</v>
      </c>
    </row>
    <row r="153" spans="6:10" ht="12.95">
      <c r="F153" s="34"/>
      <c r="G153" s="34"/>
      <c r="H153" s="34"/>
      <c r="I153" s="36" t="s">
        <v>1072</v>
      </c>
      <c r="J153" s="38" t="s">
        <v>1073</v>
      </c>
    </row>
    <row r="154" spans="6:10" ht="12.95">
      <c r="F154" s="34"/>
      <c r="G154" s="34"/>
      <c r="H154" s="34"/>
      <c r="I154" s="36" t="s">
        <v>1074</v>
      </c>
      <c r="J154" s="38" t="s">
        <v>1075</v>
      </c>
    </row>
    <row r="155" spans="6:10" ht="12.95">
      <c r="F155" s="34"/>
      <c r="G155" s="34"/>
      <c r="H155" s="34"/>
      <c r="I155" s="36" t="s">
        <v>1076</v>
      </c>
      <c r="J155" s="38" t="s">
        <v>1075</v>
      </c>
    </row>
    <row r="156" spans="6:10" ht="12.95">
      <c r="F156" s="34"/>
      <c r="G156" s="34"/>
      <c r="H156" s="34"/>
      <c r="I156" s="36" t="s">
        <v>1077</v>
      </c>
      <c r="J156" s="38" t="s">
        <v>1078</v>
      </c>
    </row>
    <row r="157" spans="6:10" ht="12.95">
      <c r="F157" s="34"/>
      <c r="G157" s="34"/>
      <c r="H157" s="34"/>
      <c r="I157" s="36" t="s">
        <v>1079</v>
      </c>
      <c r="J157" s="38" t="s">
        <v>1080</v>
      </c>
    </row>
    <row r="158" spans="6:10" ht="12.95">
      <c r="F158" s="34"/>
      <c r="G158" s="34"/>
      <c r="H158" s="34"/>
      <c r="I158" s="36" t="s">
        <v>1081</v>
      </c>
      <c r="J158" s="38" t="s">
        <v>1082</v>
      </c>
    </row>
    <row r="159" spans="6:10" ht="12.95">
      <c r="F159" s="34"/>
      <c r="G159" s="34"/>
      <c r="H159" s="34"/>
      <c r="I159" s="36" t="s">
        <v>1083</v>
      </c>
      <c r="J159" s="38" t="s">
        <v>1084</v>
      </c>
    </row>
    <row r="160" spans="6:10" ht="12.95">
      <c r="F160" s="34"/>
      <c r="G160" s="34"/>
      <c r="H160" s="34"/>
      <c r="I160" s="36" t="s">
        <v>1085</v>
      </c>
      <c r="J160" s="38" t="s">
        <v>1086</v>
      </c>
    </row>
    <row r="161" spans="6:10" ht="12.95">
      <c r="F161" s="34"/>
      <c r="G161" s="34"/>
      <c r="H161" s="34"/>
      <c r="I161" s="36" t="s">
        <v>1087</v>
      </c>
      <c r="J161" s="38" t="s">
        <v>1088</v>
      </c>
    </row>
    <row r="162" spans="6:10" ht="12.95">
      <c r="F162" s="34"/>
      <c r="G162" s="34"/>
      <c r="H162" s="34"/>
      <c r="I162" s="36" t="s">
        <v>1089</v>
      </c>
      <c r="J162" s="38" t="s">
        <v>1090</v>
      </c>
    </row>
    <row r="163" spans="6:10" ht="12.95">
      <c r="F163" s="34"/>
      <c r="G163" s="34"/>
      <c r="H163" s="34"/>
      <c r="I163" s="36" t="s">
        <v>1091</v>
      </c>
      <c r="J163" s="38" t="s">
        <v>1092</v>
      </c>
    </row>
    <row r="164" spans="6:10" ht="12.95">
      <c r="F164" s="34"/>
      <c r="G164" s="34"/>
      <c r="H164" s="34"/>
      <c r="I164" s="36" t="s">
        <v>1093</v>
      </c>
      <c r="J164" s="38" t="s">
        <v>1094</v>
      </c>
    </row>
    <row r="165" spans="6:10" ht="12.95">
      <c r="F165" s="34"/>
      <c r="G165" s="34"/>
      <c r="H165" s="34"/>
      <c r="I165" s="36" t="s">
        <v>1095</v>
      </c>
      <c r="J165" s="38">
        <v>581</v>
      </c>
    </row>
    <row r="166" spans="6:10" ht="12.95">
      <c r="F166" s="34"/>
      <c r="G166" s="34"/>
      <c r="H166" s="34"/>
      <c r="I166" s="36" t="s">
        <v>1096</v>
      </c>
      <c r="J166" s="38" t="s">
        <v>1097</v>
      </c>
    </row>
    <row r="167" spans="6:10" ht="12.95">
      <c r="F167" s="34"/>
      <c r="G167" s="34"/>
      <c r="H167" s="34"/>
      <c r="I167" s="36" t="s">
        <v>1098</v>
      </c>
      <c r="J167" s="38" t="s">
        <v>1099</v>
      </c>
    </row>
    <row r="168" spans="6:10" ht="12.95">
      <c r="F168" s="34"/>
      <c r="G168" s="34"/>
      <c r="H168" s="34"/>
      <c r="I168" s="36" t="s">
        <v>1100</v>
      </c>
      <c r="J168" s="38" t="s">
        <v>1101</v>
      </c>
    </row>
    <row r="169" spans="6:10" ht="12.95">
      <c r="F169" s="34"/>
      <c r="G169" s="34"/>
      <c r="H169" s="34"/>
      <c r="I169" s="36" t="s">
        <v>1102</v>
      </c>
      <c r="J169" s="38" t="s">
        <v>1103</v>
      </c>
    </row>
    <row r="170" spans="6:10" ht="12.95">
      <c r="F170" s="34"/>
      <c r="G170" s="34"/>
      <c r="H170" s="34"/>
      <c r="I170" s="36" t="s">
        <v>1104</v>
      </c>
      <c r="J170" s="38" t="s">
        <v>1105</v>
      </c>
    </row>
    <row r="171" spans="6:10" ht="12.95">
      <c r="F171" s="34"/>
      <c r="G171" s="34"/>
      <c r="H171" s="34"/>
      <c r="I171" s="36" t="s">
        <v>1106</v>
      </c>
      <c r="J171" s="38" t="s">
        <v>1107</v>
      </c>
    </row>
    <row r="172" spans="6:10" ht="12.95">
      <c r="F172" s="34"/>
      <c r="G172" s="34"/>
      <c r="H172" s="34"/>
      <c r="I172" s="36" t="s">
        <v>1108</v>
      </c>
      <c r="J172" s="38" t="s">
        <v>1109</v>
      </c>
    </row>
    <row r="173" spans="6:10" ht="12.95">
      <c r="F173" s="34"/>
      <c r="G173" s="34"/>
      <c r="H173" s="34"/>
      <c r="I173" s="36" t="s">
        <v>1110</v>
      </c>
      <c r="J173" s="38" t="s">
        <v>1111</v>
      </c>
    </row>
    <row r="174" spans="6:10" ht="12.95">
      <c r="F174" s="34"/>
      <c r="G174" s="34"/>
      <c r="H174" s="34"/>
      <c r="I174" s="36" t="s">
        <v>1112</v>
      </c>
      <c r="J174" s="38" t="s">
        <v>1113</v>
      </c>
    </row>
    <row r="175" spans="6:10" ht="12.95">
      <c r="F175" s="34"/>
      <c r="G175" s="34"/>
      <c r="H175" s="34"/>
      <c r="I175" s="36" t="s">
        <v>1114</v>
      </c>
      <c r="J175" s="38" t="s">
        <v>1115</v>
      </c>
    </row>
    <row r="176" spans="6:10" ht="12.95">
      <c r="F176" s="34"/>
      <c r="G176" s="34"/>
      <c r="H176" s="34"/>
      <c r="I176" s="36" t="s">
        <v>1116</v>
      </c>
      <c r="J176" s="38" t="s">
        <v>1117</v>
      </c>
    </row>
    <row r="177" spans="6:10" ht="12.95">
      <c r="F177" s="34"/>
      <c r="G177" s="34"/>
      <c r="H177" s="34"/>
      <c r="I177" s="36" t="s">
        <v>1118</v>
      </c>
      <c r="J177" s="38" t="s">
        <v>1119</v>
      </c>
    </row>
    <row r="178" spans="6:10" ht="12.95">
      <c r="F178" s="34"/>
      <c r="G178" s="34"/>
      <c r="H178" s="34"/>
      <c r="I178" s="36" t="s">
        <v>1120</v>
      </c>
      <c r="J178" s="38" t="s">
        <v>1121</v>
      </c>
    </row>
    <row r="179" spans="6:10" ht="12.95">
      <c r="F179" s="34"/>
      <c r="G179" s="34"/>
      <c r="H179" s="34"/>
      <c r="I179" s="36" t="s">
        <v>1122</v>
      </c>
      <c r="J179" s="38" t="s">
        <v>1123</v>
      </c>
    </row>
    <row r="180" spans="6:10" ht="12.95">
      <c r="F180" s="34"/>
      <c r="G180" s="34"/>
      <c r="H180" s="34"/>
      <c r="I180" s="36" t="s">
        <v>1124</v>
      </c>
      <c r="J180" s="38" t="s">
        <v>1125</v>
      </c>
    </row>
    <row r="181" spans="6:10" ht="12.95">
      <c r="F181" s="34"/>
      <c r="G181" s="34"/>
      <c r="H181" s="34"/>
      <c r="I181" s="36" t="s">
        <v>1126</v>
      </c>
      <c r="J181" s="38" t="s">
        <v>1127</v>
      </c>
    </row>
    <row r="182" spans="6:10" ht="12.95">
      <c r="F182" s="34"/>
      <c r="G182" s="34"/>
      <c r="H182" s="34"/>
      <c r="I182" s="36" t="s">
        <v>1128</v>
      </c>
      <c r="J182" s="38" t="s">
        <v>1129</v>
      </c>
    </row>
    <row r="183" spans="6:10" ht="12.95">
      <c r="F183" s="34"/>
      <c r="G183" s="34"/>
      <c r="H183" s="34"/>
      <c r="I183" s="36" t="s">
        <v>1130</v>
      </c>
      <c r="J183" s="38" t="s">
        <v>1131</v>
      </c>
    </row>
    <row r="184" spans="6:10" ht="12.95">
      <c r="F184" s="34"/>
      <c r="G184" s="34"/>
      <c r="H184" s="34"/>
      <c r="I184" s="36" t="s">
        <v>1132</v>
      </c>
      <c r="J184" s="38" t="s">
        <v>1133</v>
      </c>
    </row>
    <row r="185" spans="6:10" ht="12.95">
      <c r="F185" s="34"/>
      <c r="G185" s="34"/>
      <c r="H185" s="34"/>
      <c r="I185" s="36" t="s">
        <v>1134</v>
      </c>
      <c r="J185" s="38" t="s">
        <v>1135</v>
      </c>
    </row>
    <row r="186" spans="6:10" ht="12.95">
      <c r="F186" s="34"/>
      <c r="G186" s="34"/>
      <c r="H186" s="34"/>
      <c r="I186" s="36" t="s">
        <v>1136</v>
      </c>
      <c r="J186" s="38" t="s">
        <v>1137</v>
      </c>
    </row>
    <row r="187" spans="6:10" ht="12.95">
      <c r="F187" s="34"/>
      <c r="G187" s="34"/>
      <c r="H187" s="34"/>
      <c r="I187" s="36" t="s">
        <v>1138</v>
      </c>
      <c r="J187" s="38" t="s">
        <v>1139</v>
      </c>
    </row>
    <row r="188" spans="6:10" ht="12.95">
      <c r="F188" s="34"/>
      <c r="G188" s="34"/>
      <c r="H188" s="34"/>
      <c r="I188" s="36" t="s">
        <v>1140</v>
      </c>
      <c r="J188" s="38" t="s">
        <v>1141</v>
      </c>
    </row>
    <row r="189" spans="6:10" ht="12.95">
      <c r="F189" s="34"/>
      <c r="G189" s="34"/>
      <c r="H189" s="34"/>
      <c r="I189" s="36" t="s">
        <v>1142</v>
      </c>
      <c r="J189" s="38" t="s">
        <v>1143</v>
      </c>
    </row>
    <row r="190" spans="6:10" ht="12.95">
      <c r="F190" s="34"/>
      <c r="G190" s="34"/>
      <c r="H190" s="34"/>
      <c r="I190" s="36" t="s">
        <v>1144</v>
      </c>
      <c r="J190" s="38" t="s">
        <v>1145</v>
      </c>
    </row>
    <row r="191" spans="6:10" ht="12.95">
      <c r="F191" s="34"/>
      <c r="G191" s="34"/>
      <c r="H191" s="34"/>
      <c r="I191" s="36" t="s">
        <v>1146</v>
      </c>
      <c r="J191" s="38">
        <v>670</v>
      </c>
    </row>
    <row r="192" spans="6:10" ht="12.95">
      <c r="F192" s="34"/>
      <c r="G192" s="34"/>
      <c r="H192" s="34"/>
      <c r="I192" s="36" t="s">
        <v>1147</v>
      </c>
      <c r="J192" s="38" t="s">
        <v>1148</v>
      </c>
    </row>
    <row r="193" spans="6:10" ht="12.95">
      <c r="F193" s="34"/>
      <c r="G193" s="34"/>
      <c r="H193" s="34"/>
      <c r="I193" s="36" t="s">
        <v>1149</v>
      </c>
      <c r="J193" s="38">
        <v>678</v>
      </c>
    </row>
    <row r="194" spans="6:10" ht="12.95">
      <c r="F194" s="34"/>
      <c r="G194" s="34"/>
      <c r="H194" s="34"/>
      <c r="I194" s="36" t="s">
        <v>1150</v>
      </c>
      <c r="J194" s="38" t="s">
        <v>1151</v>
      </c>
    </row>
    <row r="195" spans="6:10" ht="12.95">
      <c r="F195" s="34"/>
      <c r="G195" s="34"/>
      <c r="H195" s="34"/>
      <c r="I195" s="36" t="s">
        <v>1152</v>
      </c>
      <c r="J195" s="38" t="s">
        <v>1153</v>
      </c>
    </row>
    <row r="196" spans="6:10" ht="12.95">
      <c r="F196" s="34"/>
      <c r="G196" s="34"/>
      <c r="H196" s="34"/>
      <c r="I196" s="36" t="s">
        <v>1154</v>
      </c>
      <c r="J196" s="38" t="s">
        <v>1155</v>
      </c>
    </row>
    <row r="197" spans="6:10" ht="12.95">
      <c r="F197" s="34"/>
      <c r="G197" s="34"/>
      <c r="H197" s="34"/>
      <c r="I197" s="36" t="s">
        <v>1156</v>
      </c>
      <c r="J197" s="38" t="s">
        <v>1157</v>
      </c>
    </row>
    <row r="198" spans="6:10" ht="12.95">
      <c r="F198" s="34"/>
      <c r="G198" s="34"/>
      <c r="H198" s="34"/>
      <c r="I198" s="36" t="s">
        <v>1158</v>
      </c>
      <c r="J198" s="38" t="s">
        <v>1159</v>
      </c>
    </row>
    <row r="199" spans="6:10" ht="12.95">
      <c r="F199" s="34"/>
      <c r="G199" s="34"/>
      <c r="H199" s="34"/>
      <c r="I199" s="36" t="s">
        <v>1160</v>
      </c>
      <c r="J199" s="38" t="s">
        <v>1161</v>
      </c>
    </row>
    <row r="200" spans="6:10" ht="12.95">
      <c r="F200" s="34"/>
      <c r="G200" s="34"/>
      <c r="H200" s="34"/>
      <c r="I200" s="36" t="s">
        <v>1162</v>
      </c>
      <c r="J200" s="38" t="s">
        <v>1163</v>
      </c>
    </row>
    <row r="201" spans="6:10" ht="12.95">
      <c r="F201" s="34"/>
      <c r="G201" s="34"/>
      <c r="H201" s="34"/>
      <c r="I201" s="36" t="s">
        <v>1164</v>
      </c>
      <c r="J201" s="38" t="s">
        <v>1165</v>
      </c>
    </row>
    <row r="202" spans="6:10" ht="12.95">
      <c r="F202" s="34"/>
      <c r="G202" s="34"/>
      <c r="H202" s="34"/>
      <c r="I202" s="36" t="s">
        <v>1166</v>
      </c>
      <c r="J202" s="38" t="s">
        <v>1167</v>
      </c>
    </row>
    <row r="203" spans="6:10" ht="12.95">
      <c r="F203" s="34"/>
      <c r="G203" s="34"/>
      <c r="H203" s="34"/>
      <c r="I203" s="36" t="s">
        <v>1168</v>
      </c>
      <c r="J203" s="38" t="s">
        <v>1169</v>
      </c>
    </row>
    <row r="204" spans="6:10" ht="12.95">
      <c r="F204" s="34"/>
      <c r="G204" s="34"/>
      <c r="H204" s="34"/>
      <c r="I204" s="36" t="s">
        <v>1170</v>
      </c>
      <c r="J204" s="38" t="s">
        <v>1171</v>
      </c>
    </row>
    <row r="205" spans="6:10" ht="12.95">
      <c r="F205" s="34"/>
      <c r="G205" s="34"/>
      <c r="H205" s="34"/>
      <c r="I205" s="36" t="s">
        <v>1172</v>
      </c>
      <c r="J205" s="38" t="s">
        <v>1173</v>
      </c>
    </row>
    <row r="206" spans="6:10" ht="12.95">
      <c r="F206" s="34"/>
      <c r="G206" s="34"/>
      <c r="H206" s="34"/>
      <c r="I206" s="36" t="s">
        <v>1174</v>
      </c>
      <c r="J206" s="38" t="s">
        <v>1175</v>
      </c>
    </row>
    <row r="207" spans="6:10" ht="12.95">
      <c r="F207" s="34"/>
      <c r="G207" s="34"/>
      <c r="H207" s="34"/>
      <c r="I207" s="36" t="s">
        <v>1176</v>
      </c>
      <c r="J207" s="38" t="s">
        <v>1175</v>
      </c>
    </row>
    <row r="208" spans="6:10" ht="12.95">
      <c r="F208" s="34"/>
      <c r="G208" s="34"/>
      <c r="H208" s="34"/>
      <c r="I208" s="36" t="s">
        <v>1177</v>
      </c>
      <c r="J208" s="38" t="s">
        <v>1178</v>
      </c>
    </row>
    <row r="209" spans="6:10" ht="12.95">
      <c r="F209" s="34"/>
      <c r="G209" s="34"/>
      <c r="H209" s="34"/>
      <c r="I209" s="36" t="s">
        <v>1179</v>
      </c>
      <c r="J209" s="38" t="s">
        <v>1180</v>
      </c>
    </row>
    <row r="210" spans="6:10" ht="12.95">
      <c r="F210" s="34"/>
      <c r="G210" s="34"/>
      <c r="H210" s="34"/>
      <c r="I210" s="36" t="s">
        <v>1181</v>
      </c>
      <c r="J210" s="38" t="s">
        <v>1182</v>
      </c>
    </row>
    <row r="211" spans="6:10" ht="12.95">
      <c r="F211" s="34"/>
      <c r="G211" s="34"/>
      <c r="H211" s="34"/>
      <c r="I211" s="36" t="s">
        <v>1183</v>
      </c>
      <c r="J211" s="38" t="s">
        <v>1184</v>
      </c>
    </row>
    <row r="212" spans="6:10" ht="12.95">
      <c r="F212" s="34"/>
      <c r="G212" s="34"/>
      <c r="H212" s="34"/>
      <c r="I212" s="36" t="s">
        <v>1185</v>
      </c>
      <c r="J212" s="38" t="s">
        <v>1186</v>
      </c>
    </row>
    <row r="213" spans="6:10" ht="12.95">
      <c r="F213" s="34"/>
      <c r="G213" s="34"/>
      <c r="H213" s="34"/>
      <c r="I213" s="36" t="s">
        <v>1187</v>
      </c>
      <c r="J213" s="38" t="s">
        <v>1188</v>
      </c>
    </row>
    <row r="214" spans="6:10" ht="12.95">
      <c r="F214" s="34"/>
      <c r="G214" s="34"/>
      <c r="H214" s="34"/>
      <c r="I214" s="36" t="s">
        <v>1189</v>
      </c>
      <c r="J214" s="38" t="s">
        <v>1190</v>
      </c>
    </row>
    <row r="215" spans="6:10" ht="12.95">
      <c r="F215" s="34"/>
      <c r="G215" s="34"/>
      <c r="H215" s="34"/>
      <c r="I215" s="36" t="s">
        <v>1191</v>
      </c>
      <c r="J215" s="38" t="s">
        <v>1192</v>
      </c>
    </row>
    <row r="216" spans="6:10" ht="12.95">
      <c r="F216" s="34"/>
      <c r="G216" s="34"/>
      <c r="H216" s="34"/>
      <c r="I216" s="36" t="s">
        <v>1193</v>
      </c>
      <c r="J216" s="38" t="s">
        <v>1194</v>
      </c>
    </row>
    <row r="217" spans="6:10" ht="12.95">
      <c r="F217" s="34"/>
      <c r="G217" s="34"/>
      <c r="H217" s="34"/>
      <c r="I217" s="36" t="s">
        <v>1195</v>
      </c>
      <c r="J217" s="38" t="s">
        <v>1196</v>
      </c>
    </row>
    <row r="218" spans="6:10" ht="12.95">
      <c r="F218" s="34"/>
      <c r="G218" s="34"/>
      <c r="H218" s="34"/>
      <c r="I218" s="36" t="s">
        <v>1197</v>
      </c>
      <c r="J218" s="38" t="s">
        <v>1198</v>
      </c>
    </row>
    <row r="219" spans="6:10" ht="12.95">
      <c r="F219" s="34"/>
      <c r="G219" s="34"/>
      <c r="H219" s="34"/>
      <c r="I219" s="36" t="s">
        <v>1199</v>
      </c>
      <c r="J219" s="38" t="s">
        <v>1200</v>
      </c>
    </row>
    <row r="220" spans="6:10" ht="12.95">
      <c r="F220" s="34"/>
      <c r="G220" s="34"/>
      <c r="H220" s="34"/>
      <c r="I220" s="36" t="s">
        <v>1201</v>
      </c>
      <c r="J220" s="38" t="s">
        <v>1202</v>
      </c>
    </row>
    <row r="221" spans="6:10" ht="12.95">
      <c r="F221" s="34"/>
      <c r="G221" s="34"/>
      <c r="H221" s="34"/>
      <c r="I221" s="36" t="s">
        <v>1203</v>
      </c>
      <c r="J221" s="38" t="s">
        <v>1204</v>
      </c>
    </row>
    <row r="222" spans="6:10" ht="12.95">
      <c r="F222" s="34"/>
      <c r="G222" s="34"/>
      <c r="H222" s="34"/>
      <c r="I222" s="36" t="s">
        <v>1205</v>
      </c>
      <c r="J222" s="38" t="s">
        <v>1206</v>
      </c>
    </row>
    <row r="223" spans="6:10" ht="12.95">
      <c r="F223" s="34"/>
      <c r="G223" s="34"/>
      <c r="H223" s="34"/>
      <c r="I223" s="36" t="s">
        <v>1207</v>
      </c>
      <c r="J223" s="38" t="s">
        <v>1208</v>
      </c>
    </row>
    <row r="224" spans="6:10" ht="12.95">
      <c r="F224" s="34"/>
      <c r="G224" s="34"/>
      <c r="H224" s="34"/>
      <c r="I224" s="36" t="s">
        <v>1209</v>
      </c>
      <c r="J224" s="38" t="s">
        <v>1210</v>
      </c>
    </row>
    <row r="225" spans="6:10" ht="12.95">
      <c r="F225" s="34"/>
      <c r="G225" s="34"/>
      <c r="H225" s="34"/>
      <c r="I225" s="36" t="s">
        <v>1211</v>
      </c>
      <c r="J225" s="38" t="s">
        <v>1212</v>
      </c>
    </row>
    <row r="226" spans="6:10" ht="12.95">
      <c r="F226" s="34"/>
      <c r="G226" s="34"/>
      <c r="H226" s="34"/>
      <c r="I226" s="36" t="s">
        <v>1213</v>
      </c>
      <c r="J226" s="38" t="s">
        <v>1214</v>
      </c>
    </row>
    <row r="227" spans="6:10" ht="12.95">
      <c r="F227" s="34"/>
      <c r="G227" s="34"/>
      <c r="H227" s="34"/>
      <c r="I227" s="36" t="s">
        <v>1215</v>
      </c>
      <c r="J227" s="38" t="s">
        <v>1216</v>
      </c>
    </row>
    <row r="228" spans="6:10" ht="12.95">
      <c r="F228" s="34"/>
      <c r="G228" s="34"/>
      <c r="H228" s="34"/>
      <c r="I228" s="36" t="s">
        <v>1217</v>
      </c>
      <c r="J228" s="38" t="s">
        <v>1218</v>
      </c>
    </row>
    <row r="229" spans="6:10" ht="12.95">
      <c r="F229" s="34"/>
      <c r="G229" s="34"/>
      <c r="H229" s="34"/>
      <c r="I229" s="36" t="s">
        <v>1219</v>
      </c>
      <c r="J229" s="38" t="s">
        <v>1220</v>
      </c>
    </row>
    <row r="230" spans="6:10" ht="12.95">
      <c r="F230" s="34"/>
      <c r="G230" s="34"/>
      <c r="H230" s="34"/>
      <c r="I230" s="36" t="s">
        <v>1221</v>
      </c>
      <c r="J230" s="38" t="s">
        <v>1220</v>
      </c>
    </row>
    <row r="231" spans="6:10" ht="12.95">
      <c r="F231" s="34"/>
      <c r="G231" s="34"/>
      <c r="H231" s="34"/>
      <c r="I231" s="36" t="s">
        <v>1222</v>
      </c>
      <c r="J231" s="38" t="s">
        <v>1223</v>
      </c>
    </row>
    <row r="232" spans="6:10" ht="12.95">
      <c r="F232" s="34"/>
      <c r="G232" s="34"/>
      <c r="H232" s="34"/>
      <c r="I232" s="36" t="s">
        <v>1224</v>
      </c>
      <c r="J232" s="38" t="s">
        <v>1225</v>
      </c>
    </row>
    <row r="233" spans="6:10" ht="12.95">
      <c r="F233" s="34"/>
      <c r="G233" s="34"/>
      <c r="H233" s="34"/>
      <c r="I233" s="36" t="s">
        <v>1226</v>
      </c>
      <c r="J233" s="38" t="s">
        <v>1227</v>
      </c>
    </row>
    <row r="234" spans="6:10" ht="12.95">
      <c r="F234" s="34"/>
      <c r="G234" s="34"/>
      <c r="H234" s="34"/>
      <c r="I234" s="36" t="s">
        <v>1228</v>
      </c>
      <c r="J234" s="38" t="s">
        <v>1229</v>
      </c>
    </row>
    <row r="235" spans="6:10" ht="12.95">
      <c r="F235" s="34"/>
      <c r="G235" s="34"/>
      <c r="H235" s="34"/>
      <c r="I235" s="36" t="s">
        <v>1230</v>
      </c>
      <c r="J235" s="38" t="s">
        <v>1231</v>
      </c>
    </row>
    <row r="236" spans="6:10" ht="12.95">
      <c r="F236" s="34"/>
      <c r="G236" s="34"/>
      <c r="H236" s="34"/>
      <c r="I236" s="36" t="s">
        <v>1232</v>
      </c>
      <c r="J236" s="38" t="s">
        <v>1233</v>
      </c>
    </row>
    <row r="237" spans="6:10" ht="12.95">
      <c r="F237" s="34"/>
      <c r="G237" s="34"/>
      <c r="H237" s="34"/>
      <c r="I237" s="36" t="s">
        <v>1234</v>
      </c>
      <c r="J237" s="38" t="s">
        <v>1235</v>
      </c>
    </row>
    <row r="238" spans="6:10" ht="12.95">
      <c r="F238" s="34"/>
      <c r="G238" s="34"/>
      <c r="H238" s="34"/>
      <c r="I238" s="36" t="s">
        <v>1236</v>
      </c>
      <c r="J238" s="38" t="s">
        <v>1237</v>
      </c>
    </row>
    <row r="239" spans="6:10" ht="12.95">
      <c r="F239" s="34"/>
      <c r="G239" s="34"/>
      <c r="H239" s="34"/>
      <c r="I239" s="36" t="s">
        <v>1238</v>
      </c>
      <c r="J239" s="38" t="s">
        <v>1239</v>
      </c>
    </row>
    <row r="240" spans="6:10" ht="12.95">
      <c r="F240" s="34"/>
      <c r="G240" s="34"/>
      <c r="H240" s="34"/>
      <c r="I240" s="36" t="s">
        <v>1240</v>
      </c>
      <c r="J240" s="38" t="s">
        <v>1241</v>
      </c>
    </row>
    <row r="241" spans="6:10" ht="12.95">
      <c r="F241" s="34"/>
      <c r="G241" s="34"/>
      <c r="H241" s="34"/>
      <c r="I241" s="36"/>
      <c r="J241" s="38"/>
    </row>
    <row r="242" spans="6:10" ht="12.95">
      <c r="F242" s="34"/>
      <c r="G242" s="34"/>
      <c r="H242" s="34"/>
      <c r="I242" s="36"/>
      <c r="J242" s="38"/>
    </row>
    <row r="243" spans="6:10" ht="12.95">
      <c r="F243" s="34"/>
      <c r="G243" s="34"/>
      <c r="H243" s="34"/>
      <c r="I243" s="36"/>
      <c r="J243" s="38"/>
    </row>
    <row r="244" spans="6:10" ht="12.95">
      <c r="F244" s="34"/>
      <c r="G244" s="34"/>
      <c r="H244" s="34"/>
      <c r="I244" s="36"/>
      <c r="J244" s="38"/>
    </row>
    <row r="245" spans="6:10" ht="12.95">
      <c r="F245" s="34"/>
      <c r="G245" s="34"/>
      <c r="H245" s="34"/>
      <c r="I245" s="36"/>
      <c r="J245" s="38"/>
    </row>
    <row r="246" spans="6:10" ht="12.95">
      <c r="F246" s="34"/>
      <c r="G246" s="34"/>
      <c r="H246" s="34"/>
      <c r="I246" s="36"/>
      <c r="J246" s="38"/>
    </row>
    <row r="247" spans="6:10" ht="12.95">
      <c r="F247" s="34"/>
      <c r="G247" s="34"/>
      <c r="H247" s="34"/>
      <c r="I247" s="36"/>
      <c r="J247" s="38"/>
    </row>
    <row r="248" spans="6:10" ht="12.95">
      <c r="F248" s="34"/>
      <c r="G248" s="34"/>
      <c r="H248" s="34"/>
      <c r="I248" s="36"/>
      <c r="J248" s="38"/>
    </row>
    <row r="249" spans="6:10" ht="12.95">
      <c r="F249" s="34"/>
      <c r="G249" s="34"/>
      <c r="H249" s="34"/>
      <c r="I249" s="36"/>
      <c r="J249" s="38"/>
    </row>
    <row r="250" spans="6:10" ht="13.5" thickBot="1">
      <c r="F250" s="34"/>
      <c r="G250" s="34"/>
      <c r="H250" s="34"/>
      <c r="I250" s="37"/>
      <c r="J250" s="39"/>
    </row>
    <row r="251" spans="6:10" ht="12.95" thickTop="1"/>
  </sheetData>
  <mergeCells count="1">
    <mergeCell ref="I1:J1"/>
  </mergeCells>
  <phoneticPr fontId="2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6a3ac1b25229f7f744200c02d23e4089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465a83da5b0fc7f9619e44150761f9e9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867B2-86F6-4D91-9E7E-ABE4CF252AC5}"/>
</file>

<file path=customXml/itemProps2.xml><?xml version="1.0" encoding="utf-8"?>
<ds:datastoreItem xmlns:ds="http://schemas.openxmlformats.org/officeDocument/2006/customXml" ds:itemID="{8844C7C6-4A27-410D-9212-A267F184E993}"/>
</file>

<file path=customXml/itemProps3.xml><?xml version="1.0" encoding="utf-8"?>
<ds:datastoreItem xmlns:ds="http://schemas.openxmlformats.org/officeDocument/2006/customXml" ds:itemID="{748E3B8B-B383-47C0-9A21-E785FA08C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SLPU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</dc:creator>
  <cp:keywords/>
  <dc:description/>
  <cp:lastModifiedBy>Chalotra, Komal</cp:lastModifiedBy>
  <cp:revision/>
  <dcterms:created xsi:type="dcterms:W3CDTF">2013-10-23T02:47:40Z</dcterms:created>
  <dcterms:modified xsi:type="dcterms:W3CDTF">2025-07-17T03:59:24Z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MediaServiceImageTags">
    <vt:lpwstr/>
  </property>
</Properties>
</file>