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rpanaKohli\Desktop\2026-03-13\"/>
    </mc:Choice>
  </mc:AlternateContent>
  <xr:revisionPtr revIDLastSave="0" documentId="13_ncr:1_{F9655EC0-48D2-410C-9730-7705410E80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lculation" sheetId="2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2" l="1"/>
  <c r="N13" i="2"/>
  <c r="M13" i="2"/>
  <c r="L13" i="2"/>
  <c r="I13" i="2"/>
  <c r="G11" i="2" l="1"/>
  <c r="H11" i="2" l="1"/>
  <c r="X11" i="2" l="1"/>
  <c r="Y13" i="2"/>
  <c r="Y11" i="2" l="1"/>
  <c r="C4" i="2" l="1"/>
  <c r="W11" i="2" l="1"/>
  <c r="V13" i="2" l="1"/>
  <c r="U13" i="2"/>
  <c r="T13" i="2"/>
  <c r="S13" i="2"/>
  <c r="R13" i="2"/>
  <c r="Q13" i="2"/>
  <c r="P13" i="2"/>
  <c r="K13" i="2"/>
  <c r="W13" i="2" l="1"/>
  <c r="X13" i="2" l="1"/>
  <c r="Z13" i="2" s="1"/>
  <c r="Z11" i="2"/>
</calcChain>
</file>

<file path=xl/sharedStrings.xml><?xml version="1.0" encoding="utf-8"?>
<sst xmlns="http://schemas.openxmlformats.org/spreadsheetml/2006/main" count="49" uniqueCount="39">
  <si>
    <t>Customer</t>
  </si>
  <si>
    <t>Animal Equality</t>
  </si>
  <si>
    <t>Invoice ID:</t>
  </si>
  <si>
    <t>Location</t>
  </si>
  <si>
    <t>Italy</t>
  </si>
  <si>
    <t>Workers</t>
  </si>
  <si>
    <t>Pay Period</t>
  </si>
  <si>
    <t>Mar'26</t>
  </si>
  <si>
    <t>SGWI VAT Code</t>
  </si>
  <si>
    <t>V9</t>
  </si>
  <si>
    <t>ICE VAT Code</t>
  </si>
  <si>
    <t>V6</t>
  </si>
  <si>
    <t>SGWI Chargable</t>
  </si>
  <si>
    <t>Y</t>
  </si>
  <si>
    <t>Employee ID</t>
  </si>
  <si>
    <t>PO Number</t>
  </si>
  <si>
    <t>SGWI %age Markup</t>
  </si>
  <si>
    <t>SGWI Min</t>
  </si>
  <si>
    <t>SGWI Minimum Currency</t>
  </si>
  <si>
    <t>Applied SGWI Min</t>
  </si>
  <si>
    <t>Applied SGWI Minimum Currency</t>
  </si>
  <si>
    <t>Currency</t>
  </si>
  <si>
    <t>March Salary 2026</t>
  </si>
  <si>
    <t>Social Cost</t>
  </si>
  <si>
    <t>Social contributions for accruals</t>
  </si>
  <si>
    <t>13th and 14th Accrual</t>
  </si>
  <si>
    <t>Vacation Leave</t>
  </si>
  <si>
    <t xml:space="preserve">Monthly Permitted Leave (Permessi Hours Ex-Fs) </t>
  </si>
  <si>
    <t>Monthly Permitted Leave ROL Accrual</t>
  </si>
  <si>
    <t>Unemployment Fund (TFR) Accrual</t>
  </si>
  <si>
    <t>Overheads</t>
  </si>
  <si>
    <t>Bilateral Trade Association</t>
  </si>
  <si>
    <t>Cost Basis</t>
  </si>
  <si>
    <t>SGWI Fees</t>
  </si>
  <si>
    <t>VAT</t>
  </si>
  <si>
    <t>Invoice Total</t>
  </si>
  <si>
    <t>-</t>
  </si>
  <si>
    <t>EUR</t>
  </si>
  <si>
    <t>SGWI Invoice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</si>
</sst>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mbria"/>
      <family val="1"/>
    </font>
    <font>
      <b/>
      <sz val="11"/>
      <color theme="1"/>
      <name val="Cambria"/>
      <family val="1"/>
    </font>
    <font>
      <b/>
      <sz val="9"/>
      <name val="Cambria"/>
      <family val="1"/>
    </font>
    <font>
      <b/>
      <u/>
      <sz val="9"/>
      <name val="Cambria"/>
      <family val="1"/>
    </font>
    <font>
      <b/>
      <u/>
      <sz val="10"/>
      <name val="Cambria"/>
      <family val="1"/>
    </font>
    <font>
      <sz val="9"/>
      <name val="Cambria"/>
      <family val="1"/>
    </font>
    <font>
      <b/>
      <sz val="8"/>
      <name val="Cambria"/>
      <family val="1"/>
    </font>
    <font>
      <sz val="10"/>
      <color rgb="FF002060"/>
      <name val="Cambria"/>
      <family val="1"/>
    </font>
    <font>
      <b/>
      <sz val="10"/>
      <color rgb="FF002060"/>
      <name val="Cambria"/>
      <family val="1"/>
    </font>
    <font>
      <b/>
      <sz val="10"/>
      <color theme="1"/>
      <name val="Cambria"/>
      <family val="1"/>
    </font>
    <font>
      <b/>
      <sz val="14"/>
      <color rgb="FF00206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4" fillId="2" borderId="8" xfId="0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3" borderId="7" xfId="0" applyFont="1" applyFill="1" applyBorder="1" applyAlignment="1" applyProtection="1">
      <alignment horizontal="center" vertical="center" wrapText="1"/>
      <protection locked="0"/>
    </xf>
    <xf numFmtId="0" fontId="5" fillId="3" borderId="18" xfId="0" applyFont="1" applyFill="1" applyBorder="1" applyAlignment="1" applyProtection="1">
      <alignment horizontal="center" vertical="center" wrapText="1"/>
      <protection locked="0"/>
    </xf>
    <xf numFmtId="0" fontId="5" fillId="3" borderId="16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43" fontId="8" fillId="0" borderId="2" xfId="1" applyFont="1" applyFill="1" applyBorder="1" applyAlignment="1" applyProtection="1">
      <alignment horizontal="right" vertical="center"/>
      <protection locked="0"/>
    </xf>
    <xf numFmtId="43" fontId="8" fillId="0" borderId="13" xfId="1" applyFont="1" applyFill="1" applyBorder="1" applyAlignment="1" applyProtection="1">
      <alignment horizontal="right" vertical="center"/>
      <protection locked="0"/>
    </xf>
    <xf numFmtId="2" fontId="5" fillId="0" borderId="13" xfId="2" applyNumberFormat="1" applyFont="1" applyFill="1" applyBorder="1" applyAlignment="1" applyProtection="1">
      <alignment horizontal="center" vertical="center"/>
      <protection locked="0"/>
    </xf>
    <xf numFmtId="2" fontId="8" fillId="0" borderId="13" xfId="2" applyNumberFormat="1" applyFont="1" applyFill="1" applyBorder="1" applyAlignment="1" applyProtection="1">
      <alignment horizontal="center" vertical="center"/>
      <protection locked="0"/>
    </xf>
    <xf numFmtId="2" fontId="5" fillId="0" borderId="12" xfId="0" applyNumberFormat="1" applyFont="1" applyBorder="1" applyAlignment="1" applyProtection="1">
      <alignment vertical="center"/>
      <protection locked="0"/>
    </xf>
    <xf numFmtId="2" fontId="8" fillId="0" borderId="0" xfId="0" applyNumberFormat="1" applyFont="1" applyAlignment="1" applyProtection="1">
      <alignment vertical="center"/>
      <protection locked="0"/>
    </xf>
    <xf numFmtId="43" fontId="10" fillId="0" borderId="5" xfId="0" applyNumberFormat="1" applyFont="1" applyBorder="1" applyAlignment="1" applyProtection="1">
      <alignment vertical="center"/>
      <protection locked="0"/>
    </xf>
    <xf numFmtId="43" fontId="10" fillId="0" borderId="7" xfId="0" applyNumberFormat="1" applyFont="1" applyBorder="1" applyAlignment="1" applyProtection="1">
      <alignment vertical="center"/>
      <protection locked="0"/>
    </xf>
    <xf numFmtId="43" fontId="11" fillId="0" borderId="7" xfId="0" applyNumberFormat="1" applyFont="1" applyBorder="1" applyAlignment="1" applyProtection="1">
      <alignment vertical="center"/>
      <protection locked="0"/>
    </xf>
    <xf numFmtId="43" fontId="10" fillId="0" borderId="18" xfId="0" applyNumberFormat="1" applyFont="1" applyBorder="1" applyAlignment="1" applyProtection="1">
      <alignment vertical="center"/>
      <protection locked="0"/>
    </xf>
    <xf numFmtId="43" fontId="11" fillId="0" borderId="6" xfId="0" applyNumberFormat="1" applyFont="1" applyBorder="1" applyAlignment="1" applyProtection="1">
      <alignment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hidden="1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9" fontId="8" fillId="0" borderId="13" xfId="3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2" fontId="8" fillId="0" borderId="13" xfId="0" applyNumberFormat="1" applyFont="1" applyBorder="1" applyAlignment="1" applyProtection="1">
      <alignment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12" fillId="2" borderId="11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12" fillId="2" borderId="10" xfId="0" applyFont="1" applyFill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</cellXfs>
  <cellStyles count="4">
    <cellStyle name="Comma 2" xfId="2" xr:uid="{00000000-0005-0000-0000-000000000000}"/>
    <cellStyle name="Comma 3" xfId="1" xr:uid="{00000000-0005-0000-0000-000001000000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Z14"/>
  <sheetViews>
    <sheetView showGridLines="0" tabSelected="1" topLeftCell="V1" zoomScaleNormal="100" workbookViewId="0"/>
  </sheetViews>
  <sheetFormatPr defaultColWidth="9.140625" defaultRowHeight="14.1"/>
  <cols>
    <col min="1" max="1" width="11.140625" style="1" bestFit="1" customWidth="1"/>
    <col min="2" max="2" width="15.42578125" style="1" bestFit="1" customWidth="1"/>
    <col min="3" max="3" width="9.5703125" style="1" bestFit="1" customWidth="1"/>
    <col min="4" max="4" width="6.85546875" style="1" bestFit="1" customWidth="1"/>
    <col min="5" max="6" width="8.140625" style="1" bestFit="1" customWidth="1"/>
    <col min="7" max="7" width="10" style="1" bestFit="1" customWidth="1"/>
    <col min="8" max="8" width="11.28515625" style="1" bestFit="1" customWidth="1"/>
    <col min="9" max="9" width="13" style="1" bestFit="1" customWidth="1"/>
    <col min="10" max="10" width="0.42578125" style="1" customWidth="1"/>
    <col min="11" max="11" width="12.85546875" style="1" bestFit="1" customWidth="1"/>
    <col min="12" max="13" width="9.140625" style="1" bestFit="1" customWidth="1"/>
    <col min="14" max="20" width="9.7109375" style="1" bestFit="1" customWidth="1"/>
    <col min="21" max="22" width="4.85546875" style="1" bestFit="1" customWidth="1"/>
    <col min="23" max="23" width="10.85546875" style="1" bestFit="1" customWidth="1"/>
    <col min="24" max="24" width="8.5703125" style="1" bestFit="1" customWidth="1"/>
    <col min="25" max="25" width="4.85546875" style="1" bestFit="1" customWidth="1"/>
    <col min="26" max="26" width="10.85546875" style="1" bestFit="1" customWidth="1"/>
    <col min="27" max="27" width="0.42578125" style="1" customWidth="1"/>
    <col min="28" max="16384" width="9.140625" style="1"/>
  </cols>
  <sheetData>
    <row r="1" spans="2:26" ht="6" customHeight="1" thickBot="1"/>
    <row r="2" spans="2:26" ht="15" thickTop="1" thickBot="1">
      <c r="B2" s="2" t="s">
        <v>0</v>
      </c>
      <c r="C2" s="43" t="s">
        <v>1</v>
      </c>
      <c r="D2" s="44"/>
      <c r="E2" s="44"/>
      <c r="F2" s="45"/>
      <c r="K2" s="3" t="s">
        <v>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2:26" ht="15" thickTop="1" thickBot="1">
      <c r="B3" s="2" t="s">
        <v>3</v>
      </c>
      <c r="C3" s="43" t="s">
        <v>4</v>
      </c>
      <c r="D3" s="44"/>
      <c r="E3" s="44"/>
      <c r="F3" s="45"/>
      <c r="J3" s="4"/>
      <c r="K3" s="5">
        <v>324993</v>
      </c>
      <c r="L3" s="5"/>
      <c r="P3" s="5"/>
    </row>
    <row r="4" spans="2:26" ht="15" thickTop="1" thickBot="1">
      <c r="B4" s="2" t="s">
        <v>5</v>
      </c>
      <c r="C4" s="41">
        <f>IF(COUNTA($B$11:$B$11)=0,"",COUNTA($B$11:$B$11))</f>
        <v>1</v>
      </c>
      <c r="D4" s="46"/>
      <c r="E4" s="46"/>
      <c r="F4" s="42"/>
      <c r="J4" s="4"/>
    </row>
    <row r="5" spans="2:26" ht="15" thickTop="1" thickBot="1">
      <c r="B5" s="2" t="s">
        <v>6</v>
      </c>
      <c r="C5" s="43" t="s">
        <v>7</v>
      </c>
      <c r="D5" s="44"/>
      <c r="E5" s="44"/>
      <c r="F5" s="45"/>
    </row>
    <row r="6" spans="2:26" ht="15" hidden="1" thickTop="1" thickBot="1">
      <c r="B6" s="2" t="s">
        <v>8</v>
      </c>
      <c r="C6" s="2" t="s">
        <v>9</v>
      </c>
      <c r="D6" s="41" t="s">
        <v>10</v>
      </c>
      <c r="E6" s="42"/>
      <c r="F6" s="37" t="s">
        <v>11</v>
      </c>
    </row>
    <row r="7" spans="2:26" ht="14.45" thickTop="1"/>
    <row r="8" spans="2:26" ht="16.5" customHeight="1">
      <c r="D8" s="3"/>
      <c r="E8" s="49"/>
      <c r="F8" s="49"/>
      <c r="I8" s="6" t="s">
        <v>12</v>
      </c>
      <c r="J8" s="4"/>
      <c r="K8" s="7" t="s">
        <v>13</v>
      </c>
      <c r="L8" s="8" t="s">
        <v>13</v>
      </c>
      <c r="M8" s="8" t="s">
        <v>13</v>
      </c>
      <c r="N8" s="8" t="s">
        <v>13</v>
      </c>
      <c r="O8" s="8" t="s">
        <v>13</v>
      </c>
      <c r="P8" s="8" t="s">
        <v>13</v>
      </c>
      <c r="Q8" s="8" t="s">
        <v>13</v>
      </c>
      <c r="R8" s="8" t="s">
        <v>13</v>
      </c>
      <c r="S8" s="8" t="s">
        <v>13</v>
      </c>
      <c r="T8" s="8" t="s">
        <v>13</v>
      </c>
      <c r="U8" s="8"/>
      <c r="V8" s="9"/>
    </row>
    <row r="9" spans="2:26" ht="3" customHeight="1" thickBot="1"/>
    <row r="10" spans="2:26" ht="69.599999999999994" thickBot="1">
      <c r="B10" s="11" t="s">
        <v>14</v>
      </c>
      <c r="C10" s="12" t="s">
        <v>15</v>
      </c>
      <c r="D10" s="12" t="s">
        <v>16</v>
      </c>
      <c r="E10" s="12" t="s">
        <v>17</v>
      </c>
      <c r="F10" s="12" t="s">
        <v>18</v>
      </c>
      <c r="G10" s="13" t="s">
        <v>19</v>
      </c>
      <c r="H10" s="12" t="s">
        <v>20</v>
      </c>
      <c r="I10" s="33" t="s">
        <v>21</v>
      </c>
      <c r="J10" s="14"/>
      <c r="K10" s="15" t="s">
        <v>22</v>
      </c>
      <c r="L10" s="16" t="s">
        <v>23</v>
      </c>
      <c r="M10" s="16" t="s">
        <v>24</v>
      </c>
      <c r="N10" s="16" t="s">
        <v>25</v>
      </c>
      <c r="O10" s="16" t="s">
        <v>26</v>
      </c>
      <c r="P10" s="16" t="s">
        <v>27</v>
      </c>
      <c r="Q10" s="16" t="s">
        <v>28</v>
      </c>
      <c r="R10" s="16" t="s">
        <v>29</v>
      </c>
      <c r="S10" s="16" t="s">
        <v>30</v>
      </c>
      <c r="T10" s="16" t="s">
        <v>31</v>
      </c>
      <c r="U10" s="16"/>
      <c r="V10" s="16"/>
      <c r="W10" s="17" t="s">
        <v>32</v>
      </c>
      <c r="X10" s="17" t="s">
        <v>33</v>
      </c>
      <c r="Y10" s="18" t="s">
        <v>34</v>
      </c>
      <c r="Z10" s="19" t="s">
        <v>35</v>
      </c>
    </row>
    <row r="11" spans="2:26">
      <c r="B11" s="20">
        <v>12008</v>
      </c>
      <c r="C11" s="39" t="s">
        <v>36</v>
      </c>
      <c r="D11" s="38">
        <v>0</v>
      </c>
      <c r="E11" s="40">
        <v>500</v>
      </c>
      <c r="F11" s="39" t="s">
        <v>37</v>
      </c>
      <c r="G11" s="40">
        <f>IFERROR(IF($B11="",0,IF($I11&lt;&gt;$F11,$E11/$G$8,$E11)),0)</f>
        <v>500</v>
      </c>
      <c r="H11" s="34" t="str">
        <f>IF($B11="","",IF($F11="","",$I11))</f>
        <v>EUR</v>
      </c>
      <c r="I11" s="21" t="s">
        <v>37</v>
      </c>
      <c r="J11" s="14"/>
      <c r="K11" s="22">
        <v>6071.42</v>
      </c>
      <c r="L11" s="23">
        <v>1828.4600000000003</v>
      </c>
      <c r="M11" s="23">
        <v>570.30999999999949</v>
      </c>
      <c r="N11" s="23">
        <v>1011.8999999999996</v>
      </c>
      <c r="O11" s="23">
        <v>505.95999999999913</v>
      </c>
      <c r="P11" s="23">
        <v>96.369999999999891</v>
      </c>
      <c r="Q11" s="23">
        <v>216.82999999999993</v>
      </c>
      <c r="R11" s="23">
        <v>378.81999999999971</v>
      </c>
      <c r="S11" s="23">
        <v>60.714200000000005</v>
      </c>
      <c r="T11" s="23">
        <v>2.73</v>
      </c>
      <c r="U11" s="23">
        <v>0</v>
      </c>
      <c r="V11" s="23">
        <v>0</v>
      </c>
      <c r="W11" s="24">
        <f>ROUND(SUM($K11:$V11),2)</f>
        <v>10743.51</v>
      </c>
      <c r="X11" s="25">
        <f>ROUND(MAX(SUMPRODUCT(($K$8:$V$8="Y")*($K11:$V11))*$D11,$G11),2)</f>
        <v>500</v>
      </c>
      <c r="Y11" s="25">
        <f>ROUND(IF($C$6="V2",SUM($W11:$X11)*20%,0),2)</f>
        <v>0</v>
      </c>
      <c r="Z11" s="26">
        <f t="shared" ref="Z11" si="0">ROUND(SUM($W11:$Y11),2)</f>
        <v>11243.51</v>
      </c>
    </row>
    <row r="12" spans="2:26" ht="14.45" thickBot="1">
      <c r="B12" s="36"/>
      <c r="C12" s="36"/>
      <c r="D12" s="36"/>
      <c r="E12" s="36"/>
      <c r="F12" s="36"/>
      <c r="G12" s="36"/>
      <c r="H12" s="36"/>
      <c r="I12" s="10"/>
      <c r="J12" s="14"/>
      <c r="K12" s="27"/>
      <c r="L12" s="27"/>
      <c r="M12" s="10"/>
      <c r="N12" s="10"/>
      <c r="O12" s="10"/>
      <c r="P12" s="27"/>
      <c r="Q12" s="10"/>
      <c r="R12" s="10"/>
      <c r="S12" s="10"/>
      <c r="T12" s="10"/>
      <c r="U12" s="10"/>
      <c r="V12" s="10"/>
      <c r="W12" s="10"/>
      <c r="X12" s="10"/>
      <c r="Y12" s="10"/>
    </row>
    <row r="13" spans="2:26" ht="15.75" customHeight="1" thickBot="1">
      <c r="B13" s="47" t="s">
        <v>38</v>
      </c>
      <c r="C13" s="48"/>
      <c r="D13" s="48"/>
      <c r="E13" s="48"/>
      <c r="F13" s="48"/>
      <c r="G13" s="48"/>
      <c r="H13" s="48"/>
      <c r="I13" s="35" t="str">
        <f>IF($I$11="","",$I$11)</f>
        <v>EUR</v>
      </c>
      <c r="J13" s="14"/>
      <c r="K13" s="28">
        <f>ROUND(SUM((K$11:K$11)),2)</f>
        <v>6071.42</v>
      </c>
      <c r="L13" s="29">
        <f>ROUND(SUM((L$11:L$11)),2)</f>
        <v>1828.46</v>
      </c>
      <c r="M13" s="29">
        <f>ROUND(SUM((M$11:M$11)),2)</f>
        <v>570.30999999999995</v>
      </c>
      <c r="N13" s="29">
        <f>ROUND(SUM((N$11:N$11)),2)</f>
        <v>1011.9</v>
      </c>
      <c r="O13" s="29">
        <f>ROUND(SUM((O$11:O$11)),2)</f>
        <v>505.96</v>
      </c>
      <c r="P13" s="29">
        <f>ROUND(SUM((P$11:P$11)),2)</f>
        <v>96.37</v>
      </c>
      <c r="Q13" s="29">
        <f>ROUND(SUM((Q$11:Q$11)),2)</f>
        <v>216.83</v>
      </c>
      <c r="R13" s="29">
        <f>ROUND(SUM((R$11:R$11)),2)</f>
        <v>378.82</v>
      </c>
      <c r="S13" s="29">
        <f>ROUND(SUM((S$11:S$11)),2)</f>
        <v>60.71</v>
      </c>
      <c r="T13" s="29">
        <f>ROUND(SUM((T$11:T$11)),2)</f>
        <v>2.73</v>
      </c>
      <c r="U13" s="29">
        <f>ROUND(SUM((U$11:U$11)),2)</f>
        <v>0</v>
      </c>
      <c r="V13" s="29">
        <f>ROUND(SUM((V$11:V$11)),2)</f>
        <v>0</v>
      </c>
      <c r="W13" s="30">
        <f>ROUND(SUM($K13:$V13),2)</f>
        <v>10743.51</v>
      </c>
      <c r="X13" s="29">
        <f>ROUND(SUM((X$11:X$11)),2)</f>
        <v>500</v>
      </c>
      <c r="Y13" s="31">
        <f>ROUND(IF($C$6="V2",SUM($W13:$X13)*20%,0),2)</f>
        <v>0</v>
      </c>
      <c r="Z13" s="32">
        <f>ROUND(SUM($W13:$Y13),2)</f>
        <v>11243.51</v>
      </c>
    </row>
    <row r="14" spans="2:26">
      <c r="J14" s="14"/>
    </row>
  </sheetData>
  <sheetProtection sheet="1" objects="1" scenarios="1"/>
  <mergeCells count="7">
    <mergeCell ref="B13:H13"/>
    <mergeCell ref="E8:F8"/>
    <mergeCell ref="D6:E6"/>
    <mergeCell ref="C2:F2"/>
    <mergeCell ref="C3:F3"/>
    <mergeCell ref="C4:F4"/>
    <mergeCell ref="C5:F5"/>
  </mergeCells>
  <dataValidations count="2">
    <dataValidation type="list" allowBlank="1" showInputMessage="1" showErrorMessage="1" sqref="K8:V8" xr:uid="{00000000-0002-0000-0000-000000000000}">
      <formula1>"Y,N"</formula1>
    </dataValidation>
    <dataValidation type="textLength" operator="lessThanOrEqual" allowBlank="1" showErrorMessage="1" errorTitle="Text Limit" error="Only 50 or less than 50 characters." sqref="K10:V10" xr:uid="{00000000-0002-0000-0000-000002000000}">
      <formula1>50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A6891F-C31F-4B9C-8877-E147B9D14637}"/>
</file>

<file path=customXml/itemProps2.xml><?xml version="1.0" encoding="utf-8"?>
<ds:datastoreItem xmlns:ds="http://schemas.openxmlformats.org/officeDocument/2006/customXml" ds:itemID="{BD21C522-A8BC-4D60-848A-3350F3016F0E}"/>
</file>

<file path=customXml/itemProps3.xml><?xml version="1.0" encoding="utf-8"?>
<ds:datastoreItem xmlns:ds="http://schemas.openxmlformats.org/officeDocument/2006/customXml" ds:itemID="{B370CC03-4CFE-4683-8E47-B43CC835E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Jadon</dc:creator>
  <cp:keywords/>
  <dc:description/>
  <cp:lastModifiedBy>LIU, SiYu</cp:lastModifiedBy>
  <cp:revision/>
  <dcterms:created xsi:type="dcterms:W3CDTF">2017-04-25T08:48:17Z</dcterms:created>
  <dcterms:modified xsi:type="dcterms:W3CDTF">2026-03-16T04:28:37Z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MediaServiceImageTags">
    <vt:lpwstr/>
  </property>
</Properties>
</file>