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one\Downloads\"/>
    </mc:Choice>
  </mc:AlternateContent>
  <xr:revisionPtr revIDLastSave="0" documentId="13_ncr:1_{E8996307-0760-4C39-960E-394F4E0C31F3}" xr6:coauthVersionLast="47" xr6:coauthVersionMax="47" xr10:uidLastSave="{00000000-0000-0000-0000-000000000000}"/>
  <bookViews>
    <workbookView xWindow="-110" yWindow="-110" windowWidth="25820" windowHeight="15500" xr2:uid="{38C3E173-F7FD-4B3C-BC8A-276CE1A49B11}"/>
  </bookViews>
  <sheets>
    <sheet name="PN" sheetId="1" r:id="rId1"/>
    <sheet name="Italy" sheetId="2" r:id="rId2"/>
    <sheet name="Italy EE" sheetId="5" r:id="rId3"/>
    <sheet name="Italy-L" sheetId="3" r:id="rId4"/>
    <sheet name="FI Report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L6" i="2"/>
  <c r="L9" i="2"/>
  <c r="L10" i="5"/>
  <c r="V9" i="2" l="1"/>
  <c r="V6" i="2" s="1"/>
  <c r="V4" i="2"/>
  <c r="S9" i="2"/>
  <c r="S6" i="2" s="1"/>
  <c r="S4" i="2"/>
  <c r="M13" i="3" l="1"/>
  <c r="C2" i="2"/>
  <c r="G10" i="5" s="1"/>
  <c r="B2" i="2"/>
  <c r="F10" i="5" s="1"/>
  <c r="E25" i="2"/>
  <c r="B9" i="2" l="1"/>
  <c r="K10" i="5"/>
  <c r="J10" i="5"/>
  <c r="I10" i="5" s="1"/>
  <c r="K4" i="5"/>
  <c r="J4" i="5"/>
  <c r="J9" i="2"/>
  <c r="K9" i="2"/>
  <c r="K6" i="2" s="1"/>
  <c r="K4" i="2"/>
  <c r="U9" i="2"/>
  <c r="U4" i="2"/>
  <c r="T9" i="2"/>
  <c r="T6" i="2" s="1"/>
  <c r="T4" i="2"/>
  <c r="R9" i="2"/>
  <c r="R4" i="2"/>
  <c r="N9" i="2"/>
  <c r="O9" i="2"/>
  <c r="P9" i="2"/>
  <c r="M9" i="2"/>
  <c r="N4" i="2"/>
  <c r="O4" i="2"/>
  <c r="P4" i="2"/>
  <c r="M4" i="2"/>
  <c r="J4" i="2"/>
  <c r="C10" i="5"/>
  <c r="E10" i="5"/>
  <c r="N10" i="5"/>
  <c r="I9" i="2" l="1"/>
  <c r="R6" i="2"/>
  <c r="Q9" i="2"/>
  <c r="Q6" i="2" s="1"/>
  <c r="Z13" i="3"/>
  <c r="W13" i="3"/>
  <c r="V13" i="3"/>
  <c r="U13" i="3"/>
  <c r="T13" i="3"/>
  <c r="S13" i="3"/>
  <c r="R13" i="3"/>
  <c r="Q13" i="3"/>
  <c r="P13" i="3"/>
  <c r="O13" i="3"/>
  <c r="N13" i="3"/>
  <c r="L13" i="3"/>
  <c r="K13" i="3"/>
  <c r="I13" i="3"/>
  <c r="Z11" i="3"/>
  <c r="X11" i="3"/>
  <c r="H11" i="3"/>
  <c r="G11" i="3"/>
  <c r="C4" i="3"/>
  <c r="F10" i="1"/>
  <c r="F2" i="4"/>
  <c r="X13" i="3" l="1"/>
  <c r="Y11" i="3"/>
  <c r="Y13" i="3" s="1"/>
  <c r="AA13" i="3" s="1"/>
  <c r="A28" i="1"/>
  <c r="E14" i="1"/>
  <c r="F29" i="1"/>
  <c r="H2" i="4" s="1"/>
  <c r="F30" i="1"/>
  <c r="I2" i="4" s="1"/>
  <c r="F31" i="1"/>
  <c r="E2" i="4" s="1"/>
  <c r="F32" i="1"/>
  <c r="D2" i="4" s="1"/>
  <c r="AA11" i="3" l="1"/>
  <c r="N6" i="2"/>
  <c r="U6" i="2"/>
  <c r="E21" i="2"/>
  <c r="C9" i="2"/>
  <c r="O10" i="5"/>
  <c r="M10" i="5"/>
  <c r="M6" i="2" l="1"/>
  <c r="O6" i="2"/>
  <c r="P6" i="2"/>
  <c r="X6" i="2"/>
  <c r="H10" i="5"/>
  <c r="J6" i="2"/>
  <c r="H9" i="2" l="1"/>
  <c r="G9" i="2" s="1"/>
  <c r="E16" i="1"/>
  <c r="I6" i="2"/>
  <c r="H6" i="2" l="1"/>
  <c r="F16" i="1"/>
  <c r="E21" i="1"/>
  <c r="G6" i="2" l="1"/>
  <c r="E20" i="1"/>
  <c r="F21" i="1"/>
  <c r="F20" i="1" s="1"/>
  <c r="C2" i="4" s="1"/>
  <c r="A1" i="5"/>
  <c r="A21" i="1" l="1"/>
  <c r="F6" i="2" l="1"/>
  <c r="F34" i="1" s="1"/>
  <c r="B2" i="4" s="1"/>
  <c r="W9" i="2" l="1"/>
  <c r="E9" i="2" s="1"/>
  <c r="A1" i="2"/>
  <c r="A17" i="1" l="1"/>
  <c r="A16" i="1"/>
  <c r="E17" i="1"/>
  <c r="F17" i="1" s="1"/>
  <c r="F15" i="1" s="1"/>
  <c r="W6" i="2"/>
  <c r="E15" i="1" l="1"/>
  <c r="E25" i="1" s="1"/>
  <c r="F25" i="1"/>
  <c r="F28" i="1" s="1"/>
  <c r="F33" i="1" s="1"/>
  <c r="F35" i="1" s="1"/>
  <c r="A2" i="4"/>
  <c r="E6" i="2"/>
  <c r="K2" i="4" l="1"/>
</calcChain>
</file>

<file path=xl/sharedStrings.xml><?xml version="1.0" encoding="utf-8"?>
<sst xmlns="http://schemas.openxmlformats.org/spreadsheetml/2006/main" count="147" uniqueCount="118">
  <si>
    <r>
      <t>N</t>
    </r>
    <r>
      <rPr>
        <b/>
        <sz val="12"/>
        <color rgb="FF8DC63F"/>
        <rFont val="Calibri"/>
        <family val="2"/>
        <scheme val="minor"/>
      </rPr>
      <t>N</t>
    </r>
    <r>
      <rPr>
        <b/>
        <sz val="12"/>
        <color rgb="FF0066B3"/>
        <rFont val="Calibri"/>
        <family val="2"/>
        <scheme val="minor"/>
      </rPr>
      <t>Road</t>
    </r>
    <r>
      <rPr>
        <b/>
        <sz val="12"/>
        <color rgb="FF8DC63F"/>
        <rFont val="Calibri"/>
        <family val="2"/>
        <scheme val="minor"/>
      </rPr>
      <t> – Employer of Record, Payroll Worldwide</t>
    </r>
  </si>
  <si>
    <t>333 W San Carlos St., Suite 600, San Jose, CA 95113, USA</t>
    <phoneticPr fontId="7" type="noConversion"/>
  </si>
  <si>
    <t>USA: +1 (669) 377-5080 | www.NNRoad.com</t>
    <phoneticPr fontId="7" type="noConversion"/>
  </si>
  <si>
    <t>INVOICE</t>
  </si>
  <si>
    <t>Bill to:</t>
  </si>
  <si>
    <t>Company name:</t>
  </si>
  <si>
    <t>Animal Equality</t>
  </si>
  <si>
    <t>Currency</t>
  </si>
  <si>
    <t>USD</t>
  </si>
  <si>
    <t>Client ID:</t>
  </si>
  <si>
    <t>CUS1513</t>
  </si>
  <si>
    <t>Invoice number</t>
  </si>
  <si>
    <t>Address:</t>
  </si>
  <si>
    <t>8581 Santa Monica Blvd. Ste. 350 Los Angeles, CA 90069</t>
  </si>
  <si>
    <t>Invoice date</t>
  </si>
  <si>
    <t>Due date</t>
  </si>
  <si>
    <t>Description</t>
  </si>
  <si>
    <t>Approx. In USD*</t>
  </si>
  <si>
    <t>EOR/PEO Cost</t>
  </si>
  <si>
    <t>Service Fee</t>
  </si>
  <si>
    <t xml:space="preserve">EOR/PEO Service Cost		</t>
  </si>
  <si>
    <t>EOR/PEO Service Cost</t>
  </si>
  <si>
    <t xml:space="preserve">Outstanding payment </t>
  </si>
  <si>
    <t xml:space="preserve">FX difference </t>
  </si>
  <si>
    <t xml:space="preserve">Interests of delay </t>
  </si>
  <si>
    <t xml:space="preserve">Bank Charges </t>
  </si>
  <si>
    <t xml:space="preserve">Sub Total (Excluding Tax)		</t>
  </si>
  <si>
    <t>Tax</t>
  </si>
  <si>
    <t xml:space="preserve">Total		</t>
  </si>
  <si>
    <t xml:space="preserve">Please pay the Invoice in FULL AMOUNT </t>
  </si>
  <si>
    <t>Beneficiary: NNROAD, INC.
Bank Name: Chase Bank
Bank Account: 132827913
Bank Add.: 690 River Oaks Parkway Ste A, San Jose, CA 95134, USA</t>
  </si>
  <si>
    <t xml:space="preserve">
SWIFT BIC (international transfer): CHASUS33XXX
Routing Number (domestic wire transfer): 021000021
Routing Number (domestic ACH and direct deposit): 322271627</t>
  </si>
  <si>
    <t>Notes:</t>
  </si>
  <si>
    <t>1. Please ensure that you include the Invoice Number when making your payment. This will help us accurately process and allocate your payment .</t>
  </si>
  <si>
    <t>2. This document becomes a Tax Invoice/Receipt upon payment. Please retain a copy for your records.</t>
  </si>
  <si>
    <t>3. This is a computer generated document.  No Signature required.</t>
  </si>
  <si>
    <t>Pay Period</t>
    <phoneticPr fontId="0" type="noConversion"/>
  </si>
  <si>
    <t>ER</t>
    <phoneticPr fontId="0" type="noConversion"/>
  </si>
  <si>
    <t>Sum</t>
    <phoneticPr fontId="0" type="noConversion"/>
  </si>
  <si>
    <t>Business
Tax</t>
    <phoneticPr fontId="0" type="noConversion"/>
  </si>
  <si>
    <t>Management Fee</t>
  </si>
  <si>
    <t>Gross Salary</t>
    <phoneticPr fontId="0" type="noConversion"/>
  </si>
  <si>
    <t>Mandatory Contribution</t>
    <phoneticPr fontId="0" type="noConversion"/>
  </si>
  <si>
    <t>Expense Claim</t>
    <phoneticPr fontId="0" type="noConversion"/>
  </si>
  <si>
    <t>Subtotal</t>
    <phoneticPr fontId="0" type="noConversion"/>
  </si>
  <si>
    <t>Recurring
Fee</t>
    <phoneticPr fontId="0" type="noConversion"/>
  </si>
  <si>
    <t>Expense
Claim</t>
    <phoneticPr fontId="0" type="noConversion"/>
  </si>
  <si>
    <t>EUR</t>
  </si>
  <si>
    <t>Other Fee</t>
    <phoneticPr fontId="6" type="noConversion"/>
  </si>
  <si>
    <t>Interests of delay</t>
  </si>
  <si>
    <t>Bank Charges</t>
  </si>
  <si>
    <t xml:space="preserve">Invoice adjustment </t>
  </si>
  <si>
    <t>EE</t>
    <phoneticPr fontId="0" type="noConversion"/>
  </si>
  <si>
    <t>Client Code</t>
  </si>
  <si>
    <t>Client Name</t>
  </si>
  <si>
    <t>EE Code</t>
  </si>
  <si>
    <t>EE Name</t>
  </si>
  <si>
    <t>Pay Period</t>
  </si>
  <si>
    <t>Net
Income</t>
    <phoneticPr fontId="0" type="noConversion"/>
  </si>
  <si>
    <t>Deduction</t>
    <phoneticPr fontId="0" type="noConversion"/>
  </si>
  <si>
    <t>From</t>
  </si>
  <si>
    <t>To</t>
  </si>
  <si>
    <t>Other</t>
    <phoneticPr fontId="3" type="noConversion"/>
  </si>
  <si>
    <t>EOR/PEO(EUR)</t>
  </si>
  <si>
    <t>CUS1513-0001</t>
  </si>
  <si>
    <t>Customer</t>
  </si>
  <si>
    <t>Location</t>
  </si>
  <si>
    <t>Italy</t>
  </si>
  <si>
    <t>Workers</t>
  </si>
  <si>
    <t>SGWI VAT Code</t>
  </si>
  <si>
    <t>V9</t>
  </si>
  <si>
    <t>ICE VAT Code</t>
  </si>
  <si>
    <t>V6</t>
  </si>
  <si>
    <t>SGWI Chargable</t>
  </si>
  <si>
    <t>Y</t>
  </si>
  <si>
    <t>N</t>
  </si>
  <si>
    <t>Employee Name</t>
  </si>
  <si>
    <t>PO Number</t>
  </si>
  <si>
    <t>Fee %age Markup</t>
  </si>
  <si>
    <t>Fee Min</t>
  </si>
  <si>
    <t>Fee Minimum Currency</t>
  </si>
  <si>
    <t>Applied SGWI Min</t>
  </si>
  <si>
    <t>Applied SGWI Minimum Currency</t>
  </si>
  <si>
    <t>Social Cost</t>
  </si>
  <si>
    <t>Social contributions for accruals</t>
  </si>
  <si>
    <t>Vacation Leave</t>
  </si>
  <si>
    <t>13th and 14th Accrual</t>
  </si>
  <si>
    <t>Vacation Accruals</t>
  </si>
  <si>
    <t xml:space="preserve">Monthly Permitted Leave (Permessi Hours Ex-Fs) </t>
  </si>
  <si>
    <t>Monthly Permitted Leave ROL Accrual</t>
  </si>
  <si>
    <t>Unemployment Fund (TFR) Accrual</t>
  </si>
  <si>
    <t>Overheads</t>
  </si>
  <si>
    <t>Bilateral Trade Association</t>
  </si>
  <si>
    <t>Cost Basis</t>
  </si>
  <si>
    <t>VAT</t>
  </si>
  <si>
    <t>Invoice Total</t>
  </si>
  <si>
    <t>CUPIMATTEO</t>
  </si>
  <si>
    <t>-</t>
  </si>
  <si>
    <t>Fee Invoice Total</t>
  </si>
  <si>
    <t>Direct Cost</t>
    <phoneticPr fontId="4" type="noConversion"/>
  </si>
  <si>
    <t>Business Tax</t>
    <phoneticPr fontId="4" type="noConversion"/>
  </si>
  <si>
    <t>Service Fee</t>
    <phoneticPr fontId="4" type="noConversion"/>
  </si>
  <si>
    <t xml:space="preserve">Bank Fee * </t>
    <phoneticPr fontId="4" type="noConversion"/>
  </si>
  <si>
    <t>Late Pay Fine</t>
    <phoneticPr fontId="4" type="noConversion"/>
  </si>
  <si>
    <t>Advance Payment</t>
    <phoneticPr fontId="4" type="noConversion"/>
  </si>
  <si>
    <t>Deposit</t>
  </si>
  <si>
    <t>Outstanding payment **</t>
    <phoneticPr fontId="6" type="noConversion"/>
  </si>
  <si>
    <t xml:space="preserve"> FX difference  	</t>
  </si>
  <si>
    <t>Invoice adjustment ***</t>
    <phoneticPr fontId="6" type="noConversion"/>
  </si>
  <si>
    <t>total</t>
    <phoneticPr fontId="4" type="noConversion"/>
  </si>
  <si>
    <t>* NNRoad USD 10 + vendor bank in Vendor's invoice</t>
    <phoneticPr fontId="6" type="noConversion"/>
  </si>
  <si>
    <t>** the differnece between NNRoad PN and the amount we actually received</t>
    <phoneticPr fontId="6" type="noConversion"/>
  </si>
  <si>
    <t>*** PN adjustment with pre-payment or PN revisal</t>
    <phoneticPr fontId="6" type="noConversion"/>
  </si>
  <si>
    <t>Legal Bonus (Una Tantum)</t>
  </si>
  <si>
    <t>Jul 2025 Salary</t>
  </si>
  <si>
    <t>Bonus</t>
  </si>
  <si>
    <t>Mar'26</t>
  </si>
  <si>
    <t>PN-CUS1513-031620261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</si>
</sst>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_ "/>
    <numFmt numFmtId="167" formatCode="0.0000"/>
  </numFmts>
  <fonts count="49">
    <font>
      <sz val="11"/>
      <color theme="1"/>
      <name val="Calibri"/>
      <family val="2"/>
      <scheme val="minor"/>
    </font>
    <font>
      <b/>
      <sz val="10"/>
      <color theme="1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sz val="12"/>
      <color rgb="FFFA7D00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1"/>
      <color rgb="FF000000"/>
      <name val="Calibri"/>
      <family val="4"/>
      <charset val="134"/>
      <scheme val="minor"/>
    </font>
    <font>
      <sz val="10"/>
      <color rgb="FF000000"/>
      <name val="Calibri"/>
      <family val="4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66B3"/>
      <name val="Calibri"/>
      <family val="2"/>
      <scheme val="minor"/>
    </font>
    <font>
      <b/>
      <sz val="12"/>
      <color rgb="FF8DC63F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1"/>
      <name val="Cambria"/>
      <family val="1"/>
    </font>
    <font>
      <b/>
      <sz val="9"/>
      <name val="Cambria"/>
      <family val="1"/>
    </font>
    <font>
      <b/>
      <u/>
      <sz val="9"/>
      <name val="Cambria"/>
      <family val="1"/>
    </font>
    <font>
      <b/>
      <u/>
      <sz val="10"/>
      <name val="Cambria"/>
      <family val="1"/>
    </font>
    <font>
      <b/>
      <sz val="10"/>
      <color theme="1"/>
      <name val="Cambria"/>
      <family val="1"/>
    </font>
    <font>
      <sz val="9"/>
      <name val="Cambria"/>
      <family val="1"/>
    </font>
    <font>
      <b/>
      <sz val="8"/>
      <name val="Cambria"/>
      <family val="1"/>
    </font>
    <font>
      <sz val="10"/>
      <name val="Arial"/>
      <family val="2"/>
    </font>
    <font>
      <b/>
      <sz val="14"/>
      <color rgb="FF002060"/>
      <name val="Cambria"/>
      <family val="1"/>
    </font>
    <font>
      <sz val="10"/>
      <color rgb="FF002060"/>
      <name val="Cambria"/>
      <family val="1"/>
    </font>
    <font>
      <b/>
      <sz val="10"/>
      <color rgb="FF002060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ashDot">
        <color theme="9" tint="-0.24994659260841701"/>
      </right>
      <top/>
      <bottom/>
      <diagonal/>
    </border>
    <border>
      <left style="dashDot">
        <color theme="9" tint="-0.24994659260841701"/>
      </left>
      <right/>
      <top/>
      <bottom/>
      <diagonal/>
    </border>
    <border>
      <left style="medium">
        <color theme="8" tint="0.59996337778862885"/>
      </left>
      <right/>
      <top/>
      <bottom/>
      <diagonal/>
    </border>
    <border>
      <left/>
      <right style="medium">
        <color theme="8" tint="0.59996337778862885"/>
      </right>
      <top/>
      <bottom/>
      <diagonal/>
    </border>
    <border>
      <left/>
      <right/>
      <top style="medium">
        <color theme="8" tint="0.59996337778862885"/>
      </top>
      <bottom/>
      <diagonal/>
    </border>
    <border>
      <left style="medium">
        <color theme="8" tint="0.59996337778862885"/>
      </left>
      <right/>
      <top style="medium">
        <color theme="8" tint="0.59996337778862885"/>
      </top>
      <bottom/>
      <diagonal/>
    </border>
    <border>
      <left/>
      <right style="medium">
        <color theme="8" tint="0.59996337778862885"/>
      </right>
      <top style="medium">
        <color theme="8" tint="0.59996337778862885"/>
      </top>
      <bottom/>
      <diagonal/>
    </border>
    <border>
      <left style="medium">
        <color theme="8" tint="0.59996337778862885"/>
      </left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 style="medium">
        <color theme="8" tint="0.59996337778862885"/>
      </right>
      <top style="hair">
        <color theme="8" tint="0.59996337778862885"/>
      </top>
      <bottom style="medium">
        <color theme="8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9BC2E7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double">
        <color rgb="FF002060"/>
      </left>
      <right/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</borders>
  <cellStyleXfs count="5">
    <xf numFmtId="0" fontId="0" fillId="0" borderId="0"/>
    <xf numFmtId="0" fontId="4" fillId="0" borderId="0">
      <alignment vertical="center"/>
    </xf>
    <xf numFmtId="9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45" fillId="0" borderId="0" applyFont="0" applyFill="0" applyBorder="0" applyAlignment="0" applyProtection="0"/>
  </cellStyleXfs>
  <cellXfs count="2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6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40" fontId="2" fillId="2" borderId="7" xfId="0" applyNumberFormat="1" applyFont="1" applyFill="1" applyBorder="1" applyAlignment="1">
      <alignment vertical="center"/>
    </xf>
    <xf numFmtId="40" fontId="2" fillId="2" borderId="16" xfId="0" applyNumberFormat="1" applyFont="1" applyFill="1" applyBorder="1" applyAlignment="1">
      <alignment vertical="center"/>
    </xf>
    <xf numFmtId="40" fontId="2" fillId="2" borderId="8" xfId="0" applyNumberFormat="1" applyFont="1" applyFill="1" applyBorder="1" applyAlignment="1">
      <alignment vertical="center"/>
    </xf>
    <xf numFmtId="40" fontId="2" fillId="2" borderId="9" xfId="0" applyNumberFormat="1" applyFont="1" applyFill="1" applyBorder="1" applyAlignment="1">
      <alignment vertical="center"/>
    </xf>
    <xf numFmtId="40" fontId="2" fillId="2" borderId="17" xfId="0" applyNumberFormat="1" applyFont="1" applyFill="1" applyBorder="1" applyAlignment="1">
      <alignment vertical="center"/>
    </xf>
    <xf numFmtId="40" fontId="2" fillId="2" borderId="10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40" fontId="2" fillId="2" borderId="11" xfId="0" applyNumberFormat="1" applyFont="1" applyFill="1" applyBorder="1" applyAlignment="1">
      <alignment vertical="center"/>
    </xf>
    <xf numFmtId="40" fontId="2" fillId="2" borderId="18" xfId="0" applyNumberFormat="1" applyFont="1" applyFill="1" applyBorder="1" applyAlignment="1">
      <alignment vertical="center"/>
    </xf>
    <xf numFmtId="40" fontId="2" fillId="2" borderId="12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4" fontId="0" fillId="0" borderId="0" xfId="0" applyNumberFormat="1" applyAlignment="1">
      <alignment vertical="center"/>
    </xf>
    <xf numFmtId="0" fontId="4" fillId="0" borderId="0" xfId="1">
      <alignment vertical="center"/>
    </xf>
    <xf numFmtId="40" fontId="2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49" fontId="0" fillId="2" borderId="0" xfId="0" applyNumberFormat="1" applyFill="1" applyAlignment="1">
      <alignment vertical="center"/>
    </xf>
    <xf numFmtId="0" fontId="9" fillId="0" borderId="0" xfId="0" applyFont="1" applyAlignment="1">
      <alignment vertical="center"/>
    </xf>
    <xf numFmtId="40" fontId="10" fillId="0" borderId="24" xfId="0" applyNumberFormat="1" applyFont="1" applyBorder="1" applyAlignment="1">
      <alignment vertical="center"/>
    </xf>
    <xf numFmtId="40" fontId="10" fillId="0" borderId="25" xfId="0" applyNumberFormat="1" applyFont="1" applyBorder="1" applyAlignment="1">
      <alignment vertical="center"/>
    </xf>
    <xf numFmtId="40" fontId="10" fillId="0" borderId="26" xfId="0" applyNumberFormat="1" applyFont="1" applyBorder="1" applyAlignment="1">
      <alignment vertical="center"/>
    </xf>
    <xf numFmtId="40" fontId="10" fillId="0" borderId="27" xfId="0" applyNumberFormat="1" applyFont="1" applyBorder="1" applyAlignment="1">
      <alignment vertical="center"/>
    </xf>
    <xf numFmtId="40" fontId="10" fillId="0" borderId="28" xfId="0" applyNumberFormat="1" applyFont="1" applyBorder="1" applyAlignment="1">
      <alignment vertical="center"/>
    </xf>
    <xf numFmtId="40" fontId="10" fillId="0" borderId="29" xfId="0" applyNumberFormat="1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9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166" fontId="14" fillId="0" borderId="0" xfId="0" applyNumberFormat="1" applyFont="1" applyAlignment="1">
      <alignment horizontal="right" vertical="center"/>
    </xf>
    <xf numFmtId="0" fontId="14" fillId="0" borderId="0" xfId="0" applyFont="1" applyAlignment="1">
      <alignment vertical="center"/>
    </xf>
    <xf numFmtId="166" fontId="16" fillId="0" borderId="0" xfId="0" applyNumberFormat="1" applyFont="1" applyAlignment="1">
      <alignment horizontal="right" vertical="center"/>
    </xf>
    <xf numFmtId="0" fontId="22" fillId="0" borderId="0" xfId="0" applyFont="1" applyAlignment="1">
      <alignment vertical="center"/>
    </xf>
    <xf numFmtId="14" fontId="22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vertical="center"/>
    </xf>
    <xf numFmtId="0" fontId="21" fillId="0" borderId="0" xfId="0" applyFont="1" applyAlignment="1">
      <alignment horizontal="left" vertical="center" indent="1"/>
    </xf>
    <xf numFmtId="40" fontId="26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165" fontId="26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horizontal="right" vertical="center"/>
    </xf>
    <xf numFmtId="14" fontId="30" fillId="0" borderId="0" xfId="0" applyNumberFormat="1" applyFont="1" applyAlignment="1">
      <alignment vertical="center"/>
    </xf>
    <xf numFmtId="0" fontId="31" fillId="0" borderId="0" xfId="0" applyFont="1" applyAlignment="1">
      <alignment horizontal="right" vertical="center"/>
    </xf>
    <xf numFmtId="166" fontId="33" fillId="0" borderId="0" xfId="0" applyNumberFormat="1" applyFont="1" applyAlignment="1">
      <alignment horizontal="right" vertical="center"/>
    </xf>
    <xf numFmtId="0" fontId="33" fillId="0" borderId="0" xfId="0" applyFont="1" applyAlignment="1">
      <alignment vertical="center"/>
    </xf>
    <xf numFmtId="166" fontId="27" fillId="0" borderId="0" xfId="0" applyNumberFormat="1" applyFont="1" applyAlignment="1">
      <alignment horizontal="right" vertical="center"/>
    </xf>
    <xf numFmtId="0" fontId="21" fillId="0" borderId="0" xfId="0" applyFont="1" applyAlignment="1">
      <alignment vertical="center"/>
    </xf>
    <xf numFmtId="0" fontId="26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vertical="top" wrapText="1"/>
    </xf>
    <xf numFmtId="164" fontId="16" fillId="0" borderId="0" xfId="0" applyNumberFormat="1" applyFont="1" applyAlignment="1">
      <alignment vertical="center"/>
    </xf>
    <xf numFmtId="164" fontId="26" fillId="0" borderId="0" xfId="0" applyNumberFormat="1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5" fillId="5" borderId="34" xfId="0" applyFont="1" applyFill="1" applyBorder="1" applyAlignment="1">
      <alignment horizontal="center" vertical="center"/>
    </xf>
    <xf numFmtId="0" fontId="25" fillId="5" borderId="36" xfId="0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12" fillId="0" borderId="0" xfId="0" applyFont="1"/>
    <xf numFmtId="0" fontId="2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center" wrapText="1"/>
    </xf>
    <xf numFmtId="0" fontId="1" fillId="0" borderId="40" xfId="0" applyFont="1" applyBorder="1" applyAlignment="1">
      <alignment vertical="center"/>
    </xf>
    <xf numFmtId="0" fontId="34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3"/>
    </xf>
    <xf numFmtId="0" fontId="19" fillId="0" borderId="0" xfId="0" applyFont="1" applyAlignment="1">
      <alignment horizontal="left" vertical="center" inden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indent="2"/>
    </xf>
    <xf numFmtId="165" fontId="19" fillId="0" borderId="0" xfId="0" applyNumberFormat="1" applyFont="1" applyAlignment="1">
      <alignment horizontal="left" vertical="center" indent="1"/>
    </xf>
    <xf numFmtId="165" fontId="34" fillId="0" borderId="0" xfId="0" applyNumberFormat="1" applyFont="1" applyAlignment="1">
      <alignment horizontal="left" vertical="center"/>
    </xf>
    <xf numFmtId="164" fontId="35" fillId="0" borderId="33" xfId="0" applyNumberFormat="1" applyFont="1" applyBorder="1" applyAlignment="1">
      <alignment horizontal="left" vertical="center"/>
    </xf>
    <xf numFmtId="164" fontId="19" fillId="0" borderId="33" xfId="0" applyNumberFormat="1" applyFont="1" applyBorder="1" applyAlignment="1">
      <alignment horizontal="left" vertical="center"/>
    </xf>
    <xf numFmtId="165" fontId="19" fillId="0" borderId="0" xfId="0" applyNumberFormat="1" applyFont="1" applyAlignment="1">
      <alignment horizontal="left" vertical="center"/>
    </xf>
    <xf numFmtId="164" fontId="34" fillId="0" borderId="33" xfId="0" applyNumberFormat="1" applyFont="1" applyBorder="1" applyAlignment="1">
      <alignment horizontal="left" vertical="center"/>
    </xf>
    <xf numFmtId="165" fontId="16" fillId="0" borderId="0" xfId="0" applyNumberFormat="1" applyFont="1" applyAlignment="1">
      <alignment horizontal="left" vertical="center"/>
    </xf>
    <xf numFmtId="164" fontId="16" fillId="0" borderId="33" xfId="0" applyNumberFormat="1" applyFont="1" applyBorder="1" applyAlignment="1">
      <alignment horizontal="left" vertical="center"/>
    </xf>
    <xf numFmtId="165" fontId="26" fillId="0" borderId="38" xfId="0" applyNumberFormat="1" applyFont="1" applyBorder="1" applyAlignment="1">
      <alignment horizontal="left" vertical="center"/>
    </xf>
    <xf numFmtId="164" fontId="26" fillId="0" borderId="39" xfId="0" applyNumberFormat="1" applyFont="1" applyBorder="1" applyAlignment="1">
      <alignment horizontal="left" vertical="center"/>
    </xf>
    <xf numFmtId="167" fontId="28" fillId="0" borderId="0" xfId="0" applyNumberFormat="1" applyFont="1" applyAlignment="1">
      <alignment horizontal="left" vertical="center" indent="1"/>
    </xf>
    <xf numFmtId="164" fontId="36" fillId="0" borderId="44" xfId="0" applyNumberFormat="1" applyFont="1" applyBorder="1" applyAlignment="1">
      <alignment horizontal="right" vertical="center"/>
    </xf>
    <xf numFmtId="164" fontId="36" fillId="0" borderId="46" xfId="0" applyNumberFormat="1" applyFont="1" applyBorder="1" applyAlignment="1">
      <alignment horizontal="right" vertical="center"/>
    </xf>
    <xf numFmtId="164" fontId="36" fillId="0" borderId="48" xfId="0" applyNumberFormat="1" applyFont="1" applyBorder="1" applyAlignment="1">
      <alignment horizontal="right" vertical="center"/>
    </xf>
    <xf numFmtId="164" fontId="21" fillId="0" borderId="46" xfId="0" applyNumberFormat="1" applyFont="1" applyBorder="1" applyAlignment="1">
      <alignment horizontal="right" vertical="center"/>
    </xf>
    <xf numFmtId="164" fontId="21" fillId="0" borderId="51" xfId="0" applyNumberFormat="1" applyFont="1" applyBorder="1" applyAlignment="1">
      <alignment horizontal="right" vertical="center"/>
    </xf>
    <xf numFmtId="164" fontId="0" fillId="0" borderId="0" xfId="0" applyNumberFormat="1" applyAlignment="1">
      <alignment vertical="center"/>
    </xf>
    <xf numFmtId="0" fontId="0" fillId="6" borderId="0" xfId="0" applyFill="1" applyAlignment="1">
      <alignment vertical="center" wrapText="1"/>
    </xf>
    <xf numFmtId="0" fontId="37" fillId="0" borderId="0" xfId="0" applyFont="1" applyAlignment="1" applyProtection="1">
      <alignment vertical="center"/>
      <protection locked="0"/>
    </xf>
    <xf numFmtId="0" fontId="38" fillId="7" borderId="52" xfId="0" applyFont="1" applyFill="1" applyBorder="1" applyAlignment="1" applyProtection="1">
      <alignment vertical="center"/>
      <protection locked="0"/>
    </xf>
    <xf numFmtId="0" fontId="39" fillId="0" borderId="0" xfId="0" applyFont="1" applyAlignment="1" applyProtection="1">
      <alignment vertical="center"/>
      <protection locked="0"/>
    </xf>
    <xf numFmtId="0" fontId="40" fillId="0" borderId="0" xfId="0" applyFont="1" applyAlignment="1" applyProtection="1">
      <alignment vertical="center"/>
      <protection locked="0"/>
    </xf>
    <xf numFmtId="0" fontId="41" fillId="0" borderId="0" xfId="0" applyFont="1" applyAlignment="1" applyProtection="1">
      <alignment vertical="center"/>
      <protection locked="0"/>
    </xf>
    <xf numFmtId="0" fontId="42" fillId="7" borderId="52" xfId="0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 vertical="center"/>
      <protection locked="0"/>
    </xf>
    <xf numFmtId="0" fontId="43" fillId="0" borderId="56" xfId="0" applyFont="1" applyBorder="1" applyAlignment="1" applyProtection="1">
      <alignment horizontal="center" vertical="center"/>
      <protection locked="0"/>
    </xf>
    <xf numFmtId="0" fontId="43" fillId="0" borderId="57" xfId="0" applyFont="1" applyBorder="1" applyAlignment="1" applyProtection="1">
      <alignment horizontal="center" vertical="center"/>
      <protection locked="0"/>
    </xf>
    <xf numFmtId="0" fontId="43" fillId="0" borderId="58" xfId="0" applyFont="1" applyBorder="1" applyAlignment="1" applyProtection="1">
      <alignment horizontal="center" vertical="center"/>
      <protection locked="0"/>
    </xf>
    <xf numFmtId="0" fontId="39" fillId="0" borderId="59" xfId="0" applyFont="1" applyBorder="1" applyAlignment="1" applyProtection="1">
      <alignment horizontal="center" vertical="center"/>
      <protection locked="0"/>
    </xf>
    <xf numFmtId="0" fontId="39" fillId="0" borderId="60" xfId="0" applyFont="1" applyBorder="1" applyAlignment="1" applyProtection="1">
      <alignment horizontal="center" vertical="center" wrapText="1"/>
      <protection locked="0"/>
    </xf>
    <xf numFmtId="0" fontId="44" fillId="0" borderId="60" xfId="0" applyFont="1" applyBorder="1" applyAlignment="1" applyProtection="1">
      <alignment horizontal="center" vertical="center" wrapText="1"/>
      <protection locked="0"/>
    </xf>
    <xf numFmtId="0" fontId="39" fillId="0" borderId="61" xfId="0" applyFont="1" applyBorder="1" applyAlignment="1" applyProtection="1">
      <alignment horizontal="center" vertical="center"/>
      <protection locked="0"/>
    </xf>
    <xf numFmtId="0" fontId="39" fillId="0" borderId="62" xfId="0" applyFont="1" applyBorder="1" applyAlignment="1" applyProtection="1">
      <alignment horizontal="center" vertical="center" wrapText="1"/>
      <protection locked="0"/>
    </xf>
    <xf numFmtId="0" fontId="39" fillId="0" borderId="63" xfId="0" applyFont="1" applyBorder="1" applyAlignment="1" applyProtection="1">
      <alignment horizontal="center" vertical="center" wrapText="1"/>
      <protection locked="0"/>
    </xf>
    <xf numFmtId="0" fontId="39" fillId="8" borderId="63" xfId="0" applyFont="1" applyFill="1" applyBorder="1" applyAlignment="1" applyProtection="1">
      <alignment horizontal="center" vertical="center" wrapText="1"/>
      <protection locked="0"/>
    </xf>
    <xf numFmtId="0" fontId="39" fillId="8" borderId="64" xfId="0" applyFont="1" applyFill="1" applyBorder="1" applyAlignment="1" applyProtection="1">
      <alignment horizontal="center" vertical="center" wrapText="1"/>
      <protection locked="0"/>
    </xf>
    <xf numFmtId="0" fontId="39" fillId="8" borderId="40" xfId="0" applyFont="1" applyFill="1" applyBorder="1" applyAlignment="1" applyProtection="1">
      <alignment horizontal="center" vertical="center" wrapText="1"/>
      <protection locked="0"/>
    </xf>
    <xf numFmtId="0" fontId="44" fillId="0" borderId="65" xfId="0" applyFont="1" applyBorder="1" applyAlignment="1" applyProtection="1">
      <alignment vertical="center"/>
      <protection locked="0"/>
    </xf>
    <xf numFmtId="0" fontId="43" fillId="0" borderId="66" xfId="0" applyFont="1" applyBorder="1" applyAlignment="1" applyProtection="1">
      <alignment horizontal="center" vertical="center"/>
      <protection locked="0"/>
    </xf>
    <xf numFmtId="9" fontId="43" fillId="0" borderId="66" xfId="2" applyFont="1" applyFill="1" applyBorder="1" applyAlignment="1" applyProtection="1">
      <alignment horizontal="center" vertical="center"/>
      <protection locked="0"/>
    </xf>
    <xf numFmtId="2" fontId="43" fillId="0" borderId="66" xfId="0" applyNumberFormat="1" applyFont="1" applyBorder="1" applyAlignment="1" applyProtection="1">
      <alignment vertical="center"/>
      <protection locked="0"/>
    </xf>
    <xf numFmtId="0" fontId="39" fillId="0" borderId="67" xfId="0" applyFont="1" applyBorder="1" applyAlignment="1" applyProtection="1">
      <alignment horizontal="center" vertical="center"/>
      <protection locked="0"/>
    </xf>
    <xf numFmtId="0" fontId="39" fillId="0" borderId="68" xfId="0" applyFont="1" applyBorder="1" applyAlignment="1" applyProtection="1">
      <alignment horizontal="center" vertical="center"/>
      <protection locked="0"/>
    </xf>
    <xf numFmtId="165" fontId="43" fillId="0" borderId="65" xfId="3" applyFont="1" applyFill="1" applyBorder="1" applyAlignment="1" applyProtection="1">
      <alignment horizontal="right" vertical="center"/>
      <protection locked="0"/>
    </xf>
    <xf numFmtId="165" fontId="43" fillId="0" borderId="66" xfId="3" applyFont="1" applyFill="1" applyBorder="1" applyAlignment="1" applyProtection="1">
      <alignment horizontal="right" vertical="center"/>
      <protection locked="0"/>
    </xf>
    <xf numFmtId="2" fontId="39" fillId="0" borderId="66" xfId="4" applyNumberFormat="1" applyFont="1" applyFill="1" applyBorder="1" applyAlignment="1" applyProtection="1">
      <alignment horizontal="center" vertical="center"/>
      <protection locked="0"/>
    </xf>
    <xf numFmtId="2" fontId="43" fillId="0" borderId="66" xfId="4" applyNumberFormat="1" applyFont="1" applyFill="1" applyBorder="1" applyAlignment="1" applyProtection="1">
      <alignment horizontal="center" vertical="center"/>
      <protection locked="0"/>
    </xf>
    <xf numFmtId="2" fontId="39" fillId="0" borderId="67" xfId="0" applyNumberFormat="1" applyFont="1" applyBorder="1" applyAlignment="1" applyProtection="1">
      <alignment vertical="center"/>
      <protection locked="0"/>
    </xf>
    <xf numFmtId="0" fontId="43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locked="0"/>
    </xf>
    <xf numFmtId="2" fontId="43" fillId="0" borderId="0" xfId="0" applyNumberFormat="1" applyFont="1" applyAlignment="1" applyProtection="1">
      <alignment vertical="center"/>
      <protection locked="0"/>
    </xf>
    <xf numFmtId="0" fontId="39" fillId="0" borderId="40" xfId="0" applyFont="1" applyBorder="1" applyAlignment="1" applyProtection="1">
      <alignment horizontal="center" vertical="center"/>
      <protection locked="0"/>
    </xf>
    <xf numFmtId="165" fontId="47" fillId="0" borderId="62" xfId="0" applyNumberFormat="1" applyFont="1" applyBorder="1" applyAlignment="1" applyProtection="1">
      <alignment vertical="center"/>
      <protection locked="0"/>
    </xf>
    <xf numFmtId="165" fontId="47" fillId="0" borderId="63" xfId="0" applyNumberFormat="1" applyFont="1" applyBorder="1" applyAlignment="1" applyProtection="1">
      <alignment vertical="center"/>
      <protection locked="0"/>
    </xf>
    <xf numFmtId="165" fontId="48" fillId="0" borderId="63" xfId="0" applyNumberFormat="1" applyFont="1" applyBorder="1" applyAlignment="1" applyProtection="1">
      <alignment vertical="center"/>
      <protection locked="0"/>
    </xf>
    <xf numFmtId="165" fontId="47" fillId="0" borderId="64" xfId="0" applyNumberFormat="1" applyFont="1" applyBorder="1" applyAlignment="1" applyProtection="1">
      <alignment vertical="center"/>
      <protection locked="0"/>
    </xf>
    <xf numFmtId="165" fontId="48" fillId="0" borderId="71" xfId="0" applyNumberFormat="1" applyFont="1" applyBorder="1" applyAlignment="1" applyProtection="1">
      <alignment vertical="center"/>
      <protection locked="0"/>
    </xf>
    <xf numFmtId="14" fontId="2" fillId="0" borderId="0" xfId="0" applyNumberFormat="1" applyFont="1" applyAlignment="1">
      <alignment vertical="center"/>
    </xf>
    <xf numFmtId="14" fontId="0" fillId="2" borderId="0" xfId="0" applyNumberFormat="1" applyFill="1" applyAlignment="1">
      <alignment vertical="center"/>
    </xf>
    <xf numFmtId="166" fontId="16" fillId="3" borderId="0" xfId="0" applyNumberFormat="1" applyFont="1" applyFill="1" applyAlignment="1">
      <alignment horizontal="left" vertical="center" wrapText="1" indent="2"/>
    </xf>
    <xf numFmtId="166" fontId="16" fillId="3" borderId="30" xfId="0" applyNumberFormat="1" applyFont="1" applyFill="1" applyBorder="1" applyAlignment="1">
      <alignment horizontal="left" vertical="center" wrapText="1" indent="2"/>
    </xf>
    <xf numFmtId="166" fontId="16" fillId="3" borderId="31" xfId="0" applyNumberFormat="1" applyFont="1" applyFill="1" applyBorder="1" applyAlignment="1">
      <alignment horizontal="left" vertical="center" wrapText="1" indent="2"/>
    </xf>
    <xf numFmtId="165" fontId="36" fillId="0" borderId="42" xfId="0" applyNumberFormat="1" applyFont="1" applyBorder="1" applyAlignment="1">
      <alignment horizontal="right" vertical="center"/>
    </xf>
    <xf numFmtId="165" fontId="36" fillId="0" borderId="43" xfId="0" applyNumberFormat="1" applyFont="1" applyBorder="1" applyAlignment="1">
      <alignment horizontal="right" vertical="center"/>
    </xf>
    <xf numFmtId="165" fontId="36" fillId="0" borderId="45" xfId="0" applyNumberFormat="1" applyFont="1" applyBorder="1" applyAlignment="1">
      <alignment horizontal="right" vertical="center"/>
    </xf>
    <xf numFmtId="165" fontId="36" fillId="0" borderId="0" xfId="0" applyNumberFormat="1" applyFont="1" applyAlignment="1">
      <alignment horizontal="right" vertical="center"/>
    </xf>
    <xf numFmtId="40" fontId="36" fillId="0" borderId="47" xfId="0" applyNumberFormat="1" applyFont="1" applyBorder="1" applyAlignment="1">
      <alignment horizontal="right" vertical="center"/>
    </xf>
    <xf numFmtId="40" fontId="36" fillId="0" borderId="41" xfId="0" applyNumberFormat="1" applyFont="1" applyBorder="1" applyAlignment="1">
      <alignment horizontal="right" vertical="center"/>
    </xf>
    <xf numFmtId="165" fontId="21" fillId="0" borderId="45" xfId="0" applyNumberFormat="1" applyFont="1" applyBorder="1" applyAlignment="1">
      <alignment horizontal="right" vertical="center"/>
    </xf>
    <xf numFmtId="165" fontId="21" fillId="0" borderId="0" xfId="0" applyNumberFormat="1" applyFont="1" applyAlignment="1">
      <alignment horizontal="right" vertical="center"/>
    </xf>
    <xf numFmtId="165" fontId="21" fillId="0" borderId="45" xfId="0" applyNumberFormat="1" applyFont="1" applyBorder="1" applyAlignment="1">
      <alignment horizontal="right" vertical="center" indent="1"/>
    </xf>
    <xf numFmtId="165" fontId="21" fillId="0" borderId="0" xfId="0" applyNumberFormat="1" applyFont="1" applyAlignment="1">
      <alignment horizontal="right" vertical="center" indent="1"/>
    </xf>
    <xf numFmtId="165" fontId="21" fillId="0" borderId="49" xfId="0" applyNumberFormat="1" applyFont="1" applyBorder="1" applyAlignment="1">
      <alignment horizontal="right" vertical="center"/>
    </xf>
    <xf numFmtId="165" fontId="21" fillId="0" borderId="50" xfId="0" applyNumberFormat="1" applyFont="1" applyBorder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19" fillId="0" borderId="32" xfId="0" applyFont="1" applyBorder="1" applyAlignment="1">
      <alignment horizontal="left" vertical="center" indent="3"/>
    </xf>
    <xf numFmtId="0" fontId="19" fillId="0" borderId="0" xfId="0" applyFont="1" applyAlignment="1">
      <alignment horizontal="left" vertical="center" indent="3"/>
    </xf>
    <xf numFmtId="0" fontId="25" fillId="5" borderId="35" xfId="0" applyFont="1" applyFill="1" applyBorder="1" applyAlignment="1">
      <alignment horizontal="center" vertical="center"/>
    </xf>
    <xf numFmtId="0" fontId="25" fillId="5" borderId="34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4" fillId="0" borderId="32" xfId="0" applyFont="1" applyBorder="1" applyAlignment="1">
      <alignment horizontal="left" vertical="center" indent="1"/>
    </xf>
    <xf numFmtId="0" fontId="34" fillId="0" borderId="0" xfId="0" applyFont="1" applyAlignment="1">
      <alignment horizontal="left" vertical="center" indent="1"/>
    </xf>
    <xf numFmtId="0" fontId="21" fillId="0" borderId="32" xfId="0" applyFont="1" applyBorder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19" fillId="0" borderId="32" xfId="0" applyFont="1" applyBorder="1" applyAlignment="1">
      <alignment horizontal="left" vertical="center" indent="2"/>
    </xf>
    <xf numFmtId="0" fontId="19" fillId="0" borderId="0" xfId="0" applyFont="1" applyAlignment="1">
      <alignment horizontal="left" vertical="center" indent="2"/>
    </xf>
    <xf numFmtId="0" fontId="21" fillId="4" borderId="0" xfId="0" applyFont="1" applyFill="1" applyAlignment="1">
      <alignment horizontal="center"/>
    </xf>
    <xf numFmtId="0" fontId="30" fillId="0" borderId="0" xfId="0" applyFont="1" applyAlignment="1">
      <alignment horizontal="right" vertical="top" wrapText="1"/>
    </xf>
    <xf numFmtId="0" fontId="19" fillId="0" borderId="3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32" xfId="0" applyFont="1" applyBorder="1" applyAlignment="1">
      <alignment horizontal="left" vertical="center" indent="1"/>
    </xf>
    <xf numFmtId="0" fontId="19" fillId="0" borderId="0" xfId="0" applyFont="1" applyAlignment="1">
      <alignment horizontal="left" vertical="center" indent="1"/>
    </xf>
    <xf numFmtId="0" fontId="26" fillId="0" borderId="37" xfId="0" applyFont="1" applyBorder="1" applyAlignment="1">
      <alignment horizontal="left" vertical="center" indent="1"/>
    </xf>
    <xf numFmtId="0" fontId="26" fillId="0" borderId="38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19" xfId="0" applyFont="1" applyBorder="1" applyAlignment="1">
      <alignment horizontal="center" vertical="center" shrinkToFit="1"/>
    </xf>
    <xf numFmtId="0" fontId="2" fillId="0" borderId="20" xfId="0" applyFont="1" applyBorder="1" applyAlignment="1">
      <alignment horizontal="center" vertical="center" shrinkToFit="1"/>
    </xf>
    <xf numFmtId="0" fontId="2" fillId="0" borderId="72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39" fillId="0" borderId="0" xfId="0" applyFont="1" applyAlignment="1" applyProtection="1">
      <alignment horizontal="center" vertical="center"/>
      <protection locked="0"/>
    </xf>
    <xf numFmtId="0" fontId="46" fillId="0" borderId="69" xfId="0" applyFont="1" applyBorder="1" applyAlignment="1" applyProtection="1">
      <alignment horizontal="center" vertical="center"/>
      <protection locked="0"/>
    </xf>
    <xf numFmtId="0" fontId="46" fillId="0" borderId="70" xfId="0" applyFont="1" applyBorder="1" applyAlignment="1" applyProtection="1">
      <alignment horizontal="center" vertical="center"/>
      <protection locked="0"/>
    </xf>
    <xf numFmtId="0" fontId="38" fillId="7" borderId="53" xfId="0" applyFont="1" applyFill="1" applyBorder="1" applyAlignment="1" applyProtection="1">
      <alignment horizontal="center" vertical="center"/>
      <protection locked="0"/>
    </xf>
    <xf numFmtId="0" fontId="38" fillId="7" borderId="54" xfId="0" applyFont="1" applyFill="1" applyBorder="1" applyAlignment="1" applyProtection="1">
      <alignment horizontal="center" vertical="center"/>
      <protection locked="0"/>
    </xf>
    <xf numFmtId="0" fontId="38" fillId="7" borderId="55" xfId="0" applyFont="1" applyFill="1" applyBorder="1" applyAlignment="1" applyProtection="1">
      <alignment horizontal="center" vertical="center"/>
      <protection locked="0"/>
    </xf>
    <xf numFmtId="0" fontId="42" fillId="7" borderId="53" xfId="0" applyFont="1" applyFill="1" applyBorder="1" applyAlignment="1" applyProtection="1">
      <alignment horizontal="center" vertical="center"/>
      <protection locked="0"/>
    </xf>
    <xf numFmtId="0" fontId="42" fillId="7" borderId="54" xfId="0" applyFont="1" applyFill="1" applyBorder="1" applyAlignment="1" applyProtection="1">
      <alignment horizontal="center" vertical="center"/>
      <protection locked="0"/>
    </xf>
    <xf numFmtId="0" fontId="42" fillId="7" borderId="55" xfId="0" applyFont="1" applyFill="1" applyBorder="1" applyAlignment="1" applyProtection="1">
      <alignment horizontal="center" vertical="center"/>
      <protection locked="0"/>
    </xf>
  </cellXfs>
  <cellStyles count="5">
    <cellStyle name="Comma 2" xfId="4" xr:uid="{7C6487EE-DD72-BC4E-BA6B-938FB2715750}"/>
    <cellStyle name="Comma 3" xfId="3" xr:uid="{FD8F486F-6B39-9C42-96D6-C12004556934}"/>
    <cellStyle name="Normal" xfId="0" builtinId="0"/>
    <cellStyle name="Percent" xfId="2" builtinId="5"/>
    <cellStyle name="常规 2" xfId="1" xr:uid="{43AA1550-6345-4C45-AE3A-35D24DE6446E}"/>
  </cellStyles>
  <dxfs count="0"/>
  <tableStyles count="0" defaultTableStyle="TableStyleMedium2" defaultPivotStyle="PivotStyleLight16"/>
  <colors>
    <mruColors>
      <color rgb="FFBED8EE"/>
      <color rgb="FF9BC2E7"/>
      <color rgb="FFE2F0FF"/>
      <color rgb="FFEFF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1129695</xdr:colOff>
      <xdr:row>2</xdr:row>
      <xdr:rowOff>109286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EFD7F45-4822-4B5B-8168-B6799C295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67857" cy="5356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62DF-866C-4494-8029-AC590EA3BE10}">
  <dimension ref="A1:H44"/>
  <sheetViews>
    <sheetView tabSelected="1" topLeftCell="A14" zoomScale="130" zoomScaleNormal="130" workbookViewId="0">
      <selection activeCell="I22" sqref="I22"/>
    </sheetView>
  </sheetViews>
  <sheetFormatPr defaultColWidth="9.1796875" defaultRowHeight="10.5"/>
  <cols>
    <col min="1" max="1" width="14.81640625" style="47" customWidth="1"/>
    <col min="2" max="2" width="23.453125" style="47" customWidth="1"/>
    <col min="3" max="3" width="5.453125" style="47" customWidth="1"/>
    <col min="4" max="4" width="15.1796875" style="47" customWidth="1"/>
    <col min="5" max="5" width="11.81640625" style="47" customWidth="1"/>
    <col min="6" max="6" width="14.453125" style="49" customWidth="1"/>
    <col min="7" max="7" width="9.1796875" style="49"/>
    <col min="8" max="8" width="9.1796875" style="47"/>
    <col min="9" max="9" width="9.1796875" style="47" customWidth="1"/>
    <col min="10" max="16384" width="9.1796875" style="47"/>
  </cols>
  <sheetData>
    <row r="1" spans="1:8" ht="19" customHeight="1">
      <c r="B1" s="168" t="s">
        <v>0</v>
      </c>
      <c r="C1" s="168"/>
      <c r="D1" s="168"/>
      <c r="E1" s="168"/>
      <c r="F1" s="168"/>
      <c r="G1" s="48"/>
      <c r="H1" s="49"/>
    </row>
    <row r="2" spans="1:8" ht="14.25" customHeight="1">
      <c r="B2" s="169" t="s">
        <v>1</v>
      </c>
      <c r="C2" s="169"/>
      <c r="D2" s="169"/>
      <c r="E2" s="169"/>
      <c r="F2" s="169"/>
      <c r="G2" s="48"/>
      <c r="H2" s="49"/>
    </row>
    <row r="3" spans="1:8" s="50" customFormat="1" ht="18" customHeight="1">
      <c r="B3" s="169" t="s">
        <v>2</v>
      </c>
      <c r="C3" s="169"/>
      <c r="D3" s="169"/>
      <c r="E3" s="169"/>
      <c r="F3" s="169"/>
      <c r="G3" s="48"/>
      <c r="H3" s="48"/>
    </row>
    <row r="4" spans="1:8" s="50" customFormat="1" ht="14.15" customHeight="1">
      <c r="G4" s="48"/>
      <c r="H4" s="48"/>
    </row>
    <row r="5" spans="1:8" s="50" customFormat="1" ht="32.15" customHeight="1">
      <c r="A5" s="174" t="s">
        <v>3</v>
      </c>
      <c r="B5" s="174"/>
      <c r="C5" s="174"/>
      <c r="D5" s="174"/>
      <c r="E5" s="174"/>
      <c r="F5" s="174"/>
      <c r="G5" s="48"/>
      <c r="H5" s="48"/>
    </row>
    <row r="6" spans="1:8" s="50" customFormat="1" ht="12" customHeight="1">
      <c r="A6" s="45"/>
      <c r="B6" s="45"/>
      <c r="C6" s="45"/>
      <c r="D6" s="45"/>
      <c r="E6" s="45"/>
      <c r="F6" s="45"/>
      <c r="G6" s="48"/>
      <c r="H6" s="48"/>
    </row>
    <row r="7" spans="1:8" s="50" customFormat="1" ht="13" customHeight="1">
      <c r="A7" s="46" t="s">
        <v>4</v>
      </c>
      <c r="B7" s="46"/>
      <c r="C7" s="46"/>
      <c r="D7" s="46"/>
      <c r="E7" s="46"/>
      <c r="G7" s="48"/>
      <c r="H7" s="48"/>
    </row>
    <row r="8" spans="1:8" s="51" customFormat="1" ht="13" customHeight="1">
      <c r="A8" s="64" t="s">
        <v>5</v>
      </c>
      <c r="B8" s="65" t="s">
        <v>6</v>
      </c>
      <c r="C8" s="73"/>
      <c r="D8" s="64" t="s">
        <v>7</v>
      </c>
      <c r="E8" s="64"/>
      <c r="F8" s="65" t="s">
        <v>8</v>
      </c>
      <c r="G8" s="52"/>
    </row>
    <row r="9" spans="1:8" s="51" customFormat="1" ht="13" customHeight="1">
      <c r="A9" s="64" t="s">
        <v>9</v>
      </c>
      <c r="B9" s="65" t="s">
        <v>10</v>
      </c>
      <c r="C9" s="74"/>
      <c r="D9" s="64" t="s">
        <v>11</v>
      </c>
      <c r="E9" s="64"/>
      <c r="F9" s="65" t="s">
        <v>117</v>
      </c>
      <c r="G9" s="52"/>
    </row>
    <row r="10" spans="1:8" s="50" customFormat="1" ht="13" customHeight="1">
      <c r="A10" s="64" t="s">
        <v>12</v>
      </c>
      <c r="B10" s="182" t="s">
        <v>13</v>
      </c>
      <c r="C10" s="74"/>
      <c r="D10" s="64" t="s">
        <v>14</v>
      </c>
      <c r="E10" s="64"/>
      <c r="F10" s="66">
        <f ca="1">TODAY()</f>
        <v>46097</v>
      </c>
      <c r="G10" s="48"/>
    </row>
    <row r="11" spans="1:8" s="51" customFormat="1" ht="12" customHeight="1">
      <c r="A11" s="67"/>
      <c r="B11" s="182"/>
      <c r="D11" s="64" t="s">
        <v>15</v>
      </c>
      <c r="E11" s="64"/>
      <c r="F11" s="66">
        <v>46104</v>
      </c>
      <c r="G11" s="52"/>
    </row>
    <row r="12" spans="1:8" s="50" customFormat="1" ht="12" customHeight="1">
      <c r="A12" s="56"/>
      <c r="B12" s="56"/>
      <c r="C12" s="56"/>
      <c r="D12" s="56"/>
      <c r="E12" s="57"/>
      <c r="G12" s="48"/>
    </row>
    <row r="13" spans="1:8" ht="11" thickBot="1"/>
    <row r="14" spans="1:8" s="59" customFormat="1" ht="28" customHeight="1">
      <c r="A14" s="172" t="s">
        <v>16</v>
      </c>
      <c r="B14" s="173"/>
      <c r="C14" s="173"/>
      <c r="D14" s="79"/>
      <c r="E14" s="79" t="str">
        <f>"Amount "&amp;Italy!C6</f>
        <v>Amount EUR</v>
      </c>
      <c r="F14" s="80" t="s">
        <v>17</v>
      </c>
      <c r="G14" s="58"/>
    </row>
    <row r="15" spans="1:8" s="62" customFormat="1" ht="16" customHeight="1">
      <c r="A15" s="175" t="s">
        <v>18</v>
      </c>
      <c r="B15" s="176"/>
      <c r="C15" s="176"/>
      <c r="D15" s="88"/>
      <c r="E15" s="94">
        <f>SUM(E16:E17)</f>
        <v>10743.51</v>
      </c>
      <c r="F15" s="95">
        <f>SUM(F16:F17)</f>
        <v>12681.736616587186</v>
      </c>
      <c r="G15" s="70"/>
    </row>
    <row r="16" spans="1:8" s="54" customFormat="1" ht="13">
      <c r="A16" s="170" t="str">
        <f ca="1">"- Labor cost for "&amp;Italy!B9&amp;"  -  "&amp;MONTH(Italy!B2) &amp;"-"&amp; YEAR(Italy!B2)</f>
        <v>- Labor cost for CUPIMATTEO  -  3-2026</v>
      </c>
      <c r="B16" s="171"/>
      <c r="C16" s="171"/>
      <c r="D16" s="89"/>
      <c r="E16" s="93">
        <f>Italy!I9+Italy!Q9</f>
        <v>10743.51</v>
      </c>
      <c r="F16" s="96">
        <f>E16/$B$28</f>
        <v>12681.736616587186</v>
      </c>
      <c r="G16" s="53"/>
    </row>
    <row r="17" spans="1:7" ht="13">
      <c r="A17" s="170" t="str">
        <f>"- "&amp;+"Expense claim for "&amp;Italy!B9</f>
        <v>- Expense claim for CUPIMATTEO</v>
      </c>
      <c r="B17" s="171"/>
      <c r="C17" s="171"/>
      <c r="D17" s="89"/>
      <c r="E17" s="93">
        <f>Italy!W9</f>
        <v>0</v>
      </c>
      <c r="F17" s="96">
        <f>E17/$B$28</f>
        <v>0</v>
      </c>
      <c r="G17" s="55"/>
    </row>
    <row r="18" spans="1:7" ht="13">
      <c r="A18" s="185"/>
      <c r="B18" s="186"/>
      <c r="C18" s="186"/>
      <c r="D18" s="90"/>
      <c r="E18" s="93"/>
      <c r="F18" s="96"/>
      <c r="G18" s="55"/>
    </row>
    <row r="19" spans="1:7" ht="13">
      <c r="A19" s="183"/>
      <c r="B19" s="184"/>
      <c r="C19" s="184"/>
      <c r="D19" s="91"/>
      <c r="E19" s="97"/>
      <c r="F19" s="96"/>
      <c r="G19" s="55"/>
    </row>
    <row r="20" spans="1:7" s="69" customFormat="1" ht="16" customHeight="1">
      <c r="A20" s="175" t="s">
        <v>19</v>
      </c>
      <c r="B20" s="176"/>
      <c r="C20" s="176"/>
      <c r="D20" s="88"/>
      <c r="E20" s="94">
        <f>SUM(E21:E22)</f>
        <v>1128.06855</v>
      </c>
      <c r="F20" s="98">
        <f>SUM(F21:F22)</f>
        <v>1331.5823447416547</v>
      </c>
      <c r="G20" s="68"/>
    </row>
    <row r="21" spans="1:7" ht="13">
      <c r="A21" s="179" t="str">
        <f ca="1">"- "&amp;+"Management Fee - "&amp;MONTH(Italy!B2) &amp;"-"&amp; YEAR(Italy!B2)</f>
        <v>- Management Fee - 3-2026</v>
      </c>
      <c r="B21" s="180"/>
      <c r="C21" s="180"/>
      <c r="D21" s="92"/>
      <c r="E21" s="97">
        <f>Italy!H9</f>
        <v>1128.06855</v>
      </c>
      <c r="F21" s="96">
        <f>E21/$B$28</f>
        <v>1331.5823447416547</v>
      </c>
      <c r="G21" s="55"/>
    </row>
    <row r="22" spans="1:7" ht="13">
      <c r="A22" s="179"/>
      <c r="B22" s="180"/>
      <c r="C22" s="180"/>
      <c r="D22" s="92"/>
      <c r="E22" s="97"/>
      <c r="F22" s="96"/>
      <c r="G22" s="55"/>
    </row>
    <row r="23" spans="1:7" ht="13">
      <c r="A23" s="179"/>
      <c r="B23" s="180"/>
      <c r="C23" s="180"/>
      <c r="D23" s="92"/>
      <c r="E23" s="97"/>
      <c r="F23" s="96"/>
      <c r="G23" s="55"/>
    </row>
    <row r="24" spans="1:7" ht="14.5">
      <c r="A24" s="177"/>
      <c r="B24" s="178"/>
      <c r="C24" s="178"/>
      <c r="D24" s="60"/>
      <c r="E24" s="99"/>
      <c r="F24" s="100"/>
      <c r="G24" s="55"/>
    </row>
    <row r="25" spans="1:7" s="62" customFormat="1" ht="15" thickBot="1">
      <c r="A25" s="187" t="s">
        <v>20</v>
      </c>
      <c r="B25" s="188"/>
      <c r="C25" s="188"/>
      <c r="D25" s="188"/>
      <c r="E25" s="101">
        <f>E15+E20</f>
        <v>11871.57855</v>
      </c>
      <c r="F25" s="102">
        <f>F15+F20</f>
        <v>14013.318961328841</v>
      </c>
      <c r="G25" s="70"/>
    </row>
    <row r="26" spans="1:7" s="62" customFormat="1" ht="14.5">
      <c r="A26" s="77"/>
      <c r="B26" s="77"/>
      <c r="C26" s="78"/>
      <c r="D26" s="78"/>
      <c r="E26" s="63"/>
      <c r="F26" s="76"/>
      <c r="G26" s="70"/>
    </row>
    <row r="27" spans="1:7" s="62" customFormat="1" ht="15" thickBot="1">
      <c r="A27" s="72"/>
      <c r="B27" s="72"/>
      <c r="C27" s="72"/>
      <c r="D27" s="72"/>
      <c r="E27" s="63"/>
      <c r="F27" s="76"/>
      <c r="G27" s="70"/>
    </row>
    <row r="28" spans="1:7" ht="26">
      <c r="A28" s="82" t="str">
        <f>"*FX rate  USD:  "&amp;Italy!C6</f>
        <v>*FX rate  USD:  EUR</v>
      </c>
      <c r="B28" s="103">
        <f>0.87336489*0.97</f>
        <v>0.84716394329999989</v>
      </c>
      <c r="C28" s="63"/>
      <c r="D28" s="156" t="s">
        <v>21</v>
      </c>
      <c r="E28" s="157"/>
      <c r="F28" s="104">
        <f>F25</f>
        <v>14013.318961328841</v>
      </c>
      <c r="G28" s="55"/>
    </row>
    <row r="29" spans="1:7" s="54" customFormat="1" ht="16" customHeight="1">
      <c r="A29" s="81"/>
      <c r="B29" s="81"/>
      <c r="C29" s="63"/>
      <c r="D29" s="158" t="s">
        <v>22</v>
      </c>
      <c r="E29" s="159"/>
      <c r="F29" s="105">
        <f>Italy!E22</f>
        <v>0</v>
      </c>
      <c r="G29" s="53"/>
    </row>
    <row r="30" spans="1:7" s="54" customFormat="1" ht="14.5">
      <c r="A30" s="81"/>
      <c r="B30" s="81"/>
      <c r="C30" s="63"/>
      <c r="D30" s="158" t="s">
        <v>23</v>
      </c>
      <c r="E30" s="159"/>
      <c r="F30" s="105">
        <f>Italy!E23</f>
        <v>0</v>
      </c>
      <c r="G30" s="53"/>
    </row>
    <row r="31" spans="1:7" ht="14.5">
      <c r="A31" s="81"/>
      <c r="B31" s="81"/>
      <c r="C31" s="63"/>
      <c r="D31" s="158" t="s">
        <v>24</v>
      </c>
      <c r="E31" s="159"/>
      <c r="F31" s="105">
        <f>Italy!E24</f>
        <v>0</v>
      </c>
      <c r="G31" s="55"/>
    </row>
    <row r="32" spans="1:7" ht="15" thickBot="1">
      <c r="A32" s="81"/>
      <c r="B32" s="81"/>
      <c r="C32" s="61"/>
      <c r="D32" s="160" t="s">
        <v>25</v>
      </c>
      <c r="E32" s="161"/>
      <c r="F32" s="106">
        <f>Italy!E25</f>
        <v>10</v>
      </c>
      <c r="G32" s="55"/>
    </row>
    <row r="33" spans="1:8" ht="14.5">
      <c r="A33" s="81"/>
      <c r="B33" s="81"/>
      <c r="C33" s="63"/>
      <c r="D33" s="162" t="s">
        <v>26</v>
      </c>
      <c r="E33" s="163"/>
      <c r="F33" s="107">
        <f>SUM(F28:F32)</f>
        <v>14023.318961328841</v>
      </c>
      <c r="G33" s="55"/>
    </row>
    <row r="34" spans="1:8" ht="14.5">
      <c r="A34" s="81"/>
      <c r="B34" s="81"/>
      <c r="C34" s="63"/>
      <c r="D34" s="164" t="s">
        <v>27</v>
      </c>
      <c r="E34" s="165"/>
      <c r="F34" s="107">
        <f>Italy!F6/B28</f>
        <v>0</v>
      </c>
      <c r="G34" s="55"/>
    </row>
    <row r="35" spans="1:8" ht="15" thickBot="1">
      <c r="A35" s="71"/>
      <c r="B35" s="71"/>
      <c r="C35" s="63"/>
      <c r="D35" s="166" t="s">
        <v>28</v>
      </c>
      <c r="E35" s="167"/>
      <c r="F35" s="108">
        <f>SUM(F33:F34)</f>
        <v>14023.318961328841</v>
      </c>
      <c r="G35" s="55"/>
      <c r="H35" s="75"/>
    </row>
    <row r="36" spans="1:8" ht="14.5">
      <c r="A36" s="60"/>
      <c r="B36" s="60"/>
      <c r="C36" s="60"/>
      <c r="D36" s="60"/>
      <c r="E36" s="61"/>
      <c r="F36" s="61"/>
      <c r="G36" s="55"/>
    </row>
    <row r="37" spans="1:8" ht="14.5">
      <c r="A37" s="60"/>
      <c r="B37" s="60"/>
      <c r="C37" s="60"/>
      <c r="D37" s="60"/>
      <c r="E37" s="61"/>
      <c r="F37" s="61"/>
      <c r="G37" s="55"/>
    </row>
    <row r="38" spans="1:8">
      <c r="G38" s="55"/>
    </row>
    <row r="39" spans="1:8" ht="19" customHeight="1">
      <c r="A39" s="181" t="s">
        <v>29</v>
      </c>
      <c r="B39" s="181"/>
      <c r="C39" s="181"/>
      <c r="D39" s="181"/>
      <c r="E39" s="181"/>
      <c r="F39" s="181"/>
    </row>
    <row r="40" spans="1:8" ht="61" customHeight="1">
      <c r="A40" s="153" t="s">
        <v>30</v>
      </c>
      <c r="B40" s="153"/>
      <c r="C40" s="154"/>
      <c r="D40" s="155" t="s">
        <v>31</v>
      </c>
      <c r="E40" s="153"/>
      <c r="F40" s="153"/>
    </row>
    <row r="41" spans="1:8">
      <c r="A41" s="47" t="s">
        <v>32</v>
      </c>
    </row>
    <row r="42" spans="1:8" ht="11.15" customHeight="1">
      <c r="A42" s="62" t="s">
        <v>33</v>
      </c>
      <c r="B42" s="62"/>
      <c r="C42" s="62"/>
      <c r="D42" s="62"/>
      <c r="E42" s="62"/>
      <c r="F42" s="62"/>
    </row>
    <row r="43" spans="1:8">
      <c r="A43" s="62" t="s">
        <v>34</v>
      </c>
    </row>
    <row r="44" spans="1:8">
      <c r="A44" s="62" t="s">
        <v>35</v>
      </c>
    </row>
  </sheetData>
  <mergeCells count="28">
    <mergeCell ref="A24:C24"/>
    <mergeCell ref="A23:C23"/>
    <mergeCell ref="A22:C22"/>
    <mergeCell ref="A39:F39"/>
    <mergeCell ref="B10:B11"/>
    <mergeCell ref="A20:C20"/>
    <mergeCell ref="A21:C21"/>
    <mergeCell ref="A19:C19"/>
    <mergeCell ref="A18:C18"/>
    <mergeCell ref="A25:D25"/>
    <mergeCell ref="B1:F1"/>
    <mergeCell ref="B2:F2"/>
    <mergeCell ref="B3:F3"/>
    <mergeCell ref="A17:C17"/>
    <mergeCell ref="A14:C14"/>
    <mergeCell ref="A16:C16"/>
    <mergeCell ref="A5:F5"/>
    <mergeCell ref="A15:C15"/>
    <mergeCell ref="A40:C40"/>
    <mergeCell ref="D40:F40"/>
    <mergeCell ref="D28:E28"/>
    <mergeCell ref="D29:E29"/>
    <mergeCell ref="D30:E30"/>
    <mergeCell ref="D31:E31"/>
    <mergeCell ref="D32:E32"/>
    <mergeCell ref="D33:E33"/>
    <mergeCell ref="D34:E34"/>
    <mergeCell ref="D35:E35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351C-96BC-4B8C-80B6-3A5CC659EF1D}">
  <dimension ref="A1:X26"/>
  <sheetViews>
    <sheetView zoomScale="130" zoomScaleNormal="130" workbookViewId="0">
      <selection activeCell="I20" sqref="I20"/>
    </sheetView>
  </sheetViews>
  <sheetFormatPr defaultColWidth="9.1796875" defaultRowHeight="13"/>
  <cols>
    <col min="1" max="1" width="8.81640625" style="1" bestFit="1" customWidth="1"/>
    <col min="2" max="2" width="18" style="2" bestFit="1" customWidth="1"/>
    <col min="3" max="3" width="11" style="2" bestFit="1" customWidth="1"/>
    <col min="4" max="4" width="7.453125" style="2" customWidth="1"/>
    <col min="5" max="5" width="8.08984375" style="2" bestFit="1" customWidth="1"/>
    <col min="6" max="6" width="6.81640625" style="2" bestFit="1" customWidth="1"/>
    <col min="7" max="7" width="7" style="2" bestFit="1" customWidth="1"/>
    <col min="8" max="10" width="7.453125" style="2" bestFit="1" customWidth="1"/>
    <col min="11" max="12" width="7.453125" style="2" customWidth="1"/>
    <col min="13" max="14" width="7" style="2" bestFit="1" customWidth="1"/>
    <col min="15" max="15" width="10.08984375" style="2" customWidth="1"/>
    <col min="16" max="16" width="8.1796875" style="2" bestFit="1" customWidth="1"/>
    <col min="17" max="17" width="7.453125" style="2" bestFit="1" customWidth="1"/>
    <col min="18" max="19" width="8.1796875" style="2" customWidth="1"/>
    <col min="20" max="20" width="11.453125" style="2" bestFit="1" customWidth="1"/>
    <col min="21" max="21" width="8.453125" style="2" bestFit="1" customWidth="1"/>
    <col min="22" max="22" width="8.453125" style="2" customWidth="1"/>
    <col min="23" max="24" width="6.54296875" style="2" bestFit="1" customWidth="1"/>
    <col min="25" max="16384" width="9.1796875" style="2"/>
  </cols>
  <sheetData>
    <row r="1" spans="1:24" ht="13.5" thickBot="1">
      <c r="A1" s="1" t="str">
        <f ca="1">MID(CELL("filename",A1),FIND("]",CELL("filename",A1))+1,256)</f>
        <v>Italy</v>
      </c>
    </row>
    <row r="2" spans="1:24" ht="13.5" thickBot="1">
      <c r="A2" s="3" t="s">
        <v>36</v>
      </c>
      <c r="B2" s="151">
        <f ca="1">EOMONTH(TODAY(),-1)+1</f>
        <v>46082</v>
      </c>
      <c r="C2" s="151">
        <f ca="1">EOMONTH(TODAY(),0)</f>
        <v>46112</v>
      </c>
      <c r="E2" s="87" t="s">
        <v>37</v>
      </c>
    </row>
    <row r="3" spans="1:24" s="5" customFormat="1" ht="14.15" customHeight="1">
      <c r="A3" s="3"/>
      <c r="B3" s="4"/>
      <c r="E3" s="191" t="s">
        <v>38</v>
      </c>
      <c r="F3" s="189" t="s">
        <v>39</v>
      </c>
      <c r="G3" s="194" t="s">
        <v>40</v>
      </c>
      <c r="H3" s="195"/>
      <c r="I3" s="194" t="s">
        <v>41</v>
      </c>
      <c r="J3" s="195"/>
      <c r="K3" s="195"/>
      <c r="L3" s="195"/>
      <c r="M3" s="195"/>
      <c r="N3" s="195"/>
      <c r="O3" s="195"/>
      <c r="P3" s="195"/>
      <c r="Q3" s="194" t="s">
        <v>42</v>
      </c>
      <c r="R3" s="195"/>
      <c r="S3" s="195"/>
      <c r="T3" s="195"/>
      <c r="U3" s="195"/>
      <c r="V3" s="196"/>
      <c r="W3" s="189" t="s">
        <v>43</v>
      </c>
      <c r="X3" s="190"/>
    </row>
    <row r="4" spans="1:24" s="5" customFormat="1" ht="65.5" thickBot="1">
      <c r="E4" s="192"/>
      <c r="F4" s="193"/>
      <c r="G4" s="6" t="s">
        <v>44</v>
      </c>
      <c r="H4" s="6" t="s">
        <v>45</v>
      </c>
      <c r="I4" s="6" t="s">
        <v>44</v>
      </c>
      <c r="J4" s="6" t="str">
        <f>'Italy-L'!K10</f>
        <v>Jul 2025 Salary</v>
      </c>
      <c r="K4" s="6" t="str">
        <f>'Italy-L'!N10</f>
        <v>Vacation Leave</v>
      </c>
      <c r="L4" s="6" t="s">
        <v>115</v>
      </c>
      <c r="M4" s="6" t="str">
        <f>'Italy-L'!O10</f>
        <v>13th and 14th Accrual</v>
      </c>
      <c r="N4" s="6" t="str">
        <f>'Italy-L'!P10</f>
        <v>Vacation Accruals</v>
      </c>
      <c r="O4" s="6" t="str">
        <f>'Italy-L'!Q10</f>
        <v xml:space="preserve">Monthly Permitted Leave (Permessi Hours Ex-Fs) </v>
      </c>
      <c r="P4" s="6" t="str">
        <f>'Italy-L'!R10</f>
        <v>Monthly Permitted Leave ROL Accrual</v>
      </c>
      <c r="Q4" s="6" t="s">
        <v>44</v>
      </c>
      <c r="R4" s="6" t="str">
        <f>'Italy-L'!L10</f>
        <v>Social Cost</v>
      </c>
      <c r="S4" s="6" t="str">
        <f>'Italy-L'!M10</f>
        <v>Social contributions for accruals</v>
      </c>
      <c r="T4" s="6" t="str">
        <f>'Italy-L'!S10</f>
        <v>Unemployment Fund (TFR) Accrual</v>
      </c>
      <c r="U4" s="6" t="str">
        <f>'Italy-L'!T10</f>
        <v>Overheads</v>
      </c>
      <c r="V4" s="6" t="str">
        <f>'Italy-L'!U10</f>
        <v>Bilateral Trade Association</v>
      </c>
      <c r="W4" s="6" t="s">
        <v>44</v>
      </c>
      <c r="X4" s="86" t="s">
        <v>46</v>
      </c>
    </row>
    <row r="5" spans="1:24" s="5" customFormat="1" ht="13.5" thickBot="1">
      <c r="A5" s="1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</row>
    <row r="6" spans="1:24" s="11" customFormat="1">
      <c r="A6" s="10"/>
      <c r="B6" s="11" t="s">
        <v>38</v>
      </c>
      <c r="C6" s="11" t="s">
        <v>47</v>
      </c>
      <c r="E6" s="15">
        <f t="shared" ref="E6:X6" si="0">SUM(E9:E17)</f>
        <v>11871.57855</v>
      </c>
      <c r="F6" s="16">
        <f t="shared" si="0"/>
        <v>0</v>
      </c>
      <c r="G6" s="16">
        <f t="shared" si="0"/>
        <v>1128.06855</v>
      </c>
      <c r="H6" s="16">
        <f t="shared" si="0"/>
        <v>1128.06855</v>
      </c>
      <c r="I6" s="16">
        <f t="shared" si="0"/>
        <v>7902.48</v>
      </c>
      <c r="J6" s="16">
        <f t="shared" si="0"/>
        <v>6071.42</v>
      </c>
      <c r="K6" s="16">
        <f t="shared" si="0"/>
        <v>505.96</v>
      </c>
      <c r="L6" s="16">
        <f t="shared" si="0"/>
        <v>0</v>
      </c>
      <c r="M6" s="16">
        <f t="shared" si="0"/>
        <v>1011.9</v>
      </c>
      <c r="N6" s="16">
        <f t="shared" si="0"/>
        <v>0</v>
      </c>
      <c r="O6" s="16">
        <f t="shared" si="0"/>
        <v>96.37</v>
      </c>
      <c r="P6" s="16">
        <f t="shared" si="0"/>
        <v>216.83</v>
      </c>
      <c r="Q6" s="16">
        <f>SUM(Q9:Q17)</f>
        <v>2841.03</v>
      </c>
      <c r="R6" s="16">
        <f t="shared" si="0"/>
        <v>1828.46</v>
      </c>
      <c r="S6" s="16">
        <f t="shared" ref="S6" si="1">SUM(S9:S17)</f>
        <v>570.30999999999995</v>
      </c>
      <c r="T6" s="16">
        <f t="shared" si="0"/>
        <v>378.82</v>
      </c>
      <c r="U6" s="16">
        <f t="shared" si="0"/>
        <v>60.71</v>
      </c>
      <c r="V6" s="16">
        <f t="shared" ref="V6" si="2">SUM(V9:V17)</f>
        <v>2.73</v>
      </c>
      <c r="W6" s="16">
        <f t="shared" si="0"/>
        <v>0</v>
      </c>
      <c r="X6" s="17">
        <f t="shared" si="0"/>
        <v>0</v>
      </c>
    </row>
    <row r="7" spans="1:24" s="11" customFormat="1">
      <c r="E7" s="15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7"/>
    </row>
    <row r="8" spans="1:24" s="11" customFormat="1">
      <c r="A8" s="18"/>
      <c r="E8" s="1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7"/>
    </row>
    <row r="9" spans="1:24" s="11" customFormat="1">
      <c r="A9" s="10"/>
      <c r="B9" s="11" t="str">
        <f>'Italy-L'!B11</f>
        <v>CUPIMATTEO</v>
      </c>
      <c r="C9" s="11" t="str">
        <f>'Italy EE'!D10</f>
        <v>CUS1513-0001</v>
      </c>
      <c r="E9" s="15">
        <f>F9+G9+I9+Q9+W9</f>
        <v>11871.57855</v>
      </c>
      <c r="F9" s="16">
        <v>0</v>
      </c>
      <c r="G9" s="16">
        <f>SUM(H9:H9)</f>
        <v>1128.06855</v>
      </c>
      <c r="H9" s="16">
        <f>MAX(750,(I9+Q9+X9)*10.5%)</f>
        <v>1128.06855</v>
      </c>
      <c r="I9" s="16">
        <f>SUM(J9:P9)</f>
        <v>7902.48</v>
      </c>
      <c r="J9" s="16">
        <f>'Italy-L'!K11</f>
        <v>6071.42</v>
      </c>
      <c r="K9" s="16">
        <f>'Italy-L'!N11</f>
        <v>505.96</v>
      </c>
      <c r="L9" s="16">
        <f>'Italy-L'!V11</f>
        <v>0</v>
      </c>
      <c r="M9" s="16">
        <f>'Italy-L'!O11</f>
        <v>1011.9</v>
      </c>
      <c r="N9" s="16">
        <f>'Italy-L'!P11</f>
        <v>0</v>
      </c>
      <c r="O9" s="16">
        <f>'Italy-L'!Q11</f>
        <v>96.37</v>
      </c>
      <c r="P9" s="16">
        <f>'Italy-L'!R11</f>
        <v>216.83</v>
      </c>
      <c r="Q9" s="16">
        <f>SUM(R9:V9)</f>
        <v>2841.03</v>
      </c>
      <c r="R9" s="16">
        <f>'Italy-L'!L11</f>
        <v>1828.46</v>
      </c>
      <c r="S9" s="16">
        <f>'Italy-L'!M11</f>
        <v>570.30999999999995</v>
      </c>
      <c r="T9" s="16">
        <f>'Italy-L'!S11</f>
        <v>378.82</v>
      </c>
      <c r="U9" s="16">
        <f>'Italy-L'!T11</f>
        <v>60.71</v>
      </c>
      <c r="V9" s="16">
        <f>'Italy-L'!U11</f>
        <v>2.73</v>
      </c>
      <c r="W9" s="16">
        <f>SUM(X9:X9)</f>
        <v>0</v>
      </c>
      <c r="X9" s="17">
        <v>0</v>
      </c>
    </row>
    <row r="10" spans="1:24" s="11" customFormat="1">
      <c r="A10" s="10"/>
      <c r="E10" s="15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7"/>
    </row>
    <row r="11" spans="1:24" s="11" customFormat="1">
      <c r="A11" s="10"/>
      <c r="E11" s="15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7"/>
    </row>
    <row r="12" spans="1:24" s="11" customFormat="1">
      <c r="A12" s="10"/>
      <c r="E12" s="15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7"/>
    </row>
    <row r="13" spans="1:24" s="11" customFormat="1">
      <c r="A13" s="10"/>
      <c r="E13" s="15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7"/>
    </row>
    <row r="14" spans="1:24" s="11" customFormat="1">
      <c r="A14" s="10"/>
      <c r="E14" s="15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7"/>
    </row>
    <row r="15" spans="1:24" s="11" customFormat="1">
      <c r="A15" s="10"/>
      <c r="E15" s="15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7"/>
    </row>
    <row r="16" spans="1:24" s="11" customFormat="1">
      <c r="A16" s="10"/>
      <c r="E16" s="15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7"/>
    </row>
    <row r="17" spans="1:24" s="11" customFormat="1" ht="13.5" thickBot="1">
      <c r="A17" s="10"/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1"/>
    </row>
    <row r="18" spans="1:24">
      <c r="E18" s="31"/>
    </row>
    <row r="19" spans="1:24">
      <c r="J19" s="31"/>
      <c r="K19" s="31"/>
      <c r="L19" s="31"/>
    </row>
    <row r="20" spans="1:24" s="26" customFormat="1" ht="15" thickBot="1">
      <c r="A20" s="25"/>
    </row>
    <row r="21" spans="1:24" s="26" customFormat="1" ht="14.5">
      <c r="A21" s="25" t="s">
        <v>48</v>
      </c>
      <c r="B21" s="38"/>
      <c r="C21" s="38"/>
      <c r="D21" s="38"/>
      <c r="E21" s="39">
        <f>SUM(E22:E26)</f>
        <v>10</v>
      </c>
      <c r="F21" s="40">
        <v>0</v>
      </c>
      <c r="G21" s="29"/>
    </row>
    <row r="22" spans="1:24" s="26" customFormat="1" ht="14.5">
      <c r="A22" s="25"/>
      <c r="B22" s="38" t="s">
        <v>22</v>
      </c>
      <c r="C22" s="38"/>
      <c r="D22" s="38"/>
      <c r="E22" s="41"/>
      <c r="F22" s="42"/>
    </row>
    <row r="23" spans="1:24" s="26" customFormat="1" ht="14.5">
      <c r="A23" s="25"/>
      <c r="B23" s="38" t="s">
        <v>23</v>
      </c>
      <c r="C23" s="38"/>
      <c r="D23" s="38"/>
      <c r="E23" s="41"/>
      <c r="F23" s="42">
        <v>0</v>
      </c>
    </row>
    <row r="24" spans="1:24" s="26" customFormat="1" ht="14.5">
      <c r="A24" s="25"/>
      <c r="B24" s="38" t="s">
        <v>49</v>
      </c>
      <c r="C24" s="38"/>
      <c r="D24" s="38"/>
      <c r="E24" s="41"/>
      <c r="F24" s="42">
        <v>0</v>
      </c>
    </row>
    <row r="25" spans="1:24" s="26" customFormat="1" ht="14.5">
      <c r="A25" s="25"/>
      <c r="B25" s="38" t="s">
        <v>50</v>
      </c>
      <c r="C25" s="38"/>
      <c r="D25" s="38"/>
      <c r="E25" s="41">
        <f>10</f>
        <v>10</v>
      </c>
      <c r="F25" s="42"/>
    </row>
    <row r="26" spans="1:24" s="26" customFormat="1" ht="15" thickBot="1">
      <c r="A26" s="25"/>
      <c r="B26" s="38" t="s">
        <v>51</v>
      </c>
      <c r="C26" s="38"/>
      <c r="D26" s="38"/>
      <c r="E26" s="43">
        <v>0</v>
      </c>
      <c r="F26" s="44"/>
    </row>
  </sheetData>
  <mergeCells count="6">
    <mergeCell ref="W3:X3"/>
    <mergeCell ref="E3:E4"/>
    <mergeCell ref="F3:F4"/>
    <mergeCell ref="G3:H3"/>
    <mergeCell ref="I3:P3"/>
    <mergeCell ref="Q3:V3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53E7-B544-3940-A3E2-E390BD553CFF}">
  <dimension ref="A1:Q18"/>
  <sheetViews>
    <sheetView zoomScale="120" zoomScaleNormal="120" workbookViewId="0">
      <selection activeCell="E26" sqref="E26"/>
    </sheetView>
  </sheetViews>
  <sheetFormatPr defaultColWidth="9.1796875" defaultRowHeight="13"/>
  <cols>
    <col min="1" max="1" width="12.1796875" style="1" bestFit="1" customWidth="1"/>
    <col min="2" max="2" width="9.453125" style="2" bestFit="1" customWidth="1"/>
    <col min="3" max="3" width="6.54296875" style="2" bestFit="1" customWidth="1"/>
    <col min="4" max="4" width="12.54296875" style="2" bestFit="1" customWidth="1"/>
    <col min="5" max="5" width="12.81640625" style="2" bestFit="1" customWidth="1"/>
    <col min="6" max="6" width="9.453125" style="2" bestFit="1" customWidth="1"/>
    <col min="7" max="7" width="10.453125" style="2" bestFit="1" customWidth="1"/>
    <col min="8" max="8" width="8.453125" style="2" bestFit="1" customWidth="1"/>
    <col min="9" max="10" width="9.1796875" style="2" customWidth="1"/>
    <col min="11" max="12" width="9.453125" style="2" customWidth="1"/>
    <col min="13" max="14" width="7.453125" style="2" bestFit="1" customWidth="1"/>
    <col min="15" max="15" width="6.54296875" style="2" bestFit="1" customWidth="1"/>
    <col min="16" max="16" width="5" style="2" bestFit="1" customWidth="1"/>
    <col min="17" max="17" width="7.81640625" style="2" bestFit="1" customWidth="1"/>
    <col min="18" max="16384" width="9.1796875" style="2"/>
  </cols>
  <sheetData>
    <row r="1" spans="1:17" ht="13.5" thickBot="1">
      <c r="A1" s="1" t="str">
        <f ca="1">MID(CELL("filename",A1),FIND("]",CELL("filename",A1))+1,256)</f>
        <v>Italy EE</v>
      </c>
      <c r="C1" s="4"/>
      <c r="D1" s="4"/>
      <c r="E1" s="4"/>
      <c r="F1" s="4"/>
      <c r="H1" s="24"/>
    </row>
    <row r="2" spans="1:17" ht="13.5" thickBot="1">
      <c r="A2" s="3"/>
      <c r="B2" s="4"/>
      <c r="C2" s="4"/>
      <c r="D2" s="4"/>
      <c r="E2" s="4"/>
      <c r="F2" s="4"/>
      <c r="H2" s="23" t="s">
        <v>52</v>
      </c>
    </row>
    <row r="3" spans="1:17" s="5" customFormat="1" ht="14.15" customHeight="1" thickBot="1">
      <c r="A3" s="32"/>
      <c r="B3" s="203" t="s">
        <v>53</v>
      </c>
      <c r="C3" s="203" t="s">
        <v>54</v>
      </c>
      <c r="D3" s="203" t="s">
        <v>55</v>
      </c>
      <c r="E3" s="203" t="s">
        <v>56</v>
      </c>
      <c r="F3" s="204" t="s">
        <v>57</v>
      </c>
      <c r="G3" s="204"/>
      <c r="H3" s="191" t="s">
        <v>58</v>
      </c>
      <c r="I3" s="200" t="s">
        <v>41</v>
      </c>
      <c r="J3" s="201"/>
      <c r="K3" s="201"/>
      <c r="L3" s="202"/>
      <c r="M3" s="197" t="s">
        <v>43</v>
      </c>
      <c r="N3" s="197"/>
      <c r="O3" s="197" t="s">
        <v>42</v>
      </c>
      <c r="P3" s="197"/>
      <c r="Q3" s="198" t="s">
        <v>59</v>
      </c>
    </row>
    <row r="4" spans="1:17" s="5" customFormat="1" ht="26.5" thickBot="1">
      <c r="A4" s="32"/>
      <c r="B4" s="203"/>
      <c r="C4" s="203"/>
      <c r="D4" s="203"/>
      <c r="E4" s="203"/>
      <c r="F4" s="33" t="s">
        <v>60</v>
      </c>
      <c r="G4" s="33" t="s">
        <v>61</v>
      </c>
      <c r="H4" s="191"/>
      <c r="I4" s="84" t="s">
        <v>44</v>
      </c>
      <c r="J4" s="84" t="str">
        <f>'Italy-L'!K10</f>
        <v>Jul 2025 Salary</v>
      </c>
      <c r="K4" s="85" t="str">
        <f>'Italy-L'!N10</f>
        <v>Vacation Leave</v>
      </c>
      <c r="L4" s="85" t="s">
        <v>115</v>
      </c>
      <c r="M4" s="84" t="s">
        <v>44</v>
      </c>
      <c r="N4" s="85" t="s">
        <v>46</v>
      </c>
      <c r="O4" s="84" t="s">
        <v>44</v>
      </c>
      <c r="P4" s="85" t="s">
        <v>62</v>
      </c>
      <c r="Q4" s="199"/>
    </row>
    <row r="5" spans="1:17" s="5" customFormat="1" ht="15" thickBot="1">
      <c r="A5" s="25"/>
      <c r="B5" s="34"/>
      <c r="C5" s="34"/>
      <c r="D5" s="34"/>
      <c r="E5" s="34"/>
      <c r="F5" s="34"/>
      <c r="G5" s="34"/>
      <c r="H5" s="7"/>
      <c r="I5" s="8"/>
      <c r="J5" s="8"/>
      <c r="K5" s="8"/>
      <c r="L5" s="8"/>
      <c r="M5" s="8"/>
      <c r="N5" s="8"/>
      <c r="O5" s="8"/>
      <c r="P5" s="8"/>
      <c r="Q5" s="9"/>
    </row>
    <row r="6" spans="1:17" s="11" customFormat="1" ht="14.5">
      <c r="A6" s="27" t="s">
        <v>63</v>
      </c>
      <c r="B6" s="35"/>
      <c r="C6" s="35"/>
      <c r="D6" s="35"/>
      <c r="E6" s="35"/>
      <c r="F6" s="35"/>
      <c r="G6" s="35"/>
      <c r="H6" s="12"/>
      <c r="I6" s="13"/>
      <c r="J6" s="13"/>
      <c r="K6" s="13"/>
      <c r="L6" s="13"/>
      <c r="M6" s="13"/>
      <c r="N6" s="13"/>
      <c r="O6" s="13"/>
      <c r="P6" s="13"/>
      <c r="Q6" s="14"/>
    </row>
    <row r="7" spans="1:17" s="11" customFormat="1" ht="14.5">
      <c r="A7" s="27"/>
      <c r="B7" s="35"/>
      <c r="C7" s="35"/>
      <c r="D7" s="35"/>
      <c r="E7" s="35"/>
      <c r="F7" s="35"/>
      <c r="G7" s="35"/>
      <c r="H7" s="15"/>
      <c r="I7" s="16"/>
      <c r="J7" s="16"/>
      <c r="K7" s="16"/>
      <c r="L7" s="16"/>
      <c r="M7" s="16"/>
      <c r="N7" s="16"/>
      <c r="O7" s="16"/>
      <c r="P7" s="16"/>
      <c r="Q7" s="17"/>
    </row>
    <row r="8" spans="1:17" s="11" customFormat="1" ht="14.5">
      <c r="A8" s="36"/>
      <c r="B8" s="37"/>
      <c r="C8" s="37"/>
      <c r="D8" s="37"/>
      <c r="E8" s="37"/>
      <c r="F8" s="37"/>
      <c r="G8" s="37"/>
      <c r="H8" s="15"/>
      <c r="I8" s="16"/>
      <c r="J8" s="16"/>
      <c r="K8" s="16"/>
      <c r="L8" s="16"/>
      <c r="M8" s="16"/>
      <c r="N8" s="16"/>
      <c r="O8" s="16"/>
      <c r="P8" s="16"/>
      <c r="Q8" s="17"/>
    </row>
    <row r="9" spans="1:17" s="11" customFormat="1" ht="14.5">
      <c r="A9" s="36"/>
      <c r="B9" s="28"/>
      <c r="C9" s="28"/>
      <c r="D9" s="28"/>
      <c r="E9" s="28"/>
      <c r="F9" s="28"/>
      <c r="G9" s="28"/>
      <c r="H9" s="15"/>
      <c r="I9" s="16"/>
      <c r="J9" s="16"/>
      <c r="K9" s="16"/>
      <c r="L9" s="16"/>
      <c r="M9" s="16"/>
      <c r="N9" s="16"/>
      <c r="O9" s="16"/>
      <c r="P9" s="16"/>
      <c r="Q9" s="17"/>
    </row>
    <row r="10" spans="1:17" s="11" customFormat="1" ht="14.5">
      <c r="A10" s="27"/>
      <c r="B10" s="28" t="s">
        <v>10</v>
      </c>
      <c r="C10" s="28" t="str">
        <f>PN!B8</f>
        <v>Animal Equality</v>
      </c>
      <c r="D10" s="28" t="s">
        <v>64</v>
      </c>
      <c r="E10" s="28" t="str">
        <f>'Italy-L'!B11</f>
        <v>CUPIMATTEO</v>
      </c>
      <c r="F10" s="152">
        <f ca="1">Italy!B2</f>
        <v>46082</v>
      </c>
      <c r="G10" s="152">
        <f ca="1">Italy!C2</f>
        <v>46112</v>
      </c>
      <c r="H10" s="15">
        <f>I10+M10-O10-Q10</f>
        <v>6577.38</v>
      </c>
      <c r="I10" s="16">
        <f>SUM(J10:L10)</f>
        <v>6577.38</v>
      </c>
      <c r="J10" s="16">
        <f>'Italy-L'!K11</f>
        <v>6071.42</v>
      </c>
      <c r="K10" s="16">
        <f>'Italy-L'!N11</f>
        <v>505.96</v>
      </c>
      <c r="L10" s="16">
        <f>'Italy-L'!V11</f>
        <v>0</v>
      </c>
      <c r="M10" s="16">
        <f>SUM(N10:N10)</f>
        <v>0</v>
      </c>
      <c r="N10" s="16">
        <f>0</f>
        <v>0</v>
      </c>
      <c r="O10" s="16">
        <f>SUM(P10:P10)</f>
        <v>0</v>
      </c>
      <c r="P10" s="16">
        <v>0</v>
      </c>
      <c r="Q10" s="17">
        <v>0</v>
      </c>
    </row>
    <row r="11" spans="1:17" s="11" customFormat="1">
      <c r="A11" s="10"/>
      <c r="H11" s="15"/>
      <c r="I11" s="16"/>
      <c r="J11" s="16"/>
      <c r="K11" s="16"/>
      <c r="L11" s="16"/>
      <c r="M11" s="16"/>
      <c r="N11" s="16"/>
      <c r="O11" s="16"/>
      <c r="P11" s="16"/>
      <c r="Q11" s="17"/>
    </row>
    <row r="12" spans="1:17" s="11" customFormat="1">
      <c r="A12" s="10"/>
      <c r="H12" s="15"/>
      <c r="I12" s="16"/>
      <c r="J12" s="16"/>
      <c r="K12" s="16"/>
      <c r="L12" s="16"/>
      <c r="M12" s="16"/>
      <c r="N12" s="16"/>
      <c r="O12" s="16"/>
      <c r="P12" s="16"/>
      <c r="Q12" s="17"/>
    </row>
    <row r="13" spans="1:17" s="11" customFormat="1">
      <c r="A13" s="10"/>
      <c r="H13" s="15"/>
      <c r="I13" s="16"/>
      <c r="J13" s="16"/>
      <c r="K13" s="16"/>
      <c r="L13" s="16"/>
      <c r="M13" s="16"/>
      <c r="N13" s="16"/>
      <c r="O13" s="16"/>
      <c r="P13" s="16"/>
      <c r="Q13" s="17"/>
    </row>
    <row r="14" spans="1:17" s="11" customFormat="1">
      <c r="A14" s="10"/>
      <c r="H14" s="15"/>
      <c r="I14" s="16"/>
      <c r="J14" s="16"/>
      <c r="K14" s="16"/>
      <c r="L14" s="16"/>
      <c r="M14" s="16"/>
      <c r="N14" s="16"/>
      <c r="O14" s="16"/>
      <c r="P14" s="16"/>
      <c r="Q14" s="17"/>
    </row>
    <row r="15" spans="1:17" s="11" customFormat="1">
      <c r="A15" s="10"/>
      <c r="H15" s="15"/>
      <c r="I15" s="16"/>
      <c r="J15" s="16"/>
      <c r="K15" s="16"/>
      <c r="L15" s="16"/>
      <c r="M15" s="16"/>
      <c r="N15" s="16"/>
      <c r="O15" s="16"/>
      <c r="P15" s="16"/>
      <c r="Q15" s="17"/>
    </row>
    <row r="16" spans="1:17" s="11" customFormat="1">
      <c r="A16" s="10"/>
      <c r="H16" s="15"/>
      <c r="I16" s="16"/>
      <c r="J16" s="16"/>
      <c r="K16" s="16"/>
      <c r="L16" s="16"/>
      <c r="M16" s="16"/>
      <c r="N16" s="16"/>
      <c r="O16" s="16"/>
      <c r="P16" s="16"/>
      <c r="Q16" s="17"/>
    </row>
    <row r="17" spans="1:17" s="11" customFormat="1">
      <c r="A17" s="10"/>
      <c r="H17" s="15"/>
      <c r="I17" s="16"/>
      <c r="J17" s="16"/>
      <c r="K17" s="16"/>
      <c r="L17" s="16"/>
      <c r="M17" s="16"/>
      <c r="N17" s="16"/>
      <c r="O17" s="16"/>
      <c r="P17" s="16"/>
      <c r="Q17" s="17"/>
    </row>
    <row r="18" spans="1:17" s="11" customFormat="1" ht="13.5" thickBot="1">
      <c r="A18" s="10"/>
      <c r="H18" s="19"/>
      <c r="I18" s="20"/>
      <c r="J18" s="20"/>
      <c r="K18" s="20"/>
      <c r="L18" s="20"/>
      <c r="M18" s="20"/>
      <c r="N18" s="20"/>
      <c r="O18" s="20"/>
      <c r="P18" s="20"/>
      <c r="Q18" s="21"/>
    </row>
  </sheetData>
  <mergeCells count="10">
    <mergeCell ref="B3:B4"/>
    <mergeCell ref="C3:C4"/>
    <mergeCell ref="D3:D4"/>
    <mergeCell ref="E3:E4"/>
    <mergeCell ref="F3:G3"/>
    <mergeCell ref="M3:N3"/>
    <mergeCell ref="O3:P3"/>
    <mergeCell ref="Q3:Q4"/>
    <mergeCell ref="H3:H4"/>
    <mergeCell ref="I3:L3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373B-4961-4139-AAAA-4D0437095036}">
  <dimension ref="A1:AC13"/>
  <sheetViews>
    <sheetView zoomScale="125" workbookViewId="0">
      <selection activeCell="G17" sqref="G17"/>
    </sheetView>
  </sheetViews>
  <sheetFormatPr defaultColWidth="8.81640625" defaultRowHeight="14.5"/>
  <cols>
    <col min="1" max="1" width="6.453125" bestFit="1" customWidth="1"/>
    <col min="2" max="2" width="18.453125" bestFit="1" customWidth="1"/>
    <col min="3" max="3" width="9.453125" bestFit="1" customWidth="1"/>
    <col min="4" max="4" width="11.1796875" bestFit="1" customWidth="1"/>
    <col min="5" max="5" width="11" bestFit="1" customWidth="1"/>
    <col min="6" max="6" width="7.453125" bestFit="1" customWidth="1"/>
    <col min="7" max="7" width="10" bestFit="1" customWidth="1"/>
    <col min="8" max="8" width="9.453125" bestFit="1" customWidth="1"/>
    <col min="9" max="9" width="11.453125" bestFit="1" customWidth="1"/>
    <col min="10" max="10" width="10.1796875" hidden="1" customWidth="1"/>
    <col min="11" max="11" width="13.1796875" bestFit="1" customWidth="1"/>
    <col min="12" max="12" width="10.81640625" bestFit="1" customWidth="1"/>
    <col min="13" max="13" width="10.81640625" customWidth="1"/>
    <col min="14" max="14" width="9.453125" bestFit="1" customWidth="1"/>
    <col min="15" max="15" width="8.453125" bestFit="1" customWidth="1"/>
    <col min="16" max="16" width="12.81640625" bestFit="1" customWidth="1"/>
    <col min="17" max="17" width="14.54296875" bestFit="1" customWidth="1"/>
    <col min="18" max="18" width="14" bestFit="1" customWidth="1"/>
    <col min="19" max="19" width="12" bestFit="1" customWidth="1"/>
    <col min="20" max="20" width="10.54296875" bestFit="1" customWidth="1"/>
    <col min="21" max="21" width="9" bestFit="1" customWidth="1"/>
    <col min="22" max="22" width="9.54296875" bestFit="1" customWidth="1"/>
    <col min="23" max="23" width="9" bestFit="1" customWidth="1"/>
    <col min="24" max="24" width="11.54296875" customWidth="1"/>
    <col min="25" max="26" width="9" bestFit="1" customWidth="1"/>
    <col min="27" max="27" width="9.453125" bestFit="1" customWidth="1"/>
  </cols>
  <sheetData>
    <row r="1" spans="1:29" ht="15" thickBo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</row>
    <row r="2" spans="1:29" ht="15.5" thickTop="1" thickBot="1">
      <c r="A2" s="111"/>
      <c r="B2" s="112" t="s">
        <v>65</v>
      </c>
      <c r="C2" s="208" t="s">
        <v>6</v>
      </c>
      <c r="D2" s="209"/>
      <c r="E2" s="209"/>
      <c r="F2" s="210"/>
      <c r="G2" s="111"/>
      <c r="H2" s="111"/>
      <c r="I2" s="111"/>
      <c r="J2" s="111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1"/>
      <c r="Z2" s="111"/>
      <c r="AA2" s="111"/>
    </row>
    <row r="3" spans="1:29" ht="15.5" thickTop="1" thickBot="1">
      <c r="A3" s="111"/>
      <c r="B3" s="112" t="s">
        <v>66</v>
      </c>
      <c r="C3" s="208" t="s">
        <v>67</v>
      </c>
      <c r="D3" s="209"/>
      <c r="E3" s="209"/>
      <c r="F3" s="210"/>
      <c r="G3" s="111"/>
      <c r="H3" s="111"/>
      <c r="I3" s="111"/>
      <c r="J3" s="114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1"/>
      <c r="V3" s="111"/>
      <c r="W3" s="111"/>
      <c r="X3" s="111"/>
      <c r="Y3" s="111"/>
      <c r="Z3" s="111"/>
      <c r="AA3" s="111"/>
    </row>
    <row r="4" spans="1:29" ht="15.5" thickTop="1" thickBot="1">
      <c r="A4" s="111"/>
      <c r="B4" s="112" t="s">
        <v>68</v>
      </c>
      <c r="C4" s="211">
        <f>IF(COUNTA($B$11:$B$11)=0,"",COUNTA($B$11:$B$11))</f>
        <v>1</v>
      </c>
      <c r="D4" s="212"/>
      <c r="E4" s="212"/>
      <c r="F4" s="213"/>
      <c r="G4" s="111"/>
      <c r="H4" s="111"/>
      <c r="I4" s="111"/>
      <c r="J4" s="114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</row>
    <row r="5" spans="1:29" ht="15.5" thickTop="1" thickBot="1">
      <c r="A5" s="111"/>
      <c r="B5" s="112" t="s">
        <v>57</v>
      </c>
      <c r="C5" s="208" t="s">
        <v>116</v>
      </c>
      <c r="D5" s="209"/>
      <c r="E5" s="209"/>
      <c r="F5" s="210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</row>
    <row r="6" spans="1:29" ht="15.5" thickTop="1" thickBot="1">
      <c r="A6" s="111"/>
      <c r="B6" s="112" t="s">
        <v>69</v>
      </c>
      <c r="C6" s="112" t="s">
        <v>70</v>
      </c>
      <c r="D6" s="211" t="s">
        <v>71</v>
      </c>
      <c r="E6" s="213"/>
      <c r="F6" s="116" t="s">
        <v>72</v>
      </c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</row>
    <row r="7" spans="1:29" s="22" customFormat="1" ht="15" thickTop="1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</row>
    <row r="8" spans="1:29" ht="26.25" customHeight="1">
      <c r="A8" s="111"/>
      <c r="B8" s="111"/>
      <c r="C8" s="111"/>
      <c r="D8" s="113"/>
      <c r="E8" s="205"/>
      <c r="F8" s="205"/>
      <c r="G8" s="111"/>
      <c r="H8" s="111"/>
      <c r="I8" s="118" t="s">
        <v>73</v>
      </c>
      <c r="J8" s="114"/>
      <c r="K8" s="119" t="s">
        <v>74</v>
      </c>
      <c r="L8" s="119" t="s">
        <v>74</v>
      </c>
      <c r="M8" s="119" t="s">
        <v>74</v>
      </c>
      <c r="N8" s="119" t="s">
        <v>75</v>
      </c>
      <c r="O8" s="119" t="s">
        <v>74</v>
      </c>
      <c r="P8" s="119" t="s">
        <v>74</v>
      </c>
      <c r="Q8" s="119" t="s">
        <v>74</v>
      </c>
      <c r="R8" s="119" t="s">
        <v>74</v>
      </c>
      <c r="S8" s="119" t="s">
        <v>74</v>
      </c>
      <c r="T8" s="119" t="s">
        <v>74</v>
      </c>
      <c r="U8" s="119" t="s">
        <v>74</v>
      </c>
      <c r="V8" s="120"/>
      <c r="W8" s="121"/>
      <c r="X8" s="111"/>
      <c r="Y8" s="111"/>
      <c r="Z8" s="111"/>
      <c r="AA8" s="111"/>
      <c r="AB8" s="83"/>
      <c r="AC8" s="83"/>
    </row>
    <row r="9" spans="1:29" ht="15" thickBot="1">
      <c r="A9" s="111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</row>
    <row r="10" spans="1:29" ht="58" thickBot="1">
      <c r="A10" s="111"/>
      <c r="B10" s="122" t="s">
        <v>76</v>
      </c>
      <c r="C10" s="123" t="s">
        <v>77</v>
      </c>
      <c r="D10" s="123" t="s">
        <v>78</v>
      </c>
      <c r="E10" s="123" t="s">
        <v>79</v>
      </c>
      <c r="F10" s="123" t="s">
        <v>80</v>
      </c>
      <c r="G10" s="124" t="s">
        <v>81</v>
      </c>
      <c r="H10" s="123" t="s">
        <v>82</v>
      </c>
      <c r="I10" s="125" t="s">
        <v>7</v>
      </c>
      <c r="J10" s="117"/>
      <c r="K10" s="126" t="s">
        <v>114</v>
      </c>
      <c r="L10" s="127" t="s">
        <v>83</v>
      </c>
      <c r="M10" s="127" t="s">
        <v>84</v>
      </c>
      <c r="N10" s="127" t="s">
        <v>85</v>
      </c>
      <c r="O10" s="127" t="s">
        <v>86</v>
      </c>
      <c r="P10" s="127" t="s">
        <v>87</v>
      </c>
      <c r="Q10" s="127" t="s">
        <v>88</v>
      </c>
      <c r="R10" s="127" t="s">
        <v>89</v>
      </c>
      <c r="S10" s="127" t="s">
        <v>90</v>
      </c>
      <c r="T10" s="127" t="s">
        <v>91</v>
      </c>
      <c r="U10" s="127" t="s">
        <v>92</v>
      </c>
      <c r="V10" s="127" t="s">
        <v>113</v>
      </c>
      <c r="W10" s="127"/>
      <c r="X10" s="128" t="s">
        <v>93</v>
      </c>
      <c r="Y10" s="128"/>
      <c r="Z10" s="129" t="s">
        <v>94</v>
      </c>
      <c r="AA10" s="130" t="s">
        <v>95</v>
      </c>
    </row>
    <row r="11" spans="1:29">
      <c r="A11" s="111"/>
      <c r="B11" s="131" t="s">
        <v>96</v>
      </c>
      <c r="C11" s="132" t="s">
        <v>97</v>
      </c>
      <c r="D11" s="133">
        <v>0</v>
      </c>
      <c r="E11" s="134">
        <v>750</v>
      </c>
      <c r="F11" s="132" t="s">
        <v>47</v>
      </c>
      <c r="G11" s="134">
        <f>IFERROR(IF($B11="",0,IF($I11&lt;&gt;$F11,$E11/$G$8,$E11)),0)</f>
        <v>750</v>
      </c>
      <c r="H11" s="135" t="str">
        <f>IF($B11="","",IF($F11="","",$I11))</f>
        <v>EUR</v>
      </c>
      <c r="I11" s="136" t="s">
        <v>47</v>
      </c>
      <c r="J11" s="117"/>
      <c r="K11" s="137">
        <v>6071.42</v>
      </c>
      <c r="L11" s="138">
        <v>1828.46</v>
      </c>
      <c r="M11" s="138">
        <v>570.30999999999995</v>
      </c>
      <c r="N11" s="138">
        <v>505.96</v>
      </c>
      <c r="O11" s="138">
        <v>1011.9</v>
      </c>
      <c r="P11" s="138">
        <v>0</v>
      </c>
      <c r="Q11" s="138">
        <v>96.37</v>
      </c>
      <c r="R11" s="138">
        <v>216.83</v>
      </c>
      <c r="S11" s="138">
        <v>378.82</v>
      </c>
      <c r="T11" s="138">
        <v>60.71</v>
      </c>
      <c r="U11" s="138">
        <v>2.73</v>
      </c>
      <c r="V11" s="138">
        <v>0</v>
      </c>
      <c r="W11" s="138">
        <v>0</v>
      </c>
      <c r="X11" s="139">
        <f>ROUND(SUM($K11:$W11),2)</f>
        <v>10743.51</v>
      </c>
      <c r="Y11" s="140">
        <f>ROUND(MAX(SUMPRODUCT(($K$8:$W$8="Y")*($K11:$W11))*$D11,$G11),2)</f>
        <v>750</v>
      </c>
      <c r="Z11" s="140">
        <f>ROUND(IF($C$6="V2",SUM($X11:$Y11)*20%,0),2)</f>
        <v>0</v>
      </c>
      <c r="AA11" s="141">
        <f t="shared" ref="AA11" si="0">ROUND(SUM($X11:$Z11),2)</f>
        <v>11493.51</v>
      </c>
    </row>
    <row r="12" spans="1:29" ht="15" thickBot="1">
      <c r="A12" s="111"/>
      <c r="B12" s="142"/>
      <c r="C12" s="142"/>
      <c r="D12" s="142"/>
      <c r="E12" s="142"/>
      <c r="F12" s="142"/>
      <c r="G12" s="142"/>
      <c r="H12" s="142"/>
      <c r="I12" s="143"/>
      <c r="J12" s="117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3"/>
      <c r="V12" s="143"/>
      <c r="W12" s="143"/>
      <c r="X12" s="143"/>
      <c r="Y12" s="143"/>
      <c r="Z12" s="143"/>
      <c r="AA12" s="111"/>
    </row>
    <row r="13" spans="1:29" ht="18" thickBot="1">
      <c r="A13" s="111"/>
      <c r="B13" s="206" t="s">
        <v>98</v>
      </c>
      <c r="C13" s="207"/>
      <c r="D13" s="207"/>
      <c r="E13" s="207"/>
      <c r="F13" s="207"/>
      <c r="G13" s="207"/>
      <c r="H13" s="207"/>
      <c r="I13" s="145" t="str">
        <f>IF($I$11="","",$I$11)</f>
        <v>EUR</v>
      </c>
      <c r="J13" s="117"/>
      <c r="K13" s="146">
        <f>ROUND(SUM((K$11:K$11)),2)</f>
        <v>6071.42</v>
      </c>
      <c r="L13" s="147">
        <f>ROUND(SUM((L$11:L$11)),2)</f>
        <v>1828.46</v>
      </c>
      <c r="M13" s="147">
        <f t="shared" ref="M13" si="1">ROUND(SUM((M$11:M$11)),2)</f>
        <v>570.30999999999995</v>
      </c>
      <c r="N13" s="147">
        <f t="shared" ref="N13:T13" si="2">ROUND(SUM((N$11:N$11)),2)</f>
        <v>505.96</v>
      </c>
      <c r="O13" s="147">
        <f t="shared" si="2"/>
        <v>1011.9</v>
      </c>
      <c r="P13" s="147">
        <f t="shared" si="2"/>
        <v>0</v>
      </c>
      <c r="Q13" s="147">
        <f t="shared" si="2"/>
        <v>96.37</v>
      </c>
      <c r="R13" s="147">
        <f t="shared" si="2"/>
        <v>216.83</v>
      </c>
      <c r="S13" s="147">
        <f t="shared" si="2"/>
        <v>378.82</v>
      </c>
      <c r="T13" s="147">
        <f t="shared" si="2"/>
        <v>60.71</v>
      </c>
      <c r="U13" s="147">
        <f>ROUND(SUM((U$11:U$11)),2)</f>
        <v>2.73</v>
      </c>
      <c r="V13" s="147">
        <f>ROUND(SUM((V$11:V$11)),2)</f>
        <v>0</v>
      </c>
      <c r="W13" s="147">
        <f>ROUND(SUM((W$11:W$11)),2)</f>
        <v>0</v>
      </c>
      <c r="X13" s="148">
        <f>ROUND(SUM($K13:$W13),2)</f>
        <v>10743.51</v>
      </c>
      <c r="Y13" s="147">
        <f>ROUND(SUM((Y$11:Y$11)),2)</f>
        <v>750</v>
      </c>
      <c r="Z13" s="149">
        <f>ROUND(IF($C$6="V2",SUM($X13:$Y13)*20%,0),2)</f>
        <v>0</v>
      </c>
      <c r="AA13" s="150">
        <f>ROUND(SUM($X13:$Z13),2)</f>
        <v>11493.51</v>
      </c>
    </row>
  </sheetData>
  <mergeCells count="7">
    <mergeCell ref="E8:F8"/>
    <mergeCell ref="B13:H13"/>
    <mergeCell ref="C2:F2"/>
    <mergeCell ref="C3:F3"/>
    <mergeCell ref="C4:F4"/>
    <mergeCell ref="C5:F5"/>
    <mergeCell ref="D6:E6"/>
  </mergeCells>
  <phoneticPr fontId="3" type="noConversion"/>
  <dataValidations count="2">
    <dataValidation type="textLength" operator="lessThanOrEqual" allowBlank="1" showErrorMessage="1" errorTitle="Text Limit" error="Only 50 or less than 50 characters." sqref="K10:W10" xr:uid="{59D6C1D3-092D-EF41-9479-3971E62F9F03}">
      <formula1>50</formula1>
    </dataValidation>
    <dataValidation type="list" allowBlank="1" showInputMessage="1" showErrorMessage="1" sqref="K8:W8" xr:uid="{CF0F51B9-CA08-CC42-861A-5E5104764F2A}">
      <formula1>"Y,N"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1CCB-014D-4C81-99E7-C5150F29E44F}">
  <dimension ref="A1:K9"/>
  <sheetViews>
    <sheetView workbookViewId="0">
      <selection activeCell="A2" sqref="A2"/>
    </sheetView>
  </sheetViews>
  <sheetFormatPr defaultColWidth="8.54296875" defaultRowHeight="14.5"/>
  <cols>
    <col min="1" max="1" width="14.453125" style="30" customWidth="1"/>
    <col min="2" max="2" width="13.54296875" style="30" customWidth="1"/>
    <col min="3" max="3" width="15.81640625" style="30" customWidth="1"/>
    <col min="4" max="4" width="9.453125" style="30" customWidth="1"/>
    <col min="5" max="6" width="14.54296875" style="30" customWidth="1"/>
    <col min="7" max="16384" width="8.54296875" style="30"/>
  </cols>
  <sheetData>
    <row r="1" spans="1:11" s="26" customFormat="1" ht="58">
      <c r="A1" s="22" t="s">
        <v>99</v>
      </c>
      <c r="B1" s="22" t="s">
        <v>100</v>
      </c>
      <c r="C1" s="22" t="s">
        <v>101</v>
      </c>
      <c r="D1" s="22" t="s">
        <v>102</v>
      </c>
      <c r="E1" s="22" t="s">
        <v>103</v>
      </c>
      <c r="F1" s="110" t="s">
        <v>104</v>
      </c>
      <c r="G1" s="110" t="s">
        <v>105</v>
      </c>
      <c r="H1" s="22" t="s">
        <v>106</v>
      </c>
      <c r="I1" s="22" t="s">
        <v>107</v>
      </c>
      <c r="J1" s="110" t="s">
        <v>108</v>
      </c>
      <c r="K1" s="22" t="s">
        <v>109</v>
      </c>
    </row>
    <row r="2" spans="1:11" s="26" customFormat="1">
      <c r="A2" s="109">
        <f>PN!F15</f>
        <v>12681.736616587186</v>
      </c>
      <c r="B2" s="109">
        <f>PN!F34</f>
        <v>0</v>
      </c>
      <c r="C2" s="109">
        <f>PN!F20</f>
        <v>1331.5823447416547</v>
      </c>
      <c r="D2" s="109">
        <f>PN!F32</f>
        <v>10</v>
      </c>
      <c r="E2" s="109">
        <f>PN!F31</f>
        <v>0</v>
      </c>
      <c r="F2" s="26">
        <f>0</f>
        <v>0</v>
      </c>
      <c r="G2" s="26">
        <v>0</v>
      </c>
      <c r="H2" s="109">
        <f>PN!F29</f>
        <v>0</v>
      </c>
      <c r="I2" s="109">
        <f>PN!F30</f>
        <v>0</v>
      </c>
      <c r="J2" s="26">
        <v>0</v>
      </c>
      <c r="K2" s="26">
        <f>SUM(A2:J2)</f>
        <v>14023.318961328841</v>
      </c>
    </row>
    <row r="3" spans="1:11" s="26" customFormat="1"/>
    <row r="4" spans="1:11" s="26" customFormat="1"/>
    <row r="5" spans="1:11" s="26" customFormat="1"/>
    <row r="6" spans="1:11" s="26" customFormat="1"/>
    <row r="7" spans="1:11" s="26" customFormat="1">
      <c r="A7" s="26" t="s">
        <v>110</v>
      </c>
    </row>
    <row r="8" spans="1:11" s="26" customFormat="1">
      <c r="A8" s="26" t="s">
        <v>111</v>
      </c>
    </row>
    <row r="9" spans="1:11" s="26" customFormat="1">
      <c r="A9" s="26" t="s">
        <v>112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ff829c-5328-4041-8e8f-a41155b380ee" xsi:nil="true"/>
    <lcf76f155ced4ddcb4097134ff3c332f xmlns="d627f54e-f962-403c-9056-fc9f08248a0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AAA55CC3C3BD834BA343262FD5D71E76" ma:contentTypeVersion="18" ma:contentTypeDescription="新建文档。" ma:contentTypeScope="" ma:versionID="3f14a2da25cd2f8bc5bf0c3f1f3910d8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22cfa7148e5bbb6ef959ad49ea3ec3a1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图像标记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A9B423-83D3-49E0-BE6D-5522DEF8F0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81C1AA-15EC-4ADB-A46F-B6AE36F878FA}">
  <ds:schemaRefs>
    <ds:schemaRef ds:uri="http://schemas.microsoft.com/office/2006/metadata/properties"/>
    <ds:schemaRef ds:uri="http://schemas.microsoft.com/office/infopath/2007/PartnerControls"/>
    <ds:schemaRef ds:uri="00ff829c-5328-4041-8e8f-a41155b380ee"/>
    <ds:schemaRef ds:uri="d627f54e-f962-403c-9056-fc9f08248a08"/>
  </ds:schemaRefs>
</ds:datastoreItem>
</file>

<file path=customXml/itemProps3.xml><?xml version="1.0" encoding="utf-8"?>
<ds:datastoreItem xmlns:ds="http://schemas.openxmlformats.org/officeDocument/2006/customXml" ds:itemID="{6BD45148-4655-418B-A6FF-F90E7E5798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27f54e-f962-403c-9056-fc9f08248a08"/>
    <ds:schemaRef ds:uri="00ff829c-5328-4041-8e8f-a41155b38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PN</vt:lpstr>
      <vt:lpstr>Italy</vt:lpstr>
      <vt:lpstr>Italy EE</vt:lpstr>
      <vt:lpstr>Italy-L</vt:lpstr>
      <vt:lpstr>FI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</dc:creator>
  <cp:keywords/>
  <dc:description/>
  <cp:lastModifiedBy>LIU, SiYu</cp:lastModifiedBy>
  <cp:revision/>
  <dcterms:created xsi:type="dcterms:W3CDTF">2019-04-02T09:07:35Z</dcterms:created>
  <dcterms:modified xsi:type="dcterms:W3CDTF">2026-03-16T02:55:00Z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WorkbookGuid">
    <vt:lpwstr>a8ef3fbe-4e27-48f7-a0b1-3e7729cc8ae0</vt:lpwstr>
  </property>
  <property fmtid="{D5CDD505-2E9C-101B-9397-08002B2CF9AE}" pid="4" name="MediaServiceImageTags">
    <vt:lpwstr/>
  </property>
</Properties>
</file>