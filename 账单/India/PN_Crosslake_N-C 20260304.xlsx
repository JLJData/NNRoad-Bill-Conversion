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271AA059-DCD3-4658-90DE-04AF47FE15DB}" xr6:coauthVersionLast="47" xr6:coauthVersionMax="47" xr10:uidLastSave="{00000000-0000-0000-0000-000000000000}"/>
  <bookViews>
    <workbookView xWindow="-110" yWindow="-110" windowWidth="25820" windowHeight="15500" xr2:uid="{F8FFF0BD-3D2E-4E7E-A08D-1F0322B984DB}"/>
  </bookViews>
  <sheets>
    <sheet name="PN" sheetId="7" r:id="rId1"/>
    <sheet name="India" sheetId="2" r:id="rId2"/>
    <sheet name="India EE" sheetId="6" r:id="rId3"/>
    <sheet name="India-L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7" l="1"/>
  <c r="H9" i="2" s="1"/>
  <c r="E10" i="3"/>
  <c r="AB10" i="3" l="1"/>
  <c r="AA10" i="3"/>
  <c r="Z10" i="3"/>
  <c r="Y10" i="3"/>
  <c r="X10" i="3"/>
  <c r="W10" i="3"/>
  <c r="U10" i="3"/>
  <c r="T10" i="3"/>
  <c r="S10" i="3"/>
  <c r="F10" i="3"/>
  <c r="R10" i="3" l="1"/>
  <c r="Q10" i="3" s="1"/>
  <c r="P9" i="2"/>
  <c r="P6" i="2" s="1"/>
  <c r="O9" i="6"/>
  <c r="C9" i="6"/>
  <c r="B9" i="6"/>
  <c r="D9" i="6"/>
  <c r="F10" i="7" l="1"/>
  <c r="A28" i="7" l="1"/>
  <c r="F32" i="7"/>
  <c r="F30" i="7"/>
  <c r="F31" i="7"/>
  <c r="F29" i="7"/>
  <c r="G9" i="6"/>
  <c r="F9" i="6"/>
  <c r="E9" i="6"/>
  <c r="C2" i="2"/>
  <c r="B2" i="2"/>
  <c r="A21" i="7" s="1"/>
  <c r="E14" i="7" l="1"/>
  <c r="V9" i="6" l="1"/>
  <c r="U9" i="6"/>
  <c r="T9" i="6"/>
  <c r="S9" i="2"/>
  <c r="L9" i="2"/>
  <c r="M9" i="2"/>
  <c r="N9" i="2"/>
  <c r="O9" i="2"/>
  <c r="Q9" i="2"/>
  <c r="K9" i="2"/>
  <c r="K9" i="6"/>
  <c r="L9" i="6"/>
  <c r="M9" i="6"/>
  <c r="N9" i="6"/>
  <c r="P9" i="6"/>
  <c r="J9" i="2" l="1"/>
  <c r="J9" i="6"/>
  <c r="R9" i="6"/>
  <c r="F24" i="2"/>
  <c r="F22" i="2" s="1"/>
  <c r="E16" i="7" l="1"/>
  <c r="F9" i="2"/>
  <c r="F34" i="7" s="1"/>
  <c r="Q9" i="6"/>
  <c r="A1" i="6"/>
  <c r="E21" i="7" l="1"/>
  <c r="F16" i="7"/>
  <c r="I9" i="6"/>
  <c r="S9" i="6"/>
  <c r="F21" i="7" l="1"/>
  <c r="F20" i="7" s="1"/>
  <c r="E20" i="7"/>
  <c r="H9" i="6"/>
  <c r="E22" i="2"/>
  <c r="S6" i="2"/>
  <c r="Q6" i="2"/>
  <c r="O6" i="2"/>
  <c r="N6" i="2"/>
  <c r="M6" i="2"/>
  <c r="L6" i="2"/>
  <c r="B9" i="2"/>
  <c r="A1" i="2"/>
  <c r="F6" i="2"/>
  <c r="A17" i="7" l="1"/>
  <c r="A16" i="7"/>
  <c r="K6" i="2"/>
  <c r="R9" i="2"/>
  <c r="E17" i="7" l="1"/>
  <c r="F17" i="7" s="1"/>
  <c r="F15" i="7" s="1"/>
  <c r="I9" i="2"/>
  <c r="R6" i="2"/>
  <c r="J6" i="2"/>
  <c r="H6" i="2"/>
  <c r="I6" i="2" l="1"/>
  <c r="G9" i="2"/>
  <c r="E9" i="2" s="1"/>
  <c r="E19" i="2" s="1"/>
  <c r="E15" i="7"/>
  <c r="E25" i="7" s="1"/>
  <c r="F25" i="7"/>
  <c r="F28" i="7" s="1"/>
  <c r="F33" i="7" s="1"/>
  <c r="F35" i="7" s="1"/>
  <c r="G6" i="2" l="1"/>
  <c r="E6" i="2"/>
</calcChain>
</file>

<file path=xl/sharedStrings.xml><?xml version="1.0" encoding="utf-8"?>
<sst xmlns="http://schemas.openxmlformats.org/spreadsheetml/2006/main" count="134" uniqueCount="92">
  <si>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</si>
  <si>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333 W San Carlos St., Suite 600, San Jose, CA 95113, USA</t>
    <phoneticPr fontId="6" type="noConversion"/>
  </si>
  <si>
    <t>USA: +1 (669) 377-5080 | www.NNRoad.com</t>
    <phoneticPr fontId="6" type="noConversion"/>
  </si>
  <si>
    <t>INVOICE</t>
  </si>
  <si>
    <t>Bill to:</t>
  </si>
  <si>
    <t>Company name:</t>
  </si>
  <si>
    <t>Crosslake Fiber USA LP</t>
  </si>
  <si>
    <t>Currency</t>
  </si>
  <si>
    <t>USD</t>
  </si>
  <si>
    <t>Client ID:</t>
  </si>
  <si>
    <t>CUS1506</t>
  </si>
  <si>
    <t>Invoice number</t>
  </si>
  <si>
    <t>Address:</t>
  </si>
  <si>
    <t>c/o Tiger Infrastructure Partners 590 Madison Avenue, 41st Floor New York, NY 10022 United States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</si>
  <si>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</si>
  <si>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</si>
  <si>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</si>
  <si>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</si>
  <si>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</si>
  <si>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</si>
  <si>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</si>
  <si>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</si>
  <si>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</si>
  <si>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</si>
  <si>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</si>
  <si>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</si>
  <si>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</si>
  <si>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</si>
  <si>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</si>
  <si>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</si>
  <si>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</si>
  <si>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</si>
  <si>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</si>
  <si>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</si>
  <si>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</si>
  <si>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</si>
  <si>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Pay Period</t>
  </si>
  <si>
    <t>ER</t>
    <phoneticPr fontId="1" type="noConversion"/>
  </si>
  <si>
    <t>Sum</t>
    <phoneticPr fontId="1" type="noConversion"/>
  </si>
  <si>
    <t>Business
Tax</t>
    <phoneticPr fontId="1" type="noConversion"/>
  </si>
  <si>
    <t>Management Fee
Fee</t>
  </si>
  <si>
    <t>Gross Salary</t>
    <phoneticPr fontId="1" type="noConversion"/>
  </si>
  <si>
    <t>Expense Claim</t>
    <phoneticPr fontId="1" type="noConversion"/>
  </si>
  <si>
    <t>Subtotal</t>
    <phoneticPr fontId="1" type="noConversion"/>
  </si>
  <si>
    <t>Recurring
Fee</t>
    <phoneticPr fontId="1" type="noConversion"/>
  </si>
  <si>
    <t>Expense
Fee</t>
    <phoneticPr fontId="1" type="noConversion"/>
  </si>
  <si>
    <t xml:space="preserve">Basic salary </t>
  </si>
  <si>
    <t>HRA</t>
  </si>
  <si>
    <t xml:space="preserve">Telephone allowance </t>
  </si>
  <si>
    <t>LTA</t>
  </si>
  <si>
    <t>Special allowance</t>
  </si>
  <si>
    <t>Bonus</t>
  </si>
  <si>
    <t>Other</t>
    <phoneticPr fontId="2" type="noConversion"/>
  </si>
  <si>
    <t>Expense
Claim</t>
    <phoneticPr fontId="1" type="noConversion"/>
  </si>
  <si>
    <t>(INR)</t>
    <phoneticPr fontId="1" type="noConversion"/>
  </si>
  <si>
    <t>(USD)</t>
    <phoneticPr fontId="1" type="noConversion"/>
  </si>
  <si>
    <t>Other Fee</t>
    <phoneticPr fontId="1" type="noConversion"/>
  </si>
  <si>
    <t>Total</t>
    <phoneticPr fontId="1" type="noConversion"/>
  </si>
  <si>
    <t>Outstanding payment </t>
  </si>
  <si>
    <t>FX difference </t>
  </si>
  <si>
    <t>Interests of delay</t>
  </si>
  <si>
    <t>Bank Charges</t>
  </si>
  <si>
    <t>Invoice adjustment </t>
  </si>
  <si>
    <t>EE</t>
    <phoneticPr fontId="1" type="noConversion"/>
  </si>
  <si>
    <t>Client Code</t>
  </si>
  <si>
    <t>Client Name</t>
  </si>
  <si>
    <t>EE Code</t>
  </si>
  <si>
    <t>EE Name</t>
  </si>
  <si>
    <t>Net
Income</t>
    <phoneticPr fontId="1" type="noConversion"/>
  </si>
  <si>
    <t>Mandatory Contribution</t>
    <phoneticPr fontId="1" type="noConversion"/>
  </si>
  <si>
    <t>Deduction</t>
    <phoneticPr fontId="1" type="noConversion"/>
  </si>
  <si>
    <t>IIT</t>
    <phoneticPr fontId="1" type="noConversion"/>
  </si>
  <si>
    <t>From</t>
  </si>
  <si>
    <t>To</t>
  </si>
  <si>
    <t>Professional
Tax</t>
  </si>
  <si>
    <t>EOR/PEO(INR)</t>
  </si>
  <si>
    <t>ER</t>
    <phoneticPr fontId="2" type="noConversion"/>
  </si>
  <si>
    <t>EE</t>
    <phoneticPr fontId="2" type="noConversion"/>
  </si>
  <si>
    <t>Gross Salary</t>
    <phoneticPr fontId="2" type="noConversion"/>
  </si>
  <si>
    <t>Expense Claim</t>
    <phoneticPr fontId="2" type="noConversion"/>
  </si>
  <si>
    <t>Net
Income</t>
    <phoneticPr fontId="2" type="noConversion"/>
  </si>
  <si>
    <t>Mandatory Contribution</t>
    <phoneticPr fontId="2" type="noConversion"/>
  </si>
  <si>
    <t>Deduction</t>
    <phoneticPr fontId="2" type="noConversion"/>
  </si>
  <si>
    <t>IIT</t>
    <phoneticPr fontId="2" type="noConversion"/>
  </si>
  <si>
    <t>Subtotal</t>
    <phoneticPr fontId="2" type="noConversion"/>
  </si>
  <si>
    <t>Expense
Claim</t>
    <phoneticPr fontId="2" type="noConversion"/>
  </si>
  <si>
    <r>
      <t xml:space="preserve">Professional
</t>
    </r>
    <r>
      <rPr>
        <sz val="11"/>
        <color rgb="FFFF0000"/>
        <rFont val="Calibri (Body)"/>
      </rPr>
      <t>tax</t>
    </r>
  </si>
  <si>
    <t>EOR/PEO</t>
  </si>
  <si>
    <t xml:space="preserve">Rekha </t>
  </si>
  <si>
    <t>2026/3/1</t>
  </si>
  <si>
    <t>2026/3/31</t>
  </si>
  <si>
    <t>PN-CUS1506-030420261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</si>
</sst>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_ "/>
    <numFmt numFmtId="167" formatCode="#,##0.0000_);[Red]\(#,##0.0000\)"/>
    <numFmt numFmtId="168" formatCode="0.0000"/>
  </numFmts>
  <fonts count="36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name val="Comic Sans MS"/>
      <family val="4"/>
    </font>
    <font>
      <sz val="11"/>
      <color theme="1"/>
      <name val="Calibri"/>
      <family val="2"/>
      <charset val="134"/>
      <scheme val="minor"/>
    </font>
    <font>
      <sz val="11"/>
      <color rgb="FFFF0000"/>
      <name val="Calibri (Body)"/>
    </font>
    <font>
      <sz val="10"/>
      <color theme="1"/>
      <name val="Calibri"/>
      <family val="3"/>
      <charset val="134"/>
      <scheme val="minor"/>
    </font>
    <font>
      <sz val="11"/>
      <color theme="1"/>
      <name val="Calibri"/>
      <family val="4"/>
      <charset val="134"/>
      <scheme val="minor"/>
    </font>
    <font>
      <b/>
      <sz val="11"/>
      <color theme="1"/>
      <name val="Calibri"/>
      <family val="4"/>
      <charset val="134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FED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/>
      <top style="medium">
        <color theme="8" tint="0.59996337778862885"/>
      </top>
      <bottom/>
      <diagonal/>
    </border>
    <border>
      <left/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/>
      <top/>
      <bottom/>
      <diagonal/>
    </border>
    <border>
      <left/>
      <right style="medium">
        <color theme="8" tint="0.59996337778862885"/>
      </right>
      <top/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 style="medium">
        <color theme="8" tint="0.59996337778862885"/>
      </right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  <border>
      <left style="hair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indexed="64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indexed="64"/>
      </right>
      <top style="medium">
        <color auto="1"/>
      </top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165" fontId="5" fillId="0" borderId="0" applyFont="0" applyFill="0" applyBorder="0" applyAlignment="0" applyProtection="0"/>
    <xf numFmtId="0" fontId="5" fillId="0" borderId="0"/>
    <xf numFmtId="0" fontId="12" fillId="0" borderId="0"/>
  </cellStyleXfs>
  <cellXfs count="16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49" fontId="0" fillId="2" borderId="0" xfId="0" applyNumberFormat="1" applyFill="1">
      <alignment vertical="center"/>
    </xf>
    <xf numFmtId="0" fontId="4" fillId="0" borderId="0" xfId="0" applyFont="1" applyAlignment="1">
      <alignment horizontal="left" vertical="center"/>
    </xf>
    <xf numFmtId="0" fontId="4" fillId="0" borderId="9" xfId="0" applyFont="1" applyBorder="1">
      <alignment vertical="center"/>
    </xf>
    <xf numFmtId="0" fontId="4" fillId="0" borderId="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0" fillId="0" borderId="0" xfId="0" applyNumberFormat="1">
      <alignment vertical="center"/>
    </xf>
    <xf numFmtId="40" fontId="0" fillId="2" borderId="11" xfId="0" applyNumberFormat="1" applyFill="1" applyBorder="1">
      <alignment vertical="center"/>
    </xf>
    <xf numFmtId="40" fontId="4" fillId="2" borderId="12" xfId="0" applyNumberFormat="1" applyFont="1" applyFill="1" applyBorder="1">
      <alignment vertical="center"/>
    </xf>
    <xf numFmtId="40" fontId="4" fillId="2" borderId="13" xfId="0" applyNumberFormat="1" applyFont="1" applyFill="1" applyBorder="1">
      <alignment vertical="center"/>
    </xf>
    <xf numFmtId="40" fontId="4" fillId="2" borderId="0" xfId="0" applyNumberFormat="1" applyFont="1" applyFill="1">
      <alignment vertical="center"/>
    </xf>
    <xf numFmtId="40" fontId="4" fillId="2" borderId="11" xfId="0" applyNumberFormat="1" applyFont="1" applyFill="1" applyBorder="1">
      <alignment vertical="center"/>
    </xf>
    <xf numFmtId="40" fontId="0" fillId="2" borderId="14" xfId="0" applyNumberFormat="1" applyFill="1" applyBorder="1">
      <alignment vertical="center"/>
    </xf>
    <xf numFmtId="40" fontId="4" fillId="2" borderId="15" xfId="0" applyNumberFormat="1" applyFont="1" applyFill="1" applyBorder="1">
      <alignment vertical="center"/>
    </xf>
    <xf numFmtId="40" fontId="4" fillId="2" borderId="16" xfId="0" applyNumberFormat="1" applyFont="1" applyFill="1" applyBorder="1">
      <alignment vertical="center"/>
    </xf>
    <xf numFmtId="40" fontId="4" fillId="2" borderId="14" xfId="0" applyNumberFormat="1" applyFont="1" applyFill="1" applyBorder="1">
      <alignment vertical="center"/>
    </xf>
    <xf numFmtId="40" fontId="0" fillId="2" borderId="15" xfId="0" applyNumberFormat="1" applyFill="1" applyBorder="1">
      <alignment vertical="center"/>
    </xf>
    <xf numFmtId="40" fontId="0" fillId="2" borderId="16" xfId="0" applyNumberFormat="1" applyFill="1" applyBorder="1">
      <alignment vertical="center"/>
    </xf>
    <xf numFmtId="40" fontId="0" fillId="2" borderId="0" xfId="0" applyNumberFormat="1" applyFill="1">
      <alignment vertical="center"/>
    </xf>
    <xf numFmtId="40" fontId="0" fillId="2" borderId="17" xfId="0" applyNumberFormat="1" applyFill="1" applyBorder="1">
      <alignment vertical="center"/>
    </xf>
    <xf numFmtId="40" fontId="0" fillId="2" borderId="18" xfId="0" applyNumberFormat="1" applyFill="1" applyBorder="1">
      <alignment vertical="center"/>
    </xf>
    <xf numFmtId="40" fontId="0" fillId="2" borderId="19" xfId="0" applyNumberFormat="1" applyFill="1" applyBorder="1">
      <alignment vertical="center"/>
    </xf>
    <xf numFmtId="40" fontId="0" fillId="0" borderId="0" xfId="0" applyNumberFormat="1">
      <alignment vertical="center"/>
    </xf>
    <xf numFmtId="40" fontId="0" fillId="0" borderId="0" xfId="0" applyNumberFormat="1" applyAlignment="1">
      <alignment horizontal="center" vertical="center"/>
    </xf>
    <xf numFmtId="167" fontId="0" fillId="0" borderId="0" xfId="0" applyNumberFormat="1">
      <alignment vertical="center"/>
    </xf>
    <xf numFmtId="0" fontId="3" fillId="0" borderId="28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4" fillId="0" borderId="8" xfId="0" applyFont="1" applyBorder="1">
      <alignment vertical="center"/>
    </xf>
    <xf numFmtId="40" fontId="9" fillId="2" borderId="15" xfId="0" applyNumberFormat="1" applyFont="1" applyFill="1" applyBorder="1">
      <alignment vertical="center"/>
    </xf>
    <xf numFmtId="0" fontId="10" fillId="0" borderId="0" xfId="0" applyFont="1">
      <alignment vertical="center"/>
    </xf>
    <xf numFmtId="40" fontId="8" fillId="0" borderId="24" xfId="0" applyNumberFormat="1" applyFont="1" applyBorder="1">
      <alignment vertical="center"/>
    </xf>
    <xf numFmtId="40" fontId="8" fillId="0" borderId="2" xfId="0" applyNumberFormat="1" applyFont="1" applyBorder="1">
      <alignment vertical="center"/>
    </xf>
    <xf numFmtId="40" fontId="8" fillId="0" borderId="25" xfId="0" applyNumberFormat="1" applyFont="1" applyBorder="1">
      <alignment vertical="center"/>
    </xf>
    <xf numFmtId="40" fontId="8" fillId="0" borderId="3" xfId="0" applyNumberFormat="1" applyFont="1" applyBorder="1">
      <alignment vertical="center"/>
    </xf>
    <xf numFmtId="0" fontId="13" fillId="0" borderId="0" xfId="3" applyFont="1" applyAlignment="1">
      <alignment vertical="center"/>
    </xf>
    <xf numFmtId="0" fontId="16" fillId="0" borderId="0" xfId="3" applyFont="1" applyAlignment="1">
      <alignment horizontal="right" vertical="center"/>
    </xf>
    <xf numFmtId="0" fontId="13" fillId="0" borderId="0" xfId="3" applyFont="1" applyAlignment="1">
      <alignment horizontal="right" vertical="center"/>
    </xf>
    <xf numFmtId="0" fontId="16" fillId="0" borderId="0" xfId="3" applyFont="1" applyAlignment="1">
      <alignment vertical="center"/>
    </xf>
    <xf numFmtId="0" fontId="19" fillId="0" borderId="0" xfId="3" applyFont="1" applyAlignment="1">
      <alignment horizontal="center" vertical="center"/>
    </xf>
    <xf numFmtId="0" fontId="20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22" fillId="0" borderId="0" xfId="3" applyFont="1" applyAlignment="1">
      <alignment horizontal="right" vertical="center"/>
    </xf>
    <xf numFmtId="0" fontId="22" fillId="0" borderId="0" xfId="3" applyFont="1" applyAlignment="1">
      <alignment vertical="center"/>
    </xf>
    <xf numFmtId="0" fontId="23" fillId="0" borderId="0" xfId="3" applyFont="1" applyAlignment="1">
      <alignment horizontal="right" vertical="center"/>
    </xf>
    <xf numFmtId="0" fontId="23" fillId="0" borderId="0" xfId="3" applyFont="1" applyAlignment="1">
      <alignment vertical="center"/>
    </xf>
    <xf numFmtId="0" fontId="22" fillId="0" borderId="0" xfId="3" applyFont="1" applyAlignment="1">
      <alignment vertical="top" wrapText="1"/>
    </xf>
    <xf numFmtId="14" fontId="22" fillId="0" borderId="0" xfId="3" applyNumberFormat="1" applyFont="1" applyAlignment="1">
      <alignment vertical="center"/>
    </xf>
    <xf numFmtId="0" fontId="24" fillId="0" borderId="0" xfId="3" applyFont="1" applyAlignment="1">
      <alignment horizontal="right" vertical="center"/>
    </xf>
    <xf numFmtId="0" fontId="25" fillId="0" borderId="0" xfId="3" applyFont="1" applyAlignment="1">
      <alignment vertical="center"/>
    </xf>
    <xf numFmtId="14" fontId="25" fillId="0" borderId="0" xfId="3" applyNumberFormat="1" applyFont="1" applyAlignment="1">
      <alignment horizontal="left" vertical="center"/>
    </xf>
    <xf numFmtId="0" fontId="26" fillId="3" borderId="31" xfId="3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/>
    </xf>
    <xf numFmtId="0" fontId="27" fillId="0" borderId="0" xfId="3" applyFont="1" applyAlignment="1">
      <alignment horizontal="right" vertical="center"/>
    </xf>
    <xf numFmtId="0" fontId="27" fillId="0" borderId="0" xfId="3" applyFont="1" applyAlignment="1">
      <alignment vertical="center"/>
    </xf>
    <xf numFmtId="0" fontId="28" fillId="0" borderId="0" xfId="3" applyFont="1" applyAlignment="1">
      <alignment horizontal="left" vertical="center" indent="1"/>
    </xf>
    <xf numFmtId="165" fontId="28" fillId="0" borderId="0" xfId="3" applyNumberFormat="1" applyFont="1" applyAlignment="1">
      <alignment horizontal="left" vertical="center"/>
    </xf>
    <xf numFmtId="164" fontId="11" fillId="0" borderId="34" xfId="3" applyNumberFormat="1" applyFont="1" applyBorder="1" applyAlignment="1">
      <alignment horizontal="left" vertical="center"/>
    </xf>
    <xf numFmtId="166" fontId="29" fillId="0" borderId="0" xfId="3" applyNumberFormat="1" applyFont="1" applyAlignment="1">
      <alignment horizontal="right" vertical="center"/>
    </xf>
    <xf numFmtId="0" fontId="29" fillId="0" borderId="0" xfId="3" applyFont="1" applyAlignment="1">
      <alignment vertical="center"/>
    </xf>
    <xf numFmtId="0" fontId="16" fillId="0" borderId="0" xfId="3" applyFont="1" applyAlignment="1">
      <alignment horizontal="left" vertical="center" indent="3"/>
    </xf>
    <xf numFmtId="165" fontId="16" fillId="0" borderId="0" xfId="3" applyNumberFormat="1" applyFont="1" applyAlignment="1">
      <alignment horizontal="left" vertical="center" indent="1"/>
    </xf>
    <xf numFmtId="164" fontId="16" fillId="0" borderId="34" xfId="3" applyNumberFormat="1" applyFont="1" applyBorder="1" applyAlignment="1">
      <alignment horizontal="left" vertical="center"/>
    </xf>
    <xf numFmtId="166" fontId="30" fillId="0" borderId="0" xfId="3" applyNumberFormat="1" applyFont="1" applyAlignment="1">
      <alignment horizontal="right" vertical="center"/>
    </xf>
    <xf numFmtId="0" fontId="30" fillId="0" borderId="0" xfId="3" applyFont="1" applyAlignment="1">
      <alignment vertical="center"/>
    </xf>
    <xf numFmtId="166" fontId="13" fillId="0" borderId="0" xfId="3" applyNumberFormat="1" applyFont="1" applyAlignment="1">
      <alignment horizontal="right" vertical="center"/>
    </xf>
    <xf numFmtId="0" fontId="16" fillId="0" borderId="0" xfId="3" applyFont="1" applyAlignment="1">
      <alignment horizontal="left" vertical="center" indent="1"/>
    </xf>
    <xf numFmtId="0" fontId="16" fillId="0" borderId="0" xfId="3" applyFont="1" applyAlignment="1">
      <alignment horizontal="center" vertical="center"/>
    </xf>
    <xf numFmtId="165" fontId="16" fillId="0" borderId="0" xfId="3" applyNumberFormat="1" applyFont="1" applyAlignment="1">
      <alignment horizontal="left" vertical="center"/>
    </xf>
    <xf numFmtId="164" fontId="28" fillId="0" borderId="34" xfId="3" applyNumberFormat="1" applyFont="1" applyBorder="1" applyAlignment="1">
      <alignment horizontal="left" vertical="center"/>
    </xf>
    <xf numFmtId="166" fontId="31" fillId="0" borderId="0" xfId="3" applyNumberFormat="1" applyFont="1" applyAlignment="1">
      <alignment horizontal="right" vertical="center"/>
    </xf>
    <xf numFmtId="0" fontId="31" fillId="0" borderId="0" xfId="3" applyFont="1" applyAlignment="1">
      <alignment vertical="center"/>
    </xf>
    <xf numFmtId="0" fontId="16" fillId="0" borderId="0" xfId="3" applyFont="1" applyAlignment="1">
      <alignment horizontal="left" vertical="center" indent="2"/>
    </xf>
    <xf numFmtId="0" fontId="32" fillId="0" borderId="0" xfId="3" applyFont="1" applyAlignment="1">
      <alignment horizontal="left" vertical="center" indent="1"/>
    </xf>
    <xf numFmtId="165" fontId="13" fillId="0" borderId="0" xfId="3" applyNumberFormat="1" applyFont="1" applyAlignment="1">
      <alignment horizontal="left" vertical="center"/>
    </xf>
    <xf numFmtId="164" fontId="13" fillId="0" borderId="34" xfId="3" applyNumberFormat="1" applyFont="1" applyBorder="1" applyAlignment="1">
      <alignment horizontal="left" vertical="center"/>
    </xf>
    <xf numFmtId="165" fontId="33" fillId="0" borderId="36" xfId="3" applyNumberFormat="1" applyFont="1" applyBorder="1" applyAlignment="1">
      <alignment horizontal="left" vertical="center"/>
    </xf>
    <xf numFmtId="164" fontId="33" fillId="0" borderId="37" xfId="3" applyNumberFormat="1" applyFont="1" applyBorder="1" applyAlignment="1">
      <alignment horizontal="left" vertical="center"/>
    </xf>
    <xf numFmtId="0" fontId="33" fillId="0" borderId="0" xfId="3" applyFont="1" applyAlignment="1">
      <alignment vertical="center"/>
    </xf>
    <xf numFmtId="0" fontId="33" fillId="0" borderId="0" xfId="3" applyFont="1" applyAlignment="1">
      <alignment horizontal="center" vertical="center"/>
    </xf>
    <xf numFmtId="165" fontId="33" fillId="0" borderId="0" xfId="3" applyNumberFormat="1" applyFont="1" applyAlignment="1">
      <alignment vertical="center"/>
    </xf>
    <xf numFmtId="164" fontId="33" fillId="0" borderId="0" xfId="3" applyNumberFormat="1" applyFont="1" applyAlignment="1">
      <alignment horizontal="right" vertical="center"/>
    </xf>
    <xf numFmtId="0" fontId="33" fillId="0" borderId="0" xfId="3" applyFont="1" applyAlignment="1">
      <alignment horizontal="right" vertical="center"/>
    </xf>
    <xf numFmtId="0" fontId="34" fillId="0" borderId="0" xfId="3" applyFont="1" applyAlignment="1">
      <alignment vertical="center" wrapText="1"/>
    </xf>
    <xf numFmtId="168" fontId="34" fillId="0" borderId="0" xfId="3" applyNumberFormat="1" applyFont="1" applyAlignment="1">
      <alignment horizontal="left" vertical="center" indent="1"/>
    </xf>
    <xf numFmtId="164" fontId="35" fillId="0" borderId="40" xfId="3" applyNumberFormat="1" applyFont="1" applyBorder="1" applyAlignment="1">
      <alignment horizontal="right" vertical="center"/>
    </xf>
    <xf numFmtId="0" fontId="34" fillId="0" borderId="0" xfId="3" applyFont="1" applyAlignment="1">
      <alignment vertical="center"/>
    </xf>
    <xf numFmtId="164" fontId="35" fillId="0" borderId="42" xfId="3" applyNumberFormat="1" applyFont="1" applyBorder="1" applyAlignment="1">
      <alignment horizontal="right" vertical="center"/>
    </xf>
    <xf numFmtId="40" fontId="33" fillId="0" borderId="0" xfId="3" applyNumberFormat="1" applyFont="1" applyAlignment="1">
      <alignment vertical="center"/>
    </xf>
    <xf numFmtId="164" fontId="35" fillId="0" borderId="45" xfId="3" applyNumberFormat="1" applyFont="1" applyBorder="1" applyAlignment="1">
      <alignment horizontal="right" vertical="center"/>
    </xf>
    <xf numFmtId="164" fontId="32" fillId="0" borderId="42" xfId="3" applyNumberFormat="1" applyFont="1" applyBorder="1" applyAlignment="1">
      <alignment horizontal="right" vertical="center"/>
    </xf>
    <xf numFmtId="0" fontId="32" fillId="0" borderId="0" xfId="3" applyFont="1" applyAlignment="1">
      <alignment vertical="center"/>
    </xf>
    <xf numFmtId="164" fontId="32" fillId="0" borderId="48" xfId="3" applyNumberFormat="1" applyFont="1" applyBorder="1" applyAlignment="1">
      <alignment horizontal="right" vertical="center"/>
    </xf>
    <xf numFmtId="164" fontId="13" fillId="0" borderId="0" xfId="3" applyNumberFormat="1" applyFont="1" applyAlignment="1">
      <alignment vertical="center"/>
    </xf>
    <xf numFmtId="0" fontId="4" fillId="0" borderId="53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40" fontId="4" fillId="2" borderId="54" xfId="0" applyNumberFormat="1" applyFont="1" applyFill="1" applyBorder="1">
      <alignment vertical="center"/>
    </xf>
    <xf numFmtId="40" fontId="4" fillId="2" borderId="55" xfId="0" applyNumberFormat="1" applyFont="1" applyFill="1" applyBorder="1">
      <alignment vertical="center"/>
    </xf>
    <xf numFmtId="40" fontId="0" fillId="2" borderId="55" xfId="0" applyNumberFormat="1" applyFill="1" applyBorder="1">
      <alignment vertical="center"/>
    </xf>
    <xf numFmtId="40" fontId="0" fillId="2" borderId="56" xfId="0" applyNumberFormat="1" applyFill="1" applyBorder="1">
      <alignment vertical="center"/>
    </xf>
    <xf numFmtId="0" fontId="12" fillId="0" borderId="0" xfId="0" applyFont="1">
      <alignment vertical="center"/>
    </xf>
    <xf numFmtId="40" fontId="8" fillId="0" borderId="58" xfId="0" applyNumberFormat="1" applyFont="1" applyBorder="1">
      <alignment vertical="center"/>
    </xf>
    <xf numFmtId="40" fontId="8" fillId="0" borderId="59" xfId="0" applyNumberFormat="1" applyFont="1" applyBorder="1">
      <alignment vertical="center"/>
    </xf>
    <xf numFmtId="49" fontId="0" fillId="0" borderId="0" xfId="0" applyNumberFormat="1">
      <alignment vertical="center"/>
    </xf>
    <xf numFmtId="165" fontId="32" fillId="0" borderId="46" xfId="3" applyNumberFormat="1" applyFont="1" applyBorder="1" applyAlignment="1">
      <alignment horizontal="right" vertical="center"/>
    </xf>
    <xf numFmtId="165" fontId="32" fillId="0" borderId="47" xfId="3" applyNumberFormat="1" applyFont="1" applyBorder="1" applyAlignment="1">
      <alignment horizontal="right" vertical="center"/>
    </xf>
    <xf numFmtId="0" fontId="32" fillId="4" borderId="0" xfId="3" applyFont="1" applyFill="1" applyAlignment="1">
      <alignment horizontal="center"/>
    </xf>
    <xf numFmtId="166" fontId="13" fillId="5" borderId="0" xfId="3" applyNumberFormat="1" applyFont="1" applyFill="1" applyAlignment="1">
      <alignment horizontal="left" vertical="center" wrapText="1" indent="2"/>
    </xf>
    <xf numFmtId="166" fontId="13" fillId="5" borderId="49" xfId="3" applyNumberFormat="1" applyFont="1" applyFill="1" applyBorder="1" applyAlignment="1">
      <alignment horizontal="left" vertical="center" wrapText="1" indent="2"/>
    </xf>
    <xf numFmtId="166" fontId="13" fillId="5" borderId="50" xfId="3" applyNumberFormat="1" applyFont="1" applyFill="1" applyBorder="1" applyAlignment="1">
      <alignment horizontal="left" vertical="center" wrapText="1" indent="2"/>
    </xf>
    <xf numFmtId="165" fontId="35" fillId="0" borderId="41" xfId="3" applyNumberFormat="1" applyFont="1" applyBorder="1" applyAlignment="1">
      <alignment horizontal="right" vertical="center"/>
    </xf>
    <xf numFmtId="165" fontId="35" fillId="0" borderId="0" xfId="3" applyNumberFormat="1" applyFont="1" applyAlignment="1">
      <alignment horizontal="right" vertical="center"/>
    </xf>
    <xf numFmtId="40" fontId="35" fillId="0" borderId="43" xfId="3" applyNumberFormat="1" applyFont="1" applyBorder="1" applyAlignment="1">
      <alignment horizontal="right" vertical="center"/>
    </xf>
    <xf numFmtId="40" fontId="35" fillId="0" borderId="44" xfId="3" applyNumberFormat="1" applyFont="1" applyBorder="1" applyAlignment="1">
      <alignment horizontal="right" vertical="center"/>
    </xf>
    <xf numFmtId="165" fontId="32" fillId="0" borderId="41" xfId="3" applyNumberFormat="1" applyFont="1" applyBorder="1" applyAlignment="1">
      <alignment horizontal="right" vertical="center"/>
    </xf>
    <xf numFmtId="165" fontId="32" fillId="0" borderId="0" xfId="3" applyNumberFormat="1" applyFont="1" applyAlignment="1">
      <alignment horizontal="right" vertical="center"/>
    </xf>
    <xf numFmtId="165" fontId="32" fillId="0" borderId="41" xfId="3" applyNumberFormat="1" applyFont="1" applyBorder="1" applyAlignment="1">
      <alignment horizontal="right" vertical="center" indent="1"/>
    </xf>
    <xf numFmtId="165" fontId="32" fillId="0" borderId="0" xfId="3" applyNumberFormat="1" applyFont="1" applyAlignment="1">
      <alignment horizontal="right" vertical="center" indent="1"/>
    </xf>
    <xf numFmtId="165" fontId="35" fillId="0" borderId="38" xfId="3" applyNumberFormat="1" applyFont="1" applyBorder="1" applyAlignment="1">
      <alignment horizontal="right" vertical="center"/>
    </xf>
    <xf numFmtId="165" fontId="35" fillId="0" borderId="39" xfId="3" applyNumberFormat="1" applyFont="1" applyBorder="1" applyAlignment="1">
      <alignment horizontal="right" vertical="center"/>
    </xf>
    <xf numFmtId="0" fontId="28" fillId="0" borderId="33" xfId="3" applyFont="1" applyBorder="1" applyAlignment="1">
      <alignment horizontal="left" vertical="center" indent="1"/>
    </xf>
    <xf numFmtId="0" fontId="28" fillId="0" borderId="0" xfId="3" applyFont="1" applyAlignment="1">
      <alignment horizontal="left" vertical="center" indent="1"/>
    </xf>
    <xf numFmtId="0" fontId="16" fillId="0" borderId="33" xfId="3" applyFont="1" applyBorder="1" applyAlignment="1">
      <alignment horizontal="left" vertical="center" indent="3"/>
    </xf>
    <xf numFmtId="0" fontId="16" fillId="0" borderId="0" xfId="3" applyFont="1" applyAlignment="1">
      <alignment horizontal="left" vertical="center" indent="3"/>
    </xf>
    <xf numFmtId="0" fontId="16" fillId="0" borderId="33" xfId="3" applyFont="1" applyBorder="1" applyAlignment="1">
      <alignment horizontal="left" vertical="center" indent="1"/>
    </xf>
    <xf numFmtId="0" fontId="16" fillId="0" borderId="0" xfId="3" applyFont="1" applyAlignment="1">
      <alignment horizontal="left" vertical="center" indent="1"/>
    </xf>
    <xf numFmtId="0" fontId="16" fillId="0" borderId="33" xfId="3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6" fillId="0" borderId="33" xfId="3" applyFont="1" applyBorder="1" applyAlignment="1">
      <alignment horizontal="left" vertical="center" indent="2"/>
    </xf>
    <xf numFmtId="0" fontId="16" fillId="0" borderId="0" xfId="3" applyFont="1" applyAlignment="1">
      <alignment horizontal="left" vertical="center" indent="2"/>
    </xf>
    <xf numFmtId="0" fontId="32" fillId="0" borderId="33" xfId="3" applyFont="1" applyBorder="1" applyAlignment="1">
      <alignment horizontal="left" vertical="center" indent="1"/>
    </xf>
    <xf numFmtId="0" fontId="32" fillId="0" borderId="0" xfId="3" applyFont="1" applyAlignment="1">
      <alignment horizontal="left" vertical="center" indent="1"/>
    </xf>
    <xf numFmtId="0" fontId="33" fillId="0" borderId="35" xfId="3" applyFont="1" applyBorder="1" applyAlignment="1">
      <alignment horizontal="left" vertical="center" indent="1"/>
    </xf>
    <xf numFmtId="0" fontId="33" fillId="0" borderId="36" xfId="3" applyFont="1" applyBorder="1" applyAlignment="1">
      <alignment horizontal="left" vertical="center" indent="1"/>
    </xf>
    <xf numFmtId="0" fontId="26" fillId="3" borderId="30" xfId="3" applyFont="1" applyFill="1" applyBorder="1" applyAlignment="1">
      <alignment horizontal="center" vertical="center"/>
    </xf>
    <xf numFmtId="0" fontId="26" fillId="3" borderId="31" xfId="3" applyFont="1" applyFill="1" applyBorder="1" applyAlignment="1">
      <alignment horizontal="center" vertical="center"/>
    </xf>
    <xf numFmtId="0" fontId="14" fillId="0" borderId="0" xfId="3" applyFont="1" applyAlignment="1">
      <alignment horizontal="right" vertical="center"/>
    </xf>
    <xf numFmtId="0" fontId="17" fillId="0" borderId="0" xfId="3" applyFont="1" applyAlignment="1">
      <alignment horizontal="right" vertical="center"/>
    </xf>
    <xf numFmtId="0" fontId="18" fillId="0" borderId="0" xfId="3" applyFont="1" applyAlignment="1">
      <alignment horizontal="center" vertical="center"/>
    </xf>
    <xf numFmtId="0" fontId="22" fillId="0" borderId="0" xfId="3" applyFont="1" applyAlignment="1">
      <alignment horizontal="right" vertical="top" wrapText="1"/>
    </xf>
    <xf numFmtId="0" fontId="4" fillId="0" borderId="4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/>
    </xf>
  </cellXfs>
  <cellStyles count="4">
    <cellStyle name="Normal" xfId="0" builtinId="0"/>
    <cellStyle name="Normal 2" xfId="3" xr:uid="{5CB9D69F-C99A-4C4C-B3BA-A2D0ABF02A8E}"/>
    <cellStyle name="千分位 2" xfId="1" xr:uid="{7D91ED06-D3AA-4708-AD3B-7854A1F7D8E5}"/>
    <cellStyle name="一般_Sheet1 2" xfId="2" xr:uid="{97932239-367E-4FB4-81AC-4750293905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1129695</xdr:colOff>
      <xdr:row>2</xdr:row>
      <xdr:rowOff>109286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2D24022D-E1F9-A64C-A7DE-CC8A5A1A3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59995" cy="528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20DE-7EC3-C247-86F3-F2052C70F7AD}">
  <dimension ref="A1:H44"/>
  <sheetViews>
    <sheetView tabSelected="1" topLeftCell="A19" zoomScale="150" zoomScaleNormal="150" workbookViewId="0">
      <selection activeCell="J24" sqref="J24"/>
    </sheetView>
  </sheetViews>
  <sheetFormatPr defaultColWidth="9.08984375" defaultRowHeight="10.5"/>
  <cols>
    <col min="1" max="1" width="14.90625" style="45" customWidth="1"/>
    <col min="2" max="2" width="23.453125" style="45" customWidth="1"/>
    <col min="3" max="3" width="5.453125" style="45" customWidth="1"/>
    <col min="4" max="4" width="15.08984375" style="45" customWidth="1"/>
    <col min="5" max="5" width="13.36328125" style="45" bestFit="1" customWidth="1"/>
    <col min="6" max="6" width="14.36328125" style="47" customWidth="1"/>
    <col min="7" max="7" width="9.08984375" style="47"/>
    <col min="8" max="8" width="9.08984375" style="45"/>
    <col min="9" max="9" width="9.08984375" style="45" customWidth="1"/>
    <col min="10" max="16384" width="9.08984375" style="45"/>
  </cols>
  <sheetData>
    <row r="1" spans="1:8" ht="19" customHeight="1">
      <c r="B1" s="146" t="s">
        <v>0</v>
      </c>
      <c r="C1" s="146"/>
      <c r="D1" s="146"/>
      <c r="E1" s="146"/>
      <c r="F1" s="146"/>
      <c r="G1" s="46"/>
      <c r="H1" s="47"/>
    </row>
    <row r="2" spans="1:8" ht="14.25" customHeight="1">
      <c r="B2" s="147" t="s">
        <v>1</v>
      </c>
      <c r="C2" s="147"/>
      <c r="D2" s="147"/>
      <c r="E2" s="147"/>
      <c r="F2" s="147"/>
      <c r="G2" s="46"/>
      <c r="H2" s="47"/>
    </row>
    <row r="3" spans="1:8" s="48" customFormat="1" ht="18" customHeight="1">
      <c r="B3" s="147" t="s">
        <v>2</v>
      </c>
      <c r="C3" s="147"/>
      <c r="D3" s="147"/>
      <c r="E3" s="147"/>
      <c r="F3" s="147"/>
      <c r="G3" s="46"/>
      <c r="H3" s="46"/>
    </row>
    <row r="4" spans="1:8" s="48" customFormat="1" ht="14.15" customHeight="1">
      <c r="G4" s="46"/>
      <c r="H4" s="46"/>
    </row>
    <row r="5" spans="1:8" s="48" customFormat="1" ht="32.15" customHeight="1">
      <c r="A5" s="148" t="s">
        <v>3</v>
      </c>
      <c r="B5" s="148"/>
      <c r="C5" s="148"/>
      <c r="D5" s="148"/>
      <c r="E5" s="148"/>
      <c r="F5" s="148"/>
      <c r="G5" s="46"/>
      <c r="H5" s="46"/>
    </row>
    <row r="6" spans="1:8" s="48" customFormat="1" ht="12" customHeight="1">
      <c r="A6" s="49"/>
      <c r="B6" s="49"/>
      <c r="C6" s="49"/>
      <c r="D6" s="49"/>
      <c r="E6" s="49"/>
      <c r="F6" s="49"/>
      <c r="G6" s="46"/>
      <c r="H6" s="46"/>
    </row>
    <row r="7" spans="1:8" s="48" customFormat="1" ht="13" customHeight="1">
      <c r="A7" s="50" t="s">
        <v>4</v>
      </c>
      <c r="B7" s="50"/>
      <c r="C7" s="50"/>
      <c r="D7" s="50"/>
      <c r="E7" s="50"/>
      <c r="G7" s="46"/>
      <c r="H7" s="46"/>
    </row>
    <row r="8" spans="1:8" s="55" customFormat="1" ht="13" customHeight="1">
      <c r="A8" s="51" t="s">
        <v>5</v>
      </c>
      <c r="B8" s="52" t="s">
        <v>6</v>
      </c>
      <c r="C8" s="53"/>
      <c r="D8" s="51" t="s">
        <v>7</v>
      </c>
      <c r="E8" s="51"/>
      <c r="F8" s="52" t="s">
        <v>8</v>
      </c>
      <c r="G8" s="54"/>
    </row>
    <row r="9" spans="1:8" s="55" customFormat="1" ht="13" customHeight="1">
      <c r="A9" s="51" t="s">
        <v>9</v>
      </c>
      <c r="B9" s="52" t="s">
        <v>10</v>
      </c>
      <c r="C9" s="56"/>
      <c r="D9" s="51" t="s">
        <v>11</v>
      </c>
      <c r="E9" s="51"/>
      <c r="F9" s="52" t="s">
        <v>91</v>
      </c>
      <c r="G9" s="54"/>
    </row>
    <row r="10" spans="1:8" s="48" customFormat="1" ht="13" customHeight="1">
      <c r="A10" s="51" t="s">
        <v>12</v>
      </c>
      <c r="B10" s="149" t="s">
        <v>13</v>
      </c>
      <c r="C10" s="56"/>
      <c r="D10" s="51" t="s">
        <v>14</v>
      </c>
      <c r="E10" s="51"/>
      <c r="F10" s="57">
        <f ca="1">TODAY()</f>
        <v>46085</v>
      </c>
      <c r="G10" s="46"/>
    </row>
    <row r="11" spans="1:8" s="55" customFormat="1" ht="21" customHeight="1">
      <c r="A11" s="58"/>
      <c r="B11" s="149"/>
      <c r="D11" s="51" t="s">
        <v>15</v>
      </c>
      <c r="E11" s="51"/>
      <c r="F11" s="57">
        <v>46099</v>
      </c>
      <c r="G11" s="54"/>
    </row>
    <row r="12" spans="1:8" s="48" customFormat="1" ht="12" customHeight="1">
      <c r="A12" s="59"/>
      <c r="B12" s="59"/>
      <c r="C12" s="59"/>
      <c r="D12" s="59"/>
      <c r="E12" s="60"/>
      <c r="G12" s="46"/>
    </row>
    <row r="13" spans="1:8" ht="11" thickBot="1"/>
    <row r="14" spans="1:8" s="64" customFormat="1" ht="28" customHeight="1">
      <c r="A14" s="144" t="s">
        <v>16</v>
      </c>
      <c r="B14" s="145"/>
      <c r="C14" s="145"/>
      <c r="D14" s="61"/>
      <c r="E14" s="61" t="str">
        <f>"Amount "&amp;India!C6</f>
        <v>Amount (INR)</v>
      </c>
      <c r="F14" s="62" t="s">
        <v>17</v>
      </c>
      <c r="G14" s="63"/>
    </row>
    <row r="15" spans="1:8" s="69" customFormat="1" ht="16" customHeight="1">
      <c r="A15" s="130" t="s">
        <v>18</v>
      </c>
      <c r="B15" s="131"/>
      <c r="C15" s="131"/>
      <c r="D15" s="65"/>
      <c r="E15" s="66">
        <f>SUM(E16:E17)</f>
        <v>267335</v>
      </c>
      <c r="F15" s="67">
        <f>SUM(F16:F17)</f>
        <v>2986.6495363646518</v>
      </c>
      <c r="G15" s="68"/>
    </row>
    <row r="16" spans="1:8" s="74" customFormat="1" ht="13">
      <c r="A16" s="132" t="str">
        <f>"- Labor cost for "&amp;India!B9</f>
        <v xml:space="preserve">- Labor cost for Rekha </v>
      </c>
      <c r="B16" s="133"/>
      <c r="C16" s="133"/>
      <c r="D16" s="70"/>
      <c r="E16" s="71">
        <f>ROUND(India!J9,0)</f>
        <v>267335</v>
      </c>
      <c r="F16" s="72">
        <f>E16/$B$28</f>
        <v>2986.6495363646518</v>
      </c>
      <c r="G16" s="73"/>
    </row>
    <row r="17" spans="1:8" ht="13">
      <c r="A17" s="132" t="str">
        <f>"- "&amp;+"Expense claim for "&amp;India!B9</f>
        <v xml:space="preserve">- Expense claim for Rekha </v>
      </c>
      <c r="B17" s="133"/>
      <c r="C17" s="133"/>
      <c r="D17" s="70"/>
      <c r="E17" s="71">
        <f>India!R9</f>
        <v>0</v>
      </c>
      <c r="F17" s="72">
        <f>E17/$B$28</f>
        <v>0</v>
      </c>
      <c r="G17" s="75"/>
    </row>
    <row r="18" spans="1:8" ht="13">
      <c r="A18" s="134"/>
      <c r="B18" s="135"/>
      <c r="C18" s="135"/>
      <c r="D18" s="76"/>
      <c r="E18" s="71"/>
      <c r="F18" s="72"/>
      <c r="G18" s="75"/>
    </row>
    <row r="19" spans="1:8" ht="13">
      <c r="A19" s="136"/>
      <c r="B19" s="137"/>
      <c r="C19" s="137"/>
      <c r="D19" s="77"/>
      <c r="E19" s="78"/>
      <c r="F19" s="72"/>
      <c r="G19" s="75"/>
    </row>
    <row r="20" spans="1:8" s="81" customFormat="1" ht="16" customHeight="1">
      <c r="A20" s="130" t="s">
        <v>19</v>
      </c>
      <c r="B20" s="131"/>
      <c r="C20" s="131"/>
      <c r="D20" s="65"/>
      <c r="E20" s="66">
        <f>SUM(E21:E22)</f>
        <v>32080.199999999997</v>
      </c>
      <c r="F20" s="79">
        <f>SUM(F21:F22)</f>
        <v>358.3979443637582</v>
      </c>
      <c r="G20" s="80"/>
    </row>
    <row r="21" spans="1:8" ht="13">
      <c r="A21" s="138" t="str">
        <f>"- "&amp;+"Management Fee - "&amp;MONTH(India!B2) &amp;"-"&amp; YEAR(India!B2)</f>
        <v>- Management Fee - 3-2026</v>
      </c>
      <c r="B21" s="139"/>
      <c r="C21" s="139"/>
      <c r="D21" s="82"/>
      <c r="E21" s="78">
        <f>India!H9</f>
        <v>32080.199999999997</v>
      </c>
      <c r="F21" s="72">
        <f>E21/$B$28</f>
        <v>358.3979443637582</v>
      </c>
      <c r="G21" s="75"/>
      <c r="H21" s="103"/>
    </row>
    <row r="22" spans="1:8" ht="13">
      <c r="A22" s="138"/>
      <c r="B22" s="139"/>
      <c r="C22" s="139"/>
      <c r="D22" s="82"/>
      <c r="E22" s="78"/>
      <c r="F22" s="72"/>
      <c r="G22" s="75"/>
    </row>
    <row r="23" spans="1:8" ht="13">
      <c r="A23" s="138"/>
      <c r="B23" s="139"/>
      <c r="C23" s="139"/>
      <c r="D23" s="82"/>
      <c r="E23" s="78"/>
      <c r="F23" s="72"/>
      <c r="G23" s="75"/>
    </row>
    <row r="24" spans="1:8" ht="14.5">
      <c r="A24" s="140"/>
      <c r="B24" s="141"/>
      <c r="C24" s="141"/>
      <c r="D24" s="83"/>
      <c r="E24" s="84"/>
      <c r="F24" s="85"/>
      <c r="G24" s="75"/>
    </row>
    <row r="25" spans="1:8" s="69" customFormat="1" ht="15" thickBot="1">
      <c r="A25" s="142" t="s">
        <v>20</v>
      </c>
      <c r="B25" s="143"/>
      <c r="C25" s="143"/>
      <c r="D25" s="143"/>
      <c r="E25" s="86">
        <f>E15+E20</f>
        <v>299415.2</v>
      </c>
      <c r="F25" s="87">
        <f>F15+F20</f>
        <v>3345.0474807284099</v>
      </c>
      <c r="G25" s="68"/>
    </row>
    <row r="26" spans="1:8" s="69" customFormat="1" ht="14.5">
      <c r="A26" s="88"/>
      <c r="B26" s="88"/>
      <c r="C26" s="89"/>
      <c r="D26" s="89"/>
      <c r="E26" s="90"/>
      <c r="F26" s="91"/>
      <c r="G26" s="68"/>
    </row>
    <row r="27" spans="1:8" s="69" customFormat="1" ht="15" thickBot="1">
      <c r="A27" s="92"/>
      <c r="B27" s="92"/>
      <c r="C27" s="92"/>
      <c r="D27" s="92"/>
      <c r="E27" s="90"/>
      <c r="F27" s="91"/>
      <c r="G27" s="68"/>
    </row>
    <row r="28" spans="1:8" ht="26">
      <c r="A28" s="93" t="str">
        <f>"*FX rate  USD:  "&amp;India!C6</f>
        <v>*FX rate  USD:  (INR)</v>
      </c>
      <c r="B28" s="94">
        <f>ROUND(92.28037171 *0.97,2)</f>
        <v>89.51</v>
      </c>
      <c r="C28" s="90"/>
      <c r="D28" s="128" t="s">
        <v>21</v>
      </c>
      <c r="E28" s="129"/>
      <c r="F28" s="95">
        <f>F25</f>
        <v>3345.0474807284099</v>
      </c>
      <c r="G28" s="75"/>
    </row>
    <row r="29" spans="1:8" s="74" customFormat="1" ht="16" customHeight="1">
      <c r="A29" s="96"/>
      <c r="B29" s="96"/>
      <c r="C29" s="90"/>
      <c r="D29" s="120" t="s">
        <v>22</v>
      </c>
      <c r="E29" s="121"/>
      <c r="F29" s="97">
        <f>India!E23</f>
        <v>0</v>
      </c>
      <c r="G29" s="73"/>
    </row>
    <row r="30" spans="1:8" s="74" customFormat="1" ht="14.5">
      <c r="A30" s="96"/>
      <c r="B30" s="96"/>
      <c r="C30" s="90"/>
      <c r="D30" s="120" t="s">
        <v>23</v>
      </c>
      <c r="E30" s="121"/>
      <c r="F30" s="97">
        <f>India!E24</f>
        <v>0</v>
      </c>
      <c r="G30" s="73"/>
    </row>
    <row r="31" spans="1:8" ht="14.5">
      <c r="A31" s="96"/>
      <c r="B31" s="96"/>
      <c r="C31" s="90"/>
      <c r="D31" s="120" t="s">
        <v>24</v>
      </c>
      <c r="E31" s="121"/>
      <c r="F31" s="97">
        <f>India!E25</f>
        <v>0</v>
      </c>
      <c r="G31" s="75"/>
    </row>
    <row r="32" spans="1:8" ht="15" thickBot="1">
      <c r="A32" s="96"/>
      <c r="B32" s="96"/>
      <c r="C32" s="98"/>
      <c r="D32" s="122" t="s">
        <v>25</v>
      </c>
      <c r="E32" s="123"/>
      <c r="F32" s="99">
        <f>India!E26</f>
        <v>10</v>
      </c>
      <c r="G32" s="75"/>
      <c r="H32" s="103"/>
    </row>
    <row r="33" spans="1:8" ht="14.5">
      <c r="A33" s="96"/>
      <c r="B33" s="96"/>
      <c r="C33" s="90"/>
      <c r="D33" s="124" t="s">
        <v>26</v>
      </c>
      <c r="E33" s="125"/>
      <c r="F33" s="100">
        <f>SUM(F28:F32)</f>
        <v>3355.0474807284099</v>
      </c>
      <c r="G33" s="75"/>
    </row>
    <row r="34" spans="1:8" ht="14.5">
      <c r="A34" s="96"/>
      <c r="B34" s="96"/>
      <c r="C34" s="90"/>
      <c r="D34" s="126" t="s">
        <v>27</v>
      </c>
      <c r="E34" s="127"/>
      <c r="F34" s="100">
        <f>India!F9/PN!$B$28</f>
        <v>575.22779577700817</v>
      </c>
      <c r="G34" s="75"/>
    </row>
    <row r="35" spans="1:8" ht="15" thickBot="1">
      <c r="A35" s="101"/>
      <c r="B35" s="101"/>
      <c r="C35" s="90"/>
      <c r="D35" s="114" t="s">
        <v>28</v>
      </c>
      <c r="E35" s="115"/>
      <c r="F35" s="102">
        <f>SUM(F33:F34)</f>
        <v>3930.2752765054183</v>
      </c>
      <c r="G35" s="75"/>
      <c r="H35" s="103"/>
    </row>
    <row r="36" spans="1:8" ht="14.5">
      <c r="A36" s="83"/>
      <c r="B36" s="83"/>
      <c r="C36" s="83"/>
      <c r="D36" s="83"/>
      <c r="E36" s="98"/>
      <c r="F36" s="98"/>
      <c r="G36" s="75"/>
    </row>
    <row r="37" spans="1:8" ht="14.5">
      <c r="A37" s="83"/>
      <c r="B37" s="83"/>
      <c r="C37" s="83"/>
      <c r="D37" s="83"/>
      <c r="E37" s="98"/>
      <c r="F37" s="98"/>
      <c r="G37" s="75"/>
    </row>
    <row r="38" spans="1:8">
      <c r="G38" s="75"/>
    </row>
    <row r="39" spans="1:8" ht="19" customHeight="1">
      <c r="A39" s="116" t="s">
        <v>29</v>
      </c>
      <c r="B39" s="116"/>
      <c r="C39" s="116"/>
      <c r="D39" s="116"/>
      <c r="E39" s="116"/>
      <c r="F39" s="116"/>
    </row>
    <row r="40" spans="1:8" ht="61" customHeight="1">
      <c r="A40" s="117" t="s">
        <v>30</v>
      </c>
      <c r="B40" s="117"/>
      <c r="C40" s="118"/>
      <c r="D40" s="119" t="s">
        <v>31</v>
      </c>
      <c r="E40" s="117"/>
      <c r="F40" s="117"/>
    </row>
    <row r="41" spans="1:8">
      <c r="A41" s="45" t="s">
        <v>32</v>
      </c>
    </row>
    <row r="42" spans="1:8" ht="11.15" customHeight="1">
      <c r="A42" s="69" t="s">
        <v>33</v>
      </c>
      <c r="B42" s="69"/>
      <c r="C42" s="69"/>
      <c r="D42" s="69"/>
      <c r="E42" s="69"/>
      <c r="F42" s="69"/>
    </row>
    <row r="43" spans="1:8">
      <c r="A43" s="69" t="s">
        <v>34</v>
      </c>
    </row>
    <row r="44" spans="1:8">
      <c r="A44" s="69" t="s">
        <v>35</v>
      </c>
    </row>
  </sheetData>
  <mergeCells count="28">
    <mergeCell ref="A14:C14"/>
    <mergeCell ref="B1:F1"/>
    <mergeCell ref="B2:F2"/>
    <mergeCell ref="B3:F3"/>
    <mergeCell ref="A5:F5"/>
    <mergeCell ref="B10:B11"/>
    <mergeCell ref="D28:E28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D25"/>
    <mergeCell ref="D35:E35"/>
    <mergeCell ref="A39:F39"/>
    <mergeCell ref="A40:C40"/>
    <mergeCell ref="D40:F40"/>
    <mergeCell ref="D29:E29"/>
    <mergeCell ref="D30:E30"/>
    <mergeCell ref="D31:E31"/>
    <mergeCell ref="D32:E32"/>
    <mergeCell ref="D33:E33"/>
    <mergeCell ref="D34:E3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A757-A298-40A7-A668-032C04DD9A20}">
  <dimension ref="A1:S31"/>
  <sheetViews>
    <sheetView zoomScale="110" zoomScaleNormal="11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H9" sqref="H9"/>
    </sheetView>
  </sheetViews>
  <sheetFormatPr defaultColWidth="8.90625" defaultRowHeight="14.5"/>
  <cols>
    <col min="1" max="1" width="9.08984375" style="7" bestFit="1" customWidth="1"/>
    <col min="2" max="2" width="18" bestFit="1" customWidth="1"/>
    <col min="3" max="3" width="9.453125" bestFit="1" customWidth="1"/>
    <col min="5" max="5" width="10.6328125" bestFit="1" customWidth="1"/>
    <col min="6" max="8" width="9.6328125" bestFit="1" customWidth="1"/>
    <col min="9" max="9" width="7.08984375" bestFit="1" customWidth="1"/>
    <col min="10" max="11" width="10.6328125" bestFit="1" customWidth="1"/>
    <col min="12" max="12" width="9.6328125" bestFit="1" customWidth="1"/>
    <col min="13" max="13" width="9" bestFit="1" customWidth="1"/>
    <col min="14" max="15" width="9.6328125" bestFit="1" customWidth="1"/>
    <col min="16" max="16" width="9.6328125" customWidth="1"/>
    <col min="17" max="17" width="5.453125" bestFit="1" customWidth="1"/>
    <col min="18" max="18" width="7.6328125" bestFit="1" customWidth="1"/>
    <col min="19" max="19" width="7.08984375" bestFit="1" customWidth="1"/>
  </cols>
  <sheetData>
    <row r="1" spans="1:19" ht="15" thickBot="1">
      <c r="A1" s="7" t="str">
        <f ca="1">MID(CELL("filename",A1),FIND("]",CELL("filename",A1))+1,256)</f>
        <v>India</v>
      </c>
    </row>
    <row r="2" spans="1:19" ht="15" thickBot="1">
      <c r="A2" s="10" t="s">
        <v>36</v>
      </c>
      <c r="B2" s="16" t="str">
        <f>'India-L'!B8</f>
        <v>2026/3/1</v>
      </c>
      <c r="C2" s="113" t="str">
        <f>'India-L'!C8</f>
        <v>2026/3/31</v>
      </c>
      <c r="E2" s="2" t="s">
        <v>37</v>
      </c>
    </row>
    <row r="3" spans="1:19" s="6" customFormat="1" ht="14.25" customHeight="1">
      <c r="A3" s="10"/>
      <c r="B3" s="16"/>
      <c r="E3" s="152" t="s">
        <v>38</v>
      </c>
      <c r="F3" s="154" t="s">
        <v>39</v>
      </c>
      <c r="G3" s="156" t="s">
        <v>40</v>
      </c>
      <c r="H3" s="157"/>
      <c r="I3" s="158"/>
      <c r="J3" s="159" t="s">
        <v>41</v>
      </c>
      <c r="K3" s="150"/>
      <c r="L3" s="150"/>
      <c r="M3" s="150"/>
      <c r="N3" s="150"/>
      <c r="O3" s="150"/>
      <c r="P3" s="150"/>
      <c r="Q3" s="150"/>
      <c r="R3" s="150" t="s">
        <v>42</v>
      </c>
      <c r="S3" s="151"/>
    </row>
    <row r="4" spans="1:19" s="6" customFormat="1" ht="58.5" thickBot="1">
      <c r="E4" s="153"/>
      <c r="F4" s="155"/>
      <c r="G4" s="11" t="s">
        <v>43</v>
      </c>
      <c r="H4" s="12" t="s">
        <v>44</v>
      </c>
      <c r="I4" s="12" t="s">
        <v>45</v>
      </c>
      <c r="J4" s="36" t="s">
        <v>43</v>
      </c>
      <c r="K4" s="12" t="s">
        <v>46</v>
      </c>
      <c r="L4" s="12" t="s">
        <v>47</v>
      </c>
      <c r="M4" s="12" t="s">
        <v>48</v>
      </c>
      <c r="N4" s="37" t="s">
        <v>49</v>
      </c>
      <c r="O4" s="12" t="s">
        <v>50</v>
      </c>
      <c r="P4" s="12" t="s">
        <v>51</v>
      </c>
      <c r="Q4" s="36" t="s">
        <v>52</v>
      </c>
      <c r="R4" s="36" t="s">
        <v>43</v>
      </c>
      <c r="S4" s="104" t="s">
        <v>53</v>
      </c>
    </row>
    <row r="5" spans="1:19" s="1" customFormat="1" ht="15" thickBot="1">
      <c r="A5" s="7"/>
      <c r="E5" s="13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05"/>
    </row>
    <row r="6" spans="1:19" s="4" customFormat="1">
      <c r="A6" s="5"/>
      <c r="B6" s="4" t="s">
        <v>38</v>
      </c>
      <c r="C6" s="4" t="s">
        <v>54</v>
      </c>
      <c r="E6" s="22">
        <f>SUM(E9:E18)</f>
        <v>350904.2</v>
      </c>
      <c r="F6" s="23">
        <f>SUM(F9:F18)</f>
        <v>51488.639999999999</v>
      </c>
      <c r="G6" s="23">
        <f t="shared" ref="G6:K6" si="0">SUM(G9:G18)</f>
        <v>32080.199999999997</v>
      </c>
      <c r="H6" s="23">
        <f t="shared" si="0"/>
        <v>32080.199999999997</v>
      </c>
      <c r="I6" s="23">
        <f t="shared" si="0"/>
        <v>0</v>
      </c>
      <c r="J6" s="23">
        <f t="shared" si="0"/>
        <v>267335</v>
      </c>
      <c r="K6" s="23">
        <f t="shared" si="0"/>
        <v>133667</v>
      </c>
      <c r="L6" s="23">
        <f t="shared" ref="L6:Q6" si="1">SUM(L9:L18)</f>
        <v>53467</v>
      </c>
      <c r="M6" s="23">
        <f t="shared" si="1"/>
        <v>2000</v>
      </c>
      <c r="N6" s="23">
        <f t="shared" si="1"/>
        <v>13367</v>
      </c>
      <c r="O6" s="23">
        <f t="shared" si="1"/>
        <v>64834</v>
      </c>
      <c r="P6" s="23">
        <f t="shared" ref="P6" si="2">SUM(P9:P18)</f>
        <v>0</v>
      </c>
      <c r="Q6" s="23">
        <f t="shared" si="1"/>
        <v>0</v>
      </c>
      <c r="R6" s="23">
        <f t="shared" ref="R6:S6" si="3">SUM(R9:R18)</f>
        <v>0</v>
      </c>
      <c r="S6" s="107">
        <f t="shared" si="3"/>
        <v>0</v>
      </c>
    </row>
    <row r="7" spans="1:19" s="3" customFormat="1">
      <c r="A7" s="8"/>
      <c r="E7" s="22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108"/>
    </row>
    <row r="8" spans="1:19" s="3" customFormat="1">
      <c r="A8" s="8"/>
      <c r="E8" s="22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108"/>
    </row>
    <row r="9" spans="1:19" s="3" customFormat="1">
      <c r="A9" s="5"/>
      <c r="B9" s="3" t="str">
        <f>'India-L'!B10</f>
        <v xml:space="preserve">Rekha </v>
      </c>
      <c r="E9" s="22">
        <f>G9+ROUNDUP((F9+J9+R9),0)</f>
        <v>350904.2</v>
      </c>
      <c r="F9" s="26">
        <f>'India-L'!E10</f>
        <v>51488.639999999999</v>
      </c>
      <c r="G9" s="23">
        <f>SUM(H9:I9)</f>
        <v>32080.199999999997</v>
      </c>
      <c r="H9" s="26">
        <f>MAX((J9)*12%, 300*PN!$B$28)</f>
        <v>32080.199999999997</v>
      </c>
      <c r="I9" s="26">
        <f>IF((R9&gt;0), 15*PN!B28, 0)</f>
        <v>0</v>
      </c>
      <c r="J9" s="26">
        <f>SUM(K9:Q9)</f>
        <v>267335</v>
      </c>
      <c r="K9" s="26">
        <f>'India-L'!G10</f>
        <v>133667</v>
      </c>
      <c r="L9" s="26">
        <f>'India-L'!H10</f>
        <v>53467</v>
      </c>
      <c r="M9" s="26">
        <f>'India-L'!I10</f>
        <v>2000</v>
      </c>
      <c r="N9" s="26">
        <f>'India-L'!J10</f>
        <v>13367</v>
      </c>
      <c r="O9" s="26">
        <f>'India-L'!K10</f>
        <v>64834</v>
      </c>
      <c r="P9" s="26">
        <f>'India-L'!L10</f>
        <v>0</v>
      </c>
      <c r="Q9" s="26">
        <f>'India-L'!M10</f>
        <v>0</v>
      </c>
      <c r="R9" s="26">
        <f>SUM(S9:S9)</f>
        <v>0</v>
      </c>
      <c r="S9" s="108">
        <f>'India-L'!O10</f>
        <v>0</v>
      </c>
    </row>
    <row r="10" spans="1:19" s="3" customFormat="1">
      <c r="A10" s="5"/>
      <c r="E10" s="22"/>
      <c r="F10" s="26"/>
      <c r="G10" s="23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108"/>
    </row>
    <row r="11" spans="1:19" s="3" customFormat="1">
      <c r="A11" s="5"/>
      <c r="E11" s="22"/>
      <c r="F11" s="26"/>
      <c r="G11" s="23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108"/>
    </row>
    <row r="12" spans="1:19" s="3" customFormat="1">
      <c r="A12" s="5"/>
      <c r="E12" s="22"/>
      <c r="F12" s="26"/>
      <c r="G12" s="23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108"/>
    </row>
    <row r="13" spans="1:19" s="3" customFormat="1">
      <c r="A13" s="5"/>
      <c r="E13" s="22"/>
      <c r="F13" s="26"/>
      <c r="G13" s="23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108"/>
    </row>
    <row r="14" spans="1:19" s="3" customFormat="1">
      <c r="A14" s="5"/>
      <c r="E14" s="22"/>
      <c r="F14" s="26"/>
      <c r="G14" s="23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108"/>
    </row>
    <row r="15" spans="1:19" s="3" customFormat="1">
      <c r="A15" s="5"/>
      <c r="E15" s="22"/>
      <c r="F15" s="26"/>
      <c r="G15" s="23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108"/>
    </row>
    <row r="16" spans="1:19" s="3" customFormat="1">
      <c r="A16" s="5"/>
      <c r="E16" s="22"/>
      <c r="F16" s="26"/>
      <c r="G16" s="23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108"/>
    </row>
    <row r="17" spans="1:19" s="3" customFormat="1">
      <c r="A17" s="5"/>
      <c r="E17" s="22"/>
      <c r="F17" s="26"/>
      <c r="G17" s="23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108"/>
    </row>
    <row r="18" spans="1:19" s="3" customFormat="1" ht="15" thickBot="1">
      <c r="A18" s="5"/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109"/>
    </row>
    <row r="19" spans="1:19">
      <c r="E19" s="32">
        <f>E9-F9-G9</f>
        <v>267335.36</v>
      </c>
    </row>
    <row r="21" spans="1:19" ht="15" thickBot="1">
      <c r="E21" s="33" t="s">
        <v>55</v>
      </c>
      <c r="F21" s="33" t="s">
        <v>54</v>
      </c>
      <c r="G21" s="32"/>
      <c r="H21" s="32"/>
      <c r="K21" s="32"/>
    </row>
    <row r="22" spans="1:19">
      <c r="A22" s="7" t="s">
        <v>56</v>
      </c>
      <c r="B22" s="40" t="s">
        <v>57</v>
      </c>
      <c r="E22" s="41">
        <f>SUM(E23:E27)</f>
        <v>10</v>
      </c>
      <c r="F22" s="42">
        <f>SUM(F23:F27)</f>
        <v>0</v>
      </c>
      <c r="G22" s="32"/>
      <c r="H22" s="32"/>
      <c r="J22" s="32"/>
      <c r="K22" s="32"/>
      <c r="L22" s="34"/>
    </row>
    <row r="23" spans="1:19">
      <c r="B23" s="110" t="s">
        <v>58</v>
      </c>
      <c r="E23" s="43">
        <v>0</v>
      </c>
      <c r="F23" s="44"/>
      <c r="G23" s="32"/>
      <c r="H23" s="32"/>
      <c r="J23" s="32"/>
      <c r="K23" s="32"/>
      <c r="L23" s="34"/>
    </row>
    <row r="24" spans="1:19">
      <c r="B24" s="110" t="s">
        <v>59</v>
      </c>
      <c r="E24" s="43">
        <v>0</v>
      </c>
      <c r="F24" s="44">
        <f>80*0</f>
        <v>0</v>
      </c>
      <c r="G24" s="32"/>
      <c r="H24" s="32"/>
    </row>
    <row r="25" spans="1:19">
      <c r="B25" s="110" t="s">
        <v>60</v>
      </c>
      <c r="E25" s="43">
        <v>0</v>
      </c>
      <c r="F25" s="44">
        <v>0</v>
      </c>
      <c r="G25" s="32"/>
      <c r="H25" s="32"/>
    </row>
    <row r="26" spans="1:19">
      <c r="B26" s="110" t="s">
        <v>61</v>
      </c>
      <c r="E26" s="43">
        <v>10</v>
      </c>
      <c r="F26" s="44"/>
      <c r="G26" s="32"/>
      <c r="H26" s="32"/>
    </row>
    <row r="27" spans="1:19">
      <c r="B27" s="110" t="s">
        <v>62</v>
      </c>
      <c r="E27" s="111">
        <v>0</v>
      </c>
      <c r="F27" s="112"/>
      <c r="G27" s="32"/>
      <c r="H27" s="32"/>
    </row>
    <row r="30" spans="1:19">
      <c r="F30" s="32"/>
      <c r="I30" s="32"/>
      <c r="J30" s="32"/>
      <c r="L30" s="32"/>
    </row>
    <row r="31" spans="1:19">
      <c r="F31" s="32"/>
      <c r="I31" s="32"/>
    </row>
  </sheetData>
  <mergeCells count="5">
    <mergeCell ref="R3:S3"/>
    <mergeCell ref="E3:E4"/>
    <mergeCell ref="F3:F4"/>
    <mergeCell ref="G3:I3"/>
    <mergeCell ref="J3:Q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2B7D-760B-4F40-AE5F-77C3C5370CED}">
  <dimension ref="A1:V18"/>
  <sheetViews>
    <sheetView zoomScale="130" zoomScaleNormal="130" workbookViewId="0">
      <pane xSplit="7" ySplit="5" topLeftCell="H6" activePane="bottomRight" state="frozen"/>
      <selection pane="topRight" activeCell="D1" sqref="D1"/>
      <selection pane="bottomLeft" activeCell="A5" sqref="A5"/>
      <selection pane="bottomRight" activeCell="F20" sqref="F20"/>
    </sheetView>
  </sheetViews>
  <sheetFormatPr defaultColWidth="8.90625" defaultRowHeight="14.5"/>
  <cols>
    <col min="1" max="1" width="11.6328125" style="7" bestFit="1" customWidth="1"/>
    <col min="2" max="2" width="9.90625" bestFit="1" customWidth="1"/>
    <col min="3" max="3" width="10.36328125" bestFit="1" customWidth="1"/>
    <col min="4" max="4" width="12.6328125" bestFit="1" customWidth="1"/>
    <col min="5" max="5" width="7.453125" bestFit="1" customWidth="1"/>
    <col min="6" max="6" width="8.453125" bestFit="1" customWidth="1"/>
    <col min="7" max="7" width="9.453125" bestFit="1" customWidth="1"/>
    <col min="8" max="10" width="10.6328125" bestFit="1" customWidth="1"/>
    <col min="11" max="11" width="9.6328125" bestFit="1" customWidth="1"/>
    <col min="12" max="12" width="8.6328125" bestFit="1" customWidth="1"/>
    <col min="13" max="13" width="5.08984375" bestFit="1" customWidth="1"/>
    <col min="14" max="14" width="9.6328125" bestFit="1" customWidth="1"/>
    <col min="15" max="15" width="10.6328125" bestFit="1" customWidth="1"/>
    <col min="16" max="16" width="5.453125" bestFit="1" customWidth="1"/>
    <col min="17" max="17" width="7.6328125" bestFit="1" customWidth="1"/>
    <col min="18" max="18" width="7.08984375" bestFit="1" customWidth="1"/>
    <col min="19" max="19" width="7.6328125" bestFit="1" customWidth="1"/>
    <col min="20" max="20" width="7.90625" bestFit="1" customWidth="1"/>
    <col min="21" max="21" width="9.08984375" bestFit="1" customWidth="1"/>
    <col min="22" max="22" width="9.6328125" bestFit="1" customWidth="1"/>
  </cols>
  <sheetData>
    <row r="1" spans="1:22" ht="15" thickBot="1">
      <c r="A1" s="7" t="str">
        <f ca="1">MID(CELL("filename",A1),FIND("]",CELL("filename",A1))+1,256)</f>
        <v>India EE</v>
      </c>
      <c r="H1" s="35"/>
    </row>
    <row r="2" spans="1:22" ht="15" thickBot="1">
      <c r="A2" s="10"/>
      <c r="B2" s="16"/>
      <c r="C2" s="16"/>
      <c r="D2" s="16"/>
      <c r="E2" s="16"/>
      <c r="F2" s="16"/>
      <c r="H2" s="2" t="s">
        <v>63</v>
      </c>
    </row>
    <row r="3" spans="1:22" s="6" customFormat="1">
      <c r="A3" s="10"/>
      <c r="B3" s="164" t="s">
        <v>64</v>
      </c>
      <c r="C3" s="164" t="s">
        <v>65</v>
      </c>
      <c r="D3" s="164" t="s">
        <v>66</v>
      </c>
      <c r="E3" s="164" t="s">
        <v>67</v>
      </c>
      <c r="F3" s="165" t="s">
        <v>36</v>
      </c>
      <c r="G3" s="166"/>
      <c r="H3" s="164" t="s">
        <v>68</v>
      </c>
      <c r="I3" s="159" t="s">
        <v>41</v>
      </c>
      <c r="J3" s="150"/>
      <c r="K3" s="150"/>
      <c r="L3" s="150"/>
      <c r="M3" s="150"/>
      <c r="N3" s="150"/>
      <c r="O3" s="150"/>
      <c r="P3" s="150"/>
      <c r="Q3" s="160" t="s">
        <v>42</v>
      </c>
      <c r="R3" s="160"/>
      <c r="S3" s="159" t="s">
        <v>69</v>
      </c>
      <c r="T3" s="161"/>
      <c r="U3" s="160" t="s">
        <v>70</v>
      </c>
      <c r="V3" s="162" t="s">
        <v>71</v>
      </c>
    </row>
    <row r="4" spans="1:22" s="6" customFormat="1" ht="58.5" thickBot="1">
      <c r="B4" s="153"/>
      <c r="C4" s="153"/>
      <c r="D4" s="153"/>
      <c r="E4" s="153"/>
      <c r="F4" s="38" t="s">
        <v>72</v>
      </c>
      <c r="G4" s="38" t="s">
        <v>73</v>
      </c>
      <c r="H4" s="153"/>
      <c r="I4" s="36" t="s">
        <v>43</v>
      </c>
      <c r="J4" s="12" t="s">
        <v>46</v>
      </c>
      <c r="K4" s="12" t="s">
        <v>47</v>
      </c>
      <c r="L4" s="12" t="s">
        <v>48</v>
      </c>
      <c r="M4" s="37" t="s">
        <v>49</v>
      </c>
      <c r="N4" s="12" t="s">
        <v>50</v>
      </c>
      <c r="O4" s="12" t="s">
        <v>51</v>
      </c>
      <c r="P4" s="36" t="s">
        <v>52</v>
      </c>
      <c r="Q4" s="36" t="s">
        <v>43</v>
      </c>
      <c r="R4" s="12" t="s">
        <v>53</v>
      </c>
      <c r="S4" s="36" t="s">
        <v>43</v>
      </c>
      <c r="T4" s="12" t="s">
        <v>74</v>
      </c>
      <c r="U4" s="155"/>
      <c r="V4" s="163"/>
    </row>
    <row r="5" spans="1:22" s="1" customFormat="1" ht="14.25" customHeight="1" thickBot="1">
      <c r="A5" s="7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2" s="4" customFormat="1">
      <c r="A6" s="5" t="s">
        <v>75</v>
      </c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4"/>
    </row>
    <row r="7" spans="1:22" s="3" customFormat="1">
      <c r="A7" s="4"/>
      <c r="B7" s="4"/>
      <c r="C7" s="4"/>
      <c r="D7" s="4"/>
      <c r="E7" s="4"/>
      <c r="F7" s="4"/>
      <c r="G7" s="4"/>
      <c r="H7" s="22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7"/>
    </row>
    <row r="8" spans="1:22" s="3" customFormat="1">
      <c r="A8" s="5"/>
      <c r="B8" s="4"/>
      <c r="C8" s="4"/>
      <c r="D8" s="4"/>
      <c r="E8" s="4"/>
      <c r="F8" s="4"/>
      <c r="G8" s="4"/>
      <c r="H8" s="22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7"/>
    </row>
    <row r="9" spans="1:22" s="3" customFormat="1">
      <c r="A9" s="8"/>
      <c r="B9" s="3" t="str">
        <f>PN!$B$9</f>
        <v>CUS1506</v>
      </c>
      <c r="C9" s="3" t="str">
        <f>PN!$B$8</f>
        <v>Crosslake Fiber USA LP</v>
      </c>
      <c r="D9" s="3" t="str">
        <f>PN!$B$9&amp;"-0001"</f>
        <v>CUS1506-0001</v>
      </c>
      <c r="E9" s="3" t="str">
        <f>'India-L'!B10</f>
        <v xml:space="preserve">Rekha </v>
      </c>
      <c r="F9" s="9" t="str">
        <f>'India-L'!$B$8</f>
        <v>2026/3/1</v>
      </c>
      <c r="G9" s="9" t="str">
        <f>'India-L'!$C$8</f>
        <v>2026/3/31</v>
      </c>
      <c r="H9" s="22">
        <f>I9+Q9-S9-U9-V9</f>
        <v>226930</v>
      </c>
      <c r="I9" s="26">
        <f>SUM(J9:P9)</f>
        <v>253968</v>
      </c>
      <c r="J9" s="26">
        <f>'India-L'!S10</f>
        <v>133667</v>
      </c>
      <c r="K9" s="26">
        <f>'India-L'!T10</f>
        <v>53467</v>
      </c>
      <c r="L9" s="26">
        <f>'India-L'!U10</f>
        <v>2000</v>
      </c>
      <c r="M9" s="26">
        <f>'India-L'!V10</f>
        <v>0</v>
      </c>
      <c r="N9" s="26">
        <f>'India-L'!W10</f>
        <v>64834</v>
      </c>
      <c r="O9" s="26">
        <f>'India-L'!X10</f>
        <v>0</v>
      </c>
      <c r="P9" s="26">
        <f>'India-L'!Y10</f>
        <v>0</v>
      </c>
      <c r="Q9" s="26">
        <f>SUM(R9:R9)</f>
        <v>0</v>
      </c>
      <c r="R9" s="26">
        <f>'India-L'!AA10</f>
        <v>0</v>
      </c>
      <c r="S9" s="26">
        <f>SUM(T9:T9)</f>
        <v>200</v>
      </c>
      <c r="T9" s="26">
        <f>'India-L'!AC10</f>
        <v>200</v>
      </c>
      <c r="U9" s="26">
        <f>'India-L'!AD10</f>
        <v>0</v>
      </c>
      <c r="V9" s="27">
        <f>'India-L'!AE10</f>
        <v>26838</v>
      </c>
    </row>
    <row r="10" spans="1:22" s="3" customFormat="1">
      <c r="A10" s="8"/>
      <c r="H10" s="22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7"/>
    </row>
    <row r="11" spans="1:22" s="3" customFormat="1">
      <c r="A11" s="5"/>
      <c r="H11" s="22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7"/>
    </row>
    <row r="12" spans="1:22" s="3" customFormat="1">
      <c r="A12" s="5"/>
      <c r="H12" s="22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7"/>
    </row>
    <row r="13" spans="1:22" s="3" customFormat="1">
      <c r="A13" s="5"/>
      <c r="H13" s="22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7"/>
    </row>
    <row r="14" spans="1:22" s="3" customFormat="1">
      <c r="A14" s="5"/>
      <c r="H14" s="22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7"/>
    </row>
    <row r="15" spans="1:22" s="3" customFormat="1">
      <c r="A15" s="5"/>
      <c r="H15" s="22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7"/>
    </row>
    <row r="16" spans="1:22" s="3" customFormat="1">
      <c r="A16" s="5"/>
      <c r="H16" s="22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7"/>
    </row>
    <row r="17" spans="1:22" s="3" customFormat="1">
      <c r="A17" s="5"/>
      <c r="H17" s="22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7"/>
    </row>
    <row r="18" spans="1:22" s="3" customFormat="1" ht="15" thickBot="1">
      <c r="A18" s="5"/>
      <c r="H18" s="29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1"/>
    </row>
  </sheetData>
  <mergeCells count="11">
    <mergeCell ref="H3:H4"/>
    <mergeCell ref="B3:B4"/>
    <mergeCell ref="C3:C4"/>
    <mergeCell ref="D3:D4"/>
    <mergeCell ref="E3:E4"/>
    <mergeCell ref="F3:G3"/>
    <mergeCell ref="I3:P3"/>
    <mergeCell ref="Q3:R3"/>
    <mergeCell ref="S3:T3"/>
    <mergeCell ref="U3:U4"/>
    <mergeCell ref="V3:V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F36B-42D2-4399-8090-A962FE4A1438}">
  <dimension ref="A1:AE15"/>
  <sheetViews>
    <sheetView zoomScale="110" zoomScaleNormal="110" workbookViewId="0">
      <selection activeCell="K24" sqref="K24"/>
    </sheetView>
  </sheetViews>
  <sheetFormatPr defaultColWidth="8.90625" defaultRowHeight="14.5"/>
  <cols>
    <col min="1" max="1" width="9.08984375" style="7" bestFit="1" customWidth="1"/>
    <col min="2" max="2" width="13.453125" bestFit="1" customWidth="1"/>
    <col min="3" max="3" width="9.453125" bestFit="1" customWidth="1"/>
    <col min="4" max="4" width="4.453125" bestFit="1" customWidth="1"/>
    <col min="5" max="5" width="9.6328125" bestFit="1" customWidth="1"/>
    <col min="6" max="7" width="10.6328125" bestFit="1" customWidth="1"/>
    <col min="8" max="8" width="9.6328125" bestFit="1" customWidth="1"/>
    <col min="9" max="9" width="8.6328125" bestFit="1" customWidth="1"/>
    <col min="10" max="11" width="9.6328125" bestFit="1" customWidth="1"/>
    <col min="12" max="12" width="9.6328125" customWidth="1"/>
    <col min="13" max="13" width="5.453125" bestFit="1" customWidth="1"/>
    <col min="14" max="14" width="7.6328125" bestFit="1" customWidth="1"/>
    <col min="15" max="15" width="7.08984375" bestFit="1" customWidth="1"/>
    <col min="17" max="19" width="10.6328125" bestFit="1" customWidth="1"/>
    <col min="20" max="20" width="9.6328125" bestFit="1" customWidth="1"/>
    <col min="21" max="21" width="8.6328125" bestFit="1" customWidth="1"/>
    <col min="22" max="23" width="9.6328125" bestFit="1" customWidth="1"/>
    <col min="24" max="24" width="9.6328125" customWidth="1"/>
    <col min="25" max="25" width="5.453125" bestFit="1" customWidth="1"/>
    <col min="26" max="26" width="7.6328125" bestFit="1" customWidth="1"/>
    <col min="27" max="27" width="7.08984375" bestFit="1" customWidth="1"/>
    <col min="28" max="28" width="7.6328125" bestFit="1" customWidth="1"/>
    <col min="29" max="29" width="8" bestFit="1" customWidth="1"/>
    <col min="30" max="30" width="9.08984375" bestFit="1" customWidth="1"/>
    <col min="31" max="31" width="10.08984375" bestFit="1" customWidth="1"/>
  </cols>
  <sheetData>
    <row r="1" spans="1:31" ht="15" thickBot="1"/>
    <row r="2" spans="1:31" ht="15" thickBot="1">
      <c r="A2" s="10"/>
      <c r="B2" s="16"/>
      <c r="D2" s="2" t="s">
        <v>76</v>
      </c>
      <c r="Q2" s="2" t="s">
        <v>77</v>
      </c>
    </row>
    <row r="3" spans="1:31" s="6" customFormat="1" ht="15" customHeight="1">
      <c r="A3" s="10"/>
      <c r="B3" s="16"/>
      <c r="D3" s="152" t="s">
        <v>38</v>
      </c>
      <c r="E3" s="154" t="s">
        <v>39</v>
      </c>
      <c r="F3" s="159" t="s">
        <v>78</v>
      </c>
      <c r="G3" s="150"/>
      <c r="H3" s="150"/>
      <c r="I3" s="150"/>
      <c r="J3" s="150"/>
      <c r="K3" s="150"/>
      <c r="L3" s="150"/>
      <c r="M3" s="161"/>
      <c r="N3" s="160" t="s">
        <v>79</v>
      </c>
      <c r="O3" s="167"/>
      <c r="Q3" s="164" t="s">
        <v>80</v>
      </c>
      <c r="R3" s="159" t="s">
        <v>78</v>
      </c>
      <c r="S3" s="150"/>
      <c r="T3" s="150"/>
      <c r="U3" s="150"/>
      <c r="V3" s="150"/>
      <c r="W3" s="150"/>
      <c r="X3" s="150"/>
      <c r="Y3" s="150"/>
      <c r="Z3" s="160" t="s">
        <v>79</v>
      </c>
      <c r="AA3" s="160"/>
      <c r="AB3" s="159" t="s">
        <v>81</v>
      </c>
      <c r="AC3" s="161"/>
      <c r="AD3" s="160" t="s">
        <v>82</v>
      </c>
      <c r="AE3" s="162" t="s">
        <v>83</v>
      </c>
    </row>
    <row r="4" spans="1:31" s="6" customFormat="1" ht="58.5" thickBot="1">
      <c r="D4" s="153"/>
      <c r="E4" s="155"/>
      <c r="F4" s="36" t="s">
        <v>43</v>
      </c>
      <c r="G4" s="12" t="s">
        <v>46</v>
      </c>
      <c r="H4" s="12" t="s">
        <v>47</v>
      </c>
      <c r="I4" s="12" t="s">
        <v>48</v>
      </c>
      <c r="J4" s="37" t="s">
        <v>49</v>
      </c>
      <c r="K4" s="12" t="s">
        <v>50</v>
      </c>
      <c r="L4" s="12" t="s">
        <v>51</v>
      </c>
      <c r="M4" s="36" t="s">
        <v>52</v>
      </c>
      <c r="N4" s="36" t="s">
        <v>84</v>
      </c>
      <c r="O4" s="104" t="s">
        <v>85</v>
      </c>
      <c r="Q4" s="153"/>
      <c r="R4" s="36" t="s">
        <v>43</v>
      </c>
      <c r="S4" s="12" t="s">
        <v>46</v>
      </c>
      <c r="T4" s="12" t="s">
        <v>47</v>
      </c>
      <c r="U4" s="12" t="s">
        <v>48</v>
      </c>
      <c r="V4" s="37" t="s">
        <v>49</v>
      </c>
      <c r="W4" s="12" t="s">
        <v>50</v>
      </c>
      <c r="X4" s="12" t="s">
        <v>51</v>
      </c>
      <c r="Y4" s="36" t="s">
        <v>52</v>
      </c>
      <c r="Z4" s="36" t="s">
        <v>84</v>
      </c>
      <c r="AA4" s="12" t="s">
        <v>85</v>
      </c>
      <c r="AB4" s="36" t="s">
        <v>84</v>
      </c>
      <c r="AC4" s="37" t="s">
        <v>86</v>
      </c>
      <c r="AD4" s="155"/>
      <c r="AE4" s="163"/>
    </row>
    <row r="5" spans="1:31" s="1" customFormat="1" ht="15" thickBot="1">
      <c r="A5" s="7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05"/>
      <c r="Q5" s="13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</row>
    <row r="6" spans="1:31" s="4" customFormat="1">
      <c r="A6" s="5" t="s">
        <v>87</v>
      </c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06"/>
      <c r="P6" s="20"/>
      <c r="Q6" s="21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9"/>
    </row>
    <row r="7" spans="1:31" s="4" customFormat="1">
      <c r="A7" s="5"/>
      <c r="D7" s="22"/>
      <c r="E7" s="23"/>
      <c r="F7" s="39"/>
      <c r="G7" s="23"/>
      <c r="H7" s="23"/>
      <c r="I7" s="23"/>
      <c r="J7" s="23"/>
      <c r="K7" s="23"/>
      <c r="L7" s="23"/>
      <c r="M7" s="23"/>
      <c r="N7" s="23"/>
      <c r="O7" s="107"/>
      <c r="P7" s="20"/>
      <c r="Q7" s="25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4"/>
    </row>
    <row r="8" spans="1:31" s="3" customFormat="1">
      <c r="A8" s="8" t="s">
        <v>36</v>
      </c>
      <c r="B8" s="9" t="s">
        <v>89</v>
      </c>
      <c r="C8" s="9" t="s">
        <v>90</v>
      </c>
      <c r="D8" s="22"/>
      <c r="E8" s="26"/>
      <c r="F8" s="26"/>
      <c r="G8" s="26"/>
      <c r="H8" s="26"/>
      <c r="I8" s="26"/>
      <c r="J8" s="26"/>
      <c r="K8" s="26"/>
      <c r="L8" s="26"/>
      <c r="M8" s="26"/>
      <c r="N8" s="26"/>
      <c r="O8" s="108"/>
      <c r="P8" s="28"/>
      <c r="Q8" s="22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7"/>
    </row>
    <row r="9" spans="1:31" s="3" customFormat="1">
      <c r="A9" s="8"/>
      <c r="D9" s="22"/>
      <c r="E9" s="26"/>
      <c r="F9" s="26"/>
      <c r="G9" s="26"/>
      <c r="H9" s="26"/>
      <c r="I9" s="26"/>
      <c r="J9" s="26"/>
      <c r="K9" s="26"/>
      <c r="L9" s="26"/>
      <c r="M9" s="26"/>
      <c r="N9" s="26"/>
      <c r="O9" s="108"/>
      <c r="P9" s="28"/>
      <c r="Q9" s="22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7"/>
    </row>
    <row r="10" spans="1:31" s="3" customFormat="1">
      <c r="A10" s="5"/>
      <c r="B10" s="3" t="s">
        <v>88</v>
      </c>
      <c r="D10" s="22"/>
      <c r="E10" s="26">
        <f>ROUND(25744.32*2,2)</f>
        <v>51488.639999999999</v>
      </c>
      <c r="F10" s="26">
        <f>SUM(G10:M10)</f>
        <v>267335</v>
      </c>
      <c r="G10" s="26">
        <v>133667</v>
      </c>
      <c r="H10" s="26">
        <v>53467</v>
      </c>
      <c r="I10" s="26">
        <v>2000</v>
      </c>
      <c r="J10" s="26">
        <v>13367</v>
      </c>
      <c r="K10" s="26">
        <v>64834</v>
      </c>
      <c r="L10" s="26">
        <v>0</v>
      </c>
      <c r="M10" s="26">
        <v>0</v>
      </c>
      <c r="N10" s="26">
        <v>0</v>
      </c>
      <c r="O10" s="108">
        <v>0</v>
      </c>
      <c r="P10" s="28"/>
      <c r="Q10" s="22">
        <f>R10+Z10-AB10-AD10-AE10</f>
        <v>226930</v>
      </c>
      <c r="R10" s="26">
        <f>SUM(S10:Y10)</f>
        <v>253968</v>
      </c>
      <c r="S10" s="26">
        <f>G10</f>
        <v>133667</v>
      </c>
      <c r="T10" s="26">
        <f t="shared" ref="T10:Y10" si="0">H10</f>
        <v>53467</v>
      </c>
      <c r="U10" s="26">
        <f t="shared" si="0"/>
        <v>2000</v>
      </c>
      <c r="V10" s="26">
        <v>0</v>
      </c>
      <c r="W10" s="26">
        <f t="shared" si="0"/>
        <v>64834</v>
      </c>
      <c r="X10" s="26">
        <f t="shared" si="0"/>
        <v>0</v>
      </c>
      <c r="Y10" s="26">
        <f t="shared" si="0"/>
        <v>0</v>
      </c>
      <c r="Z10" s="26">
        <f>AA10</f>
        <v>0</v>
      </c>
      <c r="AA10" s="26">
        <f>O10</f>
        <v>0</v>
      </c>
      <c r="AB10" s="26">
        <f>AC10</f>
        <v>200</v>
      </c>
      <c r="AC10" s="26">
        <v>200</v>
      </c>
      <c r="AD10" s="26">
        <v>0</v>
      </c>
      <c r="AE10" s="27">
        <v>26838</v>
      </c>
    </row>
    <row r="11" spans="1:31" s="3" customFormat="1">
      <c r="A11" s="5"/>
      <c r="D11" s="22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108"/>
      <c r="P11" s="28"/>
      <c r="Q11" s="22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7"/>
    </row>
    <row r="12" spans="1:31" s="3" customFormat="1">
      <c r="A12" s="5"/>
      <c r="D12" s="22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108"/>
      <c r="P12" s="28"/>
      <c r="Q12" s="22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7"/>
    </row>
    <row r="13" spans="1:31" s="3" customFormat="1" ht="15" thickBot="1">
      <c r="A13" s="5"/>
      <c r="D13" s="29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109"/>
      <c r="P13" s="28"/>
      <c r="Q13" s="29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1"/>
    </row>
    <row r="14" spans="1:31">
      <c r="B14" s="32"/>
      <c r="E14" s="32"/>
      <c r="G14" s="32"/>
    </row>
    <row r="15" spans="1:31">
      <c r="E15" s="32"/>
    </row>
  </sheetData>
  <mergeCells count="10">
    <mergeCell ref="Z3:AA3"/>
    <mergeCell ref="AB3:AC3"/>
    <mergeCell ref="AD3:AD4"/>
    <mergeCell ref="AE3:AE4"/>
    <mergeCell ref="D3:D4"/>
    <mergeCell ref="E3:E4"/>
    <mergeCell ref="F3:M3"/>
    <mergeCell ref="R3:Y3"/>
    <mergeCell ref="N3:O3"/>
    <mergeCell ref="Q3:Q4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6a3ac1b25229f7f744200c02d23e4089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465a83da5b0fc7f9619e44150761f9e9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2889F0-3C87-42C6-BC2F-4D0887C3C8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D5EA59-926B-4C57-94F3-D267781830DF}">
  <ds:schemaRefs>
    <ds:schemaRef ds:uri="http://schemas.microsoft.com/office/2006/metadata/properties"/>
    <ds:schemaRef ds:uri="http://schemas.microsoft.com/office/infopath/2007/PartnerControls"/>
    <ds:schemaRef ds:uri="00ff829c-5328-4041-8e8f-a41155b380ee"/>
    <ds:schemaRef ds:uri="d627f54e-f962-403c-9056-fc9f08248a08"/>
  </ds:schemaRefs>
</ds:datastoreItem>
</file>

<file path=customXml/itemProps3.xml><?xml version="1.0" encoding="utf-8"?>
<ds:datastoreItem xmlns:ds="http://schemas.openxmlformats.org/officeDocument/2006/customXml" ds:itemID="{22A4EFEB-494E-464A-ACEF-27F00C69D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7f54e-f962-403c-9056-fc9f08248a08"/>
    <ds:schemaRef ds:uri="00ff829c-5328-4041-8e8f-a41155b38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PN</vt:lpstr>
      <vt:lpstr>India</vt:lpstr>
      <vt:lpstr>India EE</vt:lpstr>
      <vt:lpstr>India-L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ivan.miguel@nnroad.com</dc:creator>
  <cp:keywords/>
  <dc:description/>
  <cp:lastModifiedBy>LIU, SiYu</cp:lastModifiedBy>
  <cp:revision/>
  <dcterms:created xsi:type="dcterms:W3CDTF">2018-12-11T19:06:17Z</dcterms:created>
  <dcterms:modified xsi:type="dcterms:W3CDTF">2026-03-04T08:15:29Z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AuthorIds_UIVersion_2048">
    <vt:lpwstr>6</vt:lpwstr>
  </property>
  <property fmtid="{D5CDD505-2E9C-101B-9397-08002B2CF9AE}" pid="4" name="WorkbookGuid">
    <vt:lpwstr>fb5d174b-8148-4f7f-a523-6e80cdc2a87a</vt:lpwstr>
  </property>
  <property fmtid="{D5CDD505-2E9C-101B-9397-08002B2CF9AE}" pid="5" name="MediaServiceImageTags">
    <vt:lpwstr/>
  </property>
</Properties>
</file>