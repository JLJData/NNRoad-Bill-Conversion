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one\Downloads\"/>
    </mc:Choice>
  </mc:AlternateContent>
  <xr:revisionPtr revIDLastSave="0" documentId="13_ncr:1_{04BC8291-52DE-4EA1-AF2A-FEF25FE55363}" xr6:coauthVersionLast="47" xr6:coauthVersionMax="47" xr10:uidLastSave="{00000000-0000-0000-0000-000000000000}"/>
  <bookViews>
    <workbookView xWindow="-110" yWindow="-110" windowWidth="25820" windowHeight="15500" xr2:uid="{38C3E173-F7FD-4B3C-BC8A-276CE1A49B11}"/>
  </bookViews>
  <sheets>
    <sheet name="PN" sheetId="1" r:id="rId1"/>
    <sheet name="Pakistan" sheetId="2" r:id="rId2"/>
    <sheet name="Pakistan EE" sheetId="5" r:id="rId3"/>
    <sheet name="Pakistan-L" sheetId="3" r:id="rId4"/>
    <sheet name="FI Repor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1" i="2"/>
  <c r="F12" i="2"/>
  <c r="F13" i="2"/>
  <c r="F14" i="2"/>
  <c r="F9" i="2"/>
  <c r="F6" i="2" s="1"/>
  <c r="F39" i="1" s="1"/>
  <c r="E25" i="2"/>
  <c r="B33" i="1"/>
  <c r="E15" i="1"/>
  <c r="F23" i="1"/>
  <c r="E23" i="1"/>
  <c r="E22" i="1"/>
  <c r="A23" i="1"/>
  <c r="F19" i="1"/>
  <c r="F20" i="1"/>
  <c r="F21" i="1"/>
  <c r="E19" i="1"/>
  <c r="E20" i="1"/>
  <c r="E21" i="1"/>
  <c r="A21" i="1"/>
  <c r="A20" i="1"/>
  <c r="A19" i="1"/>
  <c r="B12" i="2"/>
  <c r="I12" i="2"/>
  <c r="J12" i="2"/>
  <c r="K12" i="2"/>
  <c r="L12" i="2"/>
  <c r="M12" i="2"/>
  <c r="N12" i="2"/>
  <c r="O12" i="2"/>
  <c r="P12" i="2"/>
  <c r="Q12" i="2"/>
  <c r="R12" i="2"/>
  <c r="S12" i="2"/>
  <c r="U12" i="2"/>
  <c r="T12" i="2" s="1"/>
  <c r="B13" i="2"/>
  <c r="J13" i="2"/>
  <c r="I13" i="2" s="1"/>
  <c r="K13" i="2"/>
  <c r="L13" i="2"/>
  <c r="M13" i="2"/>
  <c r="N13" i="2"/>
  <c r="O13" i="2"/>
  <c r="P13" i="2"/>
  <c r="R13" i="2"/>
  <c r="Q13" i="2" s="1"/>
  <c r="S13" i="2"/>
  <c r="U13" i="2"/>
  <c r="T13" i="2" s="1"/>
  <c r="B14" i="2"/>
  <c r="I14" i="2"/>
  <c r="J14" i="2"/>
  <c r="K14" i="2"/>
  <c r="L14" i="2"/>
  <c r="M14" i="2"/>
  <c r="N14" i="2"/>
  <c r="O14" i="2"/>
  <c r="P14" i="2"/>
  <c r="R14" i="2"/>
  <c r="Q14" i="2" s="1"/>
  <c r="S14" i="2"/>
  <c r="U14" i="2"/>
  <c r="T14" i="2" s="1"/>
  <c r="D14" i="5"/>
  <c r="C13" i="2" s="1"/>
  <c r="D15" i="5"/>
  <c r="C14" i="2" s="1"/>
  <c r="D13" i="5"/>
  <c r="C12" i="2" s="1"/>
  <c r="B13" i="5"/>
  <c r="E13" i="5"/>
  <c r="F13" i="5"/>
  <c r="G13" i="5"/>
  <c r="I13" i="5"/>
  <c r="J13" i="5"/>
  <c r="K13" i="5"/>
  <c r="L13" i="5"/>
  <c r="M13" i="5"/>
  <c r="N13" i="5"/>
  <c r="O13" i="5"/>
  <c r="P13" i="5"/>
  <c r="R13" i="5"/>
  <c r="Q13" i="5" s="1"/>
  <c r="T13" i="5"/>
  <c r="S13" i="5" s="1"/>
  <c r="U13" i="5"/>
  <c r="B14" i="5"/>
  <c r="E14" i="5"/>
  <c r="F14" i="5"/>
  <c r="G14" i="5"/>
  <c r="J14" i="5"/>
  <c r="I14" i="5" s="1"/>
  <c r="K14" i="5"/>
  <c r="L14" i="5"/>
  <c r="M14" i="5"/>
  <c r="N14" i="5"/>
  <c r="O14" i="5"/>
  <c r="P14" i="5"/>
  <c r="R14" i="5"/>
  <c r="Q14" i="5" s="1"/>
  <c r="T14" i="5"/>
  <c r="S14" i="5" s="1"/>
  <c r="U14" i="5"/>
  <c r="B15" i="5"/>
  <c r="E15" i="5"/>
  <c r="F15" i="5"/>
  <c r="G15" i="5"/>
  <c r="J15" i="5"/>
  <c r="I15" i="5" s="1"/>
  <c r="K15" i="5"/>
  <c r="L15" i="5"/>
  <c r="M15" i="5"/>
  <c r="N15" i="5"/>
  <c r="O15" i="5"/>
  <c r="P15" i="5"/>
  <c r="Q15" i="5"/>
  <c r="R15" i="5"/>
  <c r="T15" i="5"/>
  <c r="S15" i="5" s="1"/>
  <c r="U15" i="5"/>
  <c r="J11" i="3"/>
  <c r="J12" i="3"/>
  <c r="J13" i="3"/>
  <c r="N13" i="3"/>
  <c r="R13" i="3"/>
  <c r="Q9" i="2"/>
  <c r="H13" i="5" l="1"/>
  <c r="H14" i="5"/>
  <c r="H15" i="5"/>
  <c r="N11" i="3"/>
  <c r="R11" i="3"/>
  <c r="N12" i="3"/>
  <c r="R12" i="3"/>
  <c r="B10" i="2"/>
  <c r="J10" i="2"/>
  <c r="I10" i="2" s="1"/>
  <c r="E17" i="1" s="1"/>
  <c r="K10" i="2"/>
  <c r="L10" i="2"/>
  <c r="M10" i="2"/>
  <c r="N10" i="2"/>
  <c r="O10" i="2"/>
  <c r="P10" i="2"/>
  <c r="P6" i="2" s="1"/>
  <c r="R10" i="2"/>
  <c r="R6" i="2" s="1"/>
  <c r="S10" i="2"/>
  <c r="S6" i="2" s="1"/>
  <c r="T10" i="2"/>
  <c r="U10" i="2"/>
  <c r="B11" i="2"/>
  <c r="J11" i="2"/>
  <c r="I11" i="2" s="1"/>
  <c r="E18" i="1" s="1"/>
  <c r="K11" i="2"/>
  <c r="L11" i="2"/>
  <c r="M11" i="2"/>
  <c r="N11" i="2"/>
  <c r="O11" i="2"/>
  <c r="P11" i="2"/>
  <c r="Q11" i="2"/>
  <c r="R11" i="2"/>
  <c r="S11" i="2"/>
  <c r="U11" i="2"/>
  <c r="T11" i="2" s="1"/>
  <c r="T9" i="2"/>
  <c r="U9" i="2"/>
  <c r="N6" i="2"/>
  <c r="O6" i="2"/>
  <c r="S9" i="2"/>
  <c r="R9" i="2"/>
  <c r="S4" i="2"/>
  <c r="R4" i="2"/>
  <c r="K9" i="2"/>
  <c r="L9" i="2"/>
  <c r="M9" i="2"/>
  <c r="N9" i="2"/>
  <c r="O9" i="2"/>
  <c r="P9" i="2"/>
  <c r="J9" i="2"/>
  <c r="I9" i="2" s="1"/>
  <c r="E16" i="1" s="1"/>
  <c r="K4" i="2"/>
  <c r="L4" i="2"/>
  <c r="M4" i="2"/>
  <c r="N4" i="2"/>
  <c r="O4" i="2"/>
  <c r="P4" i="2"/>
  <c r="J4" i="2"/>
  <c r="T11" i="5"/>
  <c r="U11" i="5"/>
  <c r="T12" i="5"/>
  <c r="U12" i="5"/>
  <c r="U10" i="5"/>
  <c r="T10" i="5"/>
  <c r="U4" i="5"/>
  <c r="T4" i="5"/>
  <c r="R11" i="5"/>
  <c r="Q11" i="5" s="1"/>
  <c r="R12" i="5"/>
  <c r="Q12" i="5" s="1"/>
  <c r="R10" i="5"/>
  <c r="J11" i="5"/>
  <c r="K11" i="5"/>
  <c r="L11" i="5"/>
  <c r="M11" i="5"/>
  <c r="N11" i="5"/>
  <c r="O11" i="5"/>
  <c r="P11" i="5"/>
  <c r="J12" i="5"/>
  <c r="I12" i="5" s="1"/>
  <c r="K12" i="5"/>
  <c r="L12" i="5"/>
  <c r="M12" i="5"/>
  <c r="N12" i="5"/>
  <c r="O12" i="5"/>
  <c r="P12" i="5"/>
  <c r="K10" i="5"/>
  <c r="L10" i="5"/>
  <c r="M10" i="5"/>
  <c r="N10" i="5"/>
  <c r="O10" i="5"/>
  <c r="P10" i="5"/>
  <c r="J10" i="5"/>
  <c r="K4" i="5"/>
  <c r="L4" i="5"/>
  <c r="M4" i="5"/>
  <c r="N4" i="5"/>
  <c r="O4" i="5"/>
  <c r="P4" i="5"/>
  <c r="J4" i="5"/>
  <c r="B11" i="5"/>
  <c r="D11" i="5"/>
  <c r="C10" i="2" s="1"/>
  <c r="E11" i="5"/>
  <c r="F11" i="5"/>
  <c r="G11" i="5"/>
  <c r="B12" i="5"/>
  <c r="D12" i="5"/>
  <c r="C11" i="2" s="1"/>
  <c r="E12" i="5"/>
  <c r="F12" i="5"/>
  <c r="G12" i="5"/>
  <c r="D10" i="5"/>
  <c r="B10" i="5"/>
  <c r="J10" i="3"/>
  <c r="R10" i="3" s="1"/>
  <c r="J9" i="3"/>
  <c r="R9" i="3" s="1"/>
  <c r="J8" i="3"/>
  <c r="R8" i="3" s="1"/>
  <c r="C1" i="3"/>
  <c r="F10" i="1"/>
  <c r="F2" i="4"/>
  <c r="H14" i="2" l="1"/>
  <c r="G14" i="2" s="1"/>
  <c r="H12" i="2"/>
  <c r="G12" i="2" s="1"/>
  <c r="H13" i="2"/>
  <c r="G13" i="2" s="1"/>
  <c r="C12" i="5"/>
  <c r="C13" i="5"/>
  <c r="C14" i="5"/>
  <c r="C15" i="5"/>
  <c r="S11" i="5"/>
  <c r="F18" i="1"/>
  <c r="S10" i="5"/>
  <c r="S12" i="5"/>
  <c r="H12" i="5" s="1"/>
  <c r="F17" i="1"/>
  <c r="C11" i="5"/>
  <c r="H10" i="2"/>
  <c r="E27" i="1" s="1"/>
  <c r="F27" i="1" s="1"/>
  <c r="H11" i="2"/>
  <c r="E28" i="1" s="1"/>
  <c r="F28" i="1" s="1"/>
  <c r="H9" i="2"/>
  <c r="E26" i="1" s="1"/>
  <c r="N8" i="3"/>
  <c r="Q10" i="2"/>
  <c r="Q6" i="2" s="1"/>
  <c r="I10" i="5"/>
  <c r="I11" i="5"/>
  <c r="N9" i="3"/>
  <c r="N10" i="3"/>
  <c r="A33" i="1"/>
  <c r="E14" i="1"/>
  <c r="F34" i="1"/>
  <c r="H2" i="4" s="1"/>
  <c r="F35" i="1"/>
  <c r="I2" i="4" s="1"/>
  <c r="F36" i="1"/>
  <c r="E2" i="4" s="1"/>
  <c r="F37" i="1"/>
  <c r="D2" i="4" s="1"/>
  <c r="H6" i="2" l="1"/>
  <c r="E14" i="2"/>
  <c r="E12" i="2"/>
  <c r="E13" i="2"/>
  <c r="H11" i="5"/>
  <c r="H10" i="5"/>
  <c r="G9" i="2"/>
  <c r="E25" i="1"/>
  <c r="G11" i="2"/>
  <c r="E11" i="2" s="1"/>
  <c r="G10" i="2"/>
  <c r="E10" i="2" s="1"/>
  <c r="L6" i="2"/>
  <c r="E21" i="2"/>
  <c r="C9" i="2"/>
  <c r="Q10" i="5"/>
  <c r="K6" i="2" l="1"/>
  <c r="M6" i="2"/>
  <c r="U6" i="2"/>
  <c r="J6" i="2"/>
  <c r="I6" i="2" l="1"/>
  <c r="F16" i="1" l="1"/>
  <c r="C10" i="5"/>
  <c r="E10" i="5"/>
  <c r="G10" i="5"/>
  <c r="F10" i="5"/>
  <c r="G6" i="2" l="1"/>
  <c r="F26" i="1"/>
  <c r="A1" i="5"/>
  <c r="F25" i="1" l="1"/>
  <c r="C2" i="4" s="1"/>
  <c r="C2" i="2"/>
  <c r="B2" i="2"/>
  <c r="A18" i="1" l="1"/>
  <c r="A26" i="1"/>
  <c r="A17" i="1"/>
  <c r="A27" i="1"/>
  <c r="A16" i="1"/>
  <c r="A28" i="1"/>
  <c r="B2" i="4"/>
  <c r="B9" i="2" l="1"/>
  <c r="A1" i="2"/>
  <c r="A22" i="1" l="1"/>
  <c r="E9" i="2"/>
  <c r="E6" i="2" s="1"/>
  <c r="T6" i="2"/>
  <c r="F22" i="1" l="1"/>
  <c r="F15" i="1" s="1"/>
  <c r="E30" i="1"/>
  <c r="F30" i="1" l="1"/>
  <c r="F33" i="1" s="1"/>
  <c r="F38" i="1" s="1"/>
  <c r="F40" i="1" s="1"/>
  <c r="A2" i="4"/>
  <c r="K2" i="4" s="1"/>
</calcChain>
</file>

<file path=xl/sharedStrings.xml><?xml version="1.0" encoding="utf-8"?>
<sst xmlns="http://schemas.openxmlformats.org/spreadsheetml/2006/main" count="121" uniqueCount="101">
  <si>
    <t>USA: +1 (669) 377-5080 | www.NNRoad.com</t>
    <phoneticPr fontId="7" type="noConversion"/>
  </si>
  <si>
    <t>Sum</t>
    <phoneticPr fontId="0" type="noConversion"/>
  </si>
  <si>
    <t>ER</t>
    <phoneticPr fontId="0" type="noConversion"/>
  </si>
  <si>
    <t>Business
Tax</t>
    <phoneticPr fontId="0" type="noConversion"/>
  </si>
  <si>
    <t>Management Fee</t>
  </si>
  <si>
    <t>Gross Salary</t>
    <phoneticPr fontId="0" type="noConversion"/>
  </si>
  <si>
    <t>Mandatory Contribution</t>
    <phoneticPr fontId="0" type="noConversion"/>
  </si>
  <si>
    <t>Expense Claim</t>
    <phoneticPr fontId="0" type="noConversion"/>
  </si>
  <si>
    <t>Subtotal</t>
    <phoneticPr fontId="0" type="noConversion"/>
  </si>
  <si>
    <t>Recurring
Fee</t>
    <phoneticPr fontId="0" type="noConversion"/>
  </si>
  <si>
    <t>Expense
Claim</t>
    <phoneticPr fontId="0" type="noConversion"/>
  </si>
  <si>
    <t>Pay Period</t>
    <phoneticPr fontId="0" type="noConversion"/>
  </si>
  <si>
    <t>Other Fee</t>
    <phoneticPr fontId="6" type="noConversion"/>
  </si>
  <si>
    <t>EE</t>
    <phoneticPr fontId="0" type="noConversion"/>
  </si>
  <si>
    <t>Client Code</t>
  </si>
  <si>
    <t>Client Name</t>
  </si>
  <si>
    <t>EE Code</t>
  </si>
  <si>
    <t>EE Name</t>
  </si>
  <si>
    <t>Pay Period</t>
  </si>
  <si>
    <t>Net
Income</t>
    <phoneticPr fontId="0" type="noConversion"/>
  </si>
  <si>
    <t>From</t>
  </si>
  <si>
    <t>To</t>
  </si>
  <si>
    <t>Company name:</t>
  </si>
  <si>
    <t>Payroll period:</t>
  </si>
  <si>
    <t>to</t>
  </si>
  <si>
    <t xml:space="preserve">Currency: </t>
  </si>
  <si>
    <t>Deposit</t>
  </si>
  <si>
    <t>333 W San Carlos St., Suite 600, San Jose, CA 95113, USA</t>
    <phoneticPr fontId="7" type="noConversion"/>
  </si>
  <si>
    <t xml:space="preserve">Outstanding payment </t>
  </si>
  <si>
    <t xml:space="preserve">FX difference </t>
  </si>
  <si>
    <t>Interests of delay</t>
  </si>
  <si>
    <t>Bank Charges</t>
  </si>
  <si>
    <t xml:space="preserve">Invoice adjustment </t>
  </si>
  <si>
    <t>Direct Cost</t>
    <phoneticPr fontId="4" type="noConversion"/>
  </si>
  <si>
    <t>Business Tax</t>
    <phoneticPr fontId="4" type="noConversion"/>
  </si>
  <si>
    <t>Service Fee</t>
    <phoneticPr fontId="4" type="noConversion"/>
  </si>
  <si>
    <t xml:space="preserve">Bank Fee * </t>
    <phoneticPr fontId="4" type="noConversion"/>
  </si>
  <si>
    <t>Late Pay Fine</t>
    <phoneticPr fontId="4" type="noConversion"/>
  </si>
  <si>
    <t>Advance Payment</t>
    <phoneticPr fontId="4" type="noConversion"/>
  </si>
  <si>
    <t>Outstanding payment **</t>
    <phoneticPr fontId="6" type="noConversion"/>
  </si>
  <si>
    <t>Invoice adjustment ***</t>
    <phoneticPr fontId="6" type="noConversion"/>
  </si>
  <si>
    <t>total</t>
    <phoneticPr fontId="4" type="noConversion"/>
  </si>
  <si>
    <t>* NNRoad USD 10 + vendor bank in Vendor's invoice</t>
    <phoneticPr fontId="6" type="noConversion"/>
  </si>
  <si>
    <t>** the differnece between NNRoad PN and the amount we actually received</t>
    <phoneticPr fontId="6" type="noConversion"/>
  </si>
  <si>
    <t>*** PN adjustment with pre-payment or PN revisal</t>
    <phoneticPr fontId="6" type="noConversion"/>
  </si>
  <si>
    <t>Bill to:</t>
  </si>
  <si>
    <t>INVOICE</t>
  </si>
  <si>
    <t>Invoice number</t>
  </si>
  <si>
    <t>Address:</t>
  </si>
  <si>
    <t>Due date</t>
  </si>
  <si>
    <t>Invoice date</t>
  </si>
  <si>
    <t>Description</t>
  </si>
  <si>
    <r>
      <t>N</t>
    </r>
    <r>
      <rPr>
        <b/>
        <sz val="12"/>
        <color rgb="FF8DC63F"/>
        <rFont val="Calibri"/>
        <family val="2"/>
        <scheme val="minor"/>
      </rPr>
      <t>N</t>
    </r>
    <r>
      <rPr>
        <b/>
        <sz val="12"/>
        <color rgb="FF0066B3"/>
        <rFont val="Calibri"/>
        <family val="2"/>
        <scheme val="minor"/>
      </rPr>
      <t>Road</t>
    </r>
    <r>
      <rPr>
        <b/>
        <sz val="12"/>
        <color rgb="FF8DC63F"/>
        <rFont val="Calibri"/>
        <family val="2"/>
        <scheme val="minor"/>
      </rPr>
      <t> – Employer of Record, Payroll Worldwide</t>
    </r>
  </si>
  <si>
    <t>Beneficiary: NNROAD, INC.
Bank Name: Chase Bank
Bank Account: 132827913
Bank Add.: 690 River Oaks Parkway Ste A, San Jose, CA 95134, USA</t>
  </si>
  <si>
    <t>EOR/PEO Cost</t>
  </si>
  <si>
    <t>Service Fee</t>
  </si>
  <si>
    <t>Approx. In USD*</t>
  </si>
  <si>
    <t xml:space="preserve">
SWIFT BIC (international transfer): CHASUS33XXX
Routing Number (domestic wire transfer): 021000021
Routing Number (domestic ACH and direct deposit): 322271627</t>
  </si>
  <si>
    <t>USD</t>
  </si>
  <si>
    <t>Currency</t>
  </si>
  <si>
    <t xml:space="preserve">Total		</t>
  </si>
  <si>
    <t>Notes:</t>
  </si>
  <si>
    <t>2. This document becomes a Tax Invoice/Receipt upon payment. Please retain a copy for your records.</t>
  </si>
  <si>
    <t>1. Please ensure that you include the Invoice Number when making your payment. This will help us accurately process and allocate your payment .</t>
  </si>
  <si>
    <t xml:space="preserve">EOR/PEO Service Cost		</t>
  </si>
  <si>
    <t xml:space="preserve">Please pay the Invoice in FULL AMOUNT </t>
  </si>
  <si>
    <t>Client ID:</t>
  </si>
  <si>
    <t>3. This is a computer generated document.  No Signature required.</t>
  </si>
  <si>
    <t xml:space="preserve">Interests of delay </t>
  </si>
  <si>
    <t xml:space="preserve">Bank Charges </t>
  </si>
  <si>
    <t>EOR/PEO Service Cost</t>
  </si>
  <si>
    <t>Tax</t>
  </si>
  <si>
    <t xml:space="preserve">Sub Total (Excluding Tax)		</t>
  </si>
  <si>
    <t xml:space="preserve"> FX difference  	</t>
  </si>
  <si>
    <t>Danfoss Fzco</t>
  </si>
  <si>
    <t>CUS1677</t>
  </si>
  <si>
    <t xml:space="preserve">Plot No. EWTA96 Opp. Belhasa Driving School Jebel Ali </t>
  </si>
  <si>
    <t>PKR</t>
  </si>
  <si>
    <t>No. of EE</t>
  </si>
  <si>
    <t>Name of Employee</t>
  </si>
  <si>
    <t>Base Salary</t>
  </si>
  <si>
    <t>Salary Adjusment</t>
  </si>
  <si>
    <t>OT</t>
  </si>
  <si>
    <t>Monthly Bonus</t>
  </si>
  <si>
    <t>Other Bonus</t>
  </si>
  <si>
    <t>Leave Payment</t>
  </si>
  <si>
    <t xml:space="preserve">Other </t>
  </si>
  <si>
    <t>Gross Salary</t>
  </si>
  <si>
    <t>Expense Reimbursment</t>
  </si>
  <si>
    <t>E.O.B.I</t>
    <phoneticPr fontId="7" type="noConversion"/>
  </si>
  <si>
    <t>IT</t>
    <phoneticPr fontId="7" type="noConversion"/>
  </si>
  <si>
    <t>Net Salary</t>
  </si>
  <si>
    <t>Social Benefit</t>
    <phoneticPr fontId="7" type="noConversion"/>
  </si>
  <si>
    <t>Medical Insurance</t>
  </si>
  <si>
    <t>Total Cost</t>
  </si>
  <si>
    <t>Muhammad Ismail Ghazi</t>
    <phoneticPr fontId="7" type="noConversion"/>
  </si>
  <si>
    <t>EOR/PEO(PKR)</t>
  </si>
  <si>
    <t>Muhammad Jawad Raza</t>
  </si>
  <si>
    <t>2026/4/1</t>
  </si>
  <si>
    <t>2026/6/30</t>
  </si>
  <si>
    <t>PN-CUS1677-031820261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</si>
</sst>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_ "/>
    <numFmt numFmtId="167" formatCode="_(* #,##0_);_(* \(#,##0\);_(* &quot;-&quot;??_);_(@_)"/>
    <numFmt numFmtId="168" formatCode="0.0000"/>
  </numFmts>
  <fonts count="38">
    <font>
      <sz val="11"/>
      <color theme="1"/>
      <name val="Calibri"/>
      <family val="2"/>
      <scheme val="minor"/>
    </font>
    <font>
      <b/>
      <sz val="10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sz val="12"/>
      <color rgb="FFFA7D00"/>
      <name val="Calibri"/>
      <family val="2"/>
      <scheme val="minor"/>
    </font>
    <font>
      <sz val="11"/>
      <color theme="1"/>
      <name val="Calibri"/>
      <family val="3"/>
      <charset val="134"/>
      <scheme val="minor"/>
    </font>
    <font>
      <sz val="11"/>
      <color rgb="FF000000"/>
      <name val="Calibri"/>
      <family val="4"/>
      <charset val="134"/>
      <scheme val="minor"/>
    </font>
    <font>
      <sz val="10"/>
      <color rgb="FF000000"/>
      <name val="Calibri"/>
      <family val="4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66B3"/>
      <name val="Calibri"/>
      <family val="2"/>
      <scheme val="minor"/>
    </font>
    <font>
      <b/>
      <sz val="12"/>
      <color rgb="FF8DC63F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ashDot">
        <color theme="9" tint="-0.24994659260841701"/>
      </right>
      <top/>
      <bottom/>
      <diagonal/>
    </border>
    <border>
      <left style="dashDot">
        <color theme="9" tint="-0.24994659260841701"/>
      </left>
      <right/>
      <top/>
      <bottom/>
      <diagonal/>
    </border>
    <border>
      <left style="medium">
        <color theme="8" tint="0.59996337778862885"/>
      </left>
      <right/>
      <top/>
      <bottom/>
      <diagonal/>
    </border>
    <border>
      <left/>
      <right style="medium">
        <color theme="8" tint="0.59996337778862885"/>
      </right>
      <top/>
      <bottom/>
      <diagonal/>
    </border>
    <border>
      <left/>
      <right/>
      <top style="medium">
        <color theme="8" tint="0.59996337778862885"/>
      </top>
      <bottom/>
      <diagonal/>
    </border>
    <border>
      <left style="medium">
        <color theme="8" tint="0.59996337778862885"/>
      </left>
      <right/>
      <top style="medium">
        <color theme="8" tint="0.59996337778862885"/>
      </top>
      <bottom/>
      <diagonal/>
    </border>
    <border>
      <left/>
      <right style="medium">
        <color theme="8" tint="0.59996337778862885"/>
      </right>
      <top style="medium">
        <color theme="8" tint="0.59996337778862885"/>
      </top>
      <bottom/>
      <diagonal/>
    </border>
    <border>
      <left style="medium">
        <color theme="8" tint="0.59996337778862885"/>
      </left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/>
      <top style="hair">
        <color theme="8" tint="0.59996337778862885"/>
      </top>
      <bottom style="medium">
        <color theme="8" tint="0.59996337778862885"/>
      </bottom>
      <diagonal/>
    </border>
    <border>
      <left/>
      <right style="medium">
        <color theme="8" tint="0.59996337778862885"/>
      </right>
      <top style="hair">
        <color theme="8" tint="0.59996337778862885"/>
      </top>
      <bottom style="medium">
        <color theme="8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9BC2E7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4" fillId="0" borderId="0">
      <alignment vertical="center"/>
    </xf>
    <xf numFmtId="165" fontId="11" fillId="0" borderId="0" applyFont="0" applyFill="0" applyBorder="0" applyAlignment="0" applyProtection="0"/>
  </cellStyleXfs>
  <cellXfs count="17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6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40" fontId="2" fillId="2" borderId="7" xfId="0" applyNumberFormat="1" applyFont="1" applyFill="1" applyBorder="1" applyAlignment="1">
      <alignment vertical="center"/>
    </xf>
    <xf numFmtId="40" fontId="2" fillId="2" borderId="16" xfId="0" applyNumberFormat="1" applyFont="1" applyFill="1" applyBorder="1" applyAlignment="1">
      <alignment vertical="center"/>
    </xf>
    <xf numFmtId="40" fontId="2" fillId="2" borderId="8" xfId="0" applyNumberFormat="1" applyFont="1" applyFill="1" applyBorder="1" applyAlignment="1">
      <alignment vertical="center"/>
    </xf>
    <xf numFmtId="40" fontId="2" fillId="2" borderId="9" xfId="0" applyNumberFormat="1" applyFont="1" applyFill="1" applyBorder="1" applyAlignment="1">
      <alignment vertical="center"/>
    </xf>
    <xf numFmtId="40" fontId="2" fillId="2" borderId="17" xfId="0" applyNumberFormat="1" applyFont="1" applyFill="1" applyBorder="1" applyAlignment="1">
      <alignment vertical="center"/>
    </xf>
    <xf numFmtId="40" fontId="2" fillId="2" borderId="10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40" fontId="2" fillId="2" borderId="11" xfId="0" applyNumberFormat="1" applyFont="1" applyFill="1" applyBorder="1" applyAlignment="1">
      <alignment vertical="center"/>
    </xf>
    <xf numFmtId="40" fontId="2" fillId="2" borderId="18" xfId="0" applyNumberFormat="1" applyFont="1" applyFill="1" applyBorder="1" applyAlignment="1">
      <alignment vertical="center"/>
    </xf>
    <xf numFmtId="40" fontId="2" fillId="2" borderId="12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right"/>
    </xf>
    <xf numFmtId="2" fontId="0" fillId="0" borderId="0" xfId="0" applyNumberFormat="1"/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4" fontId="0" fillId="0" borderId="0" xfId="0" applyNumberFormat="1" applyAlignment="1">
      <alignment vertical="center"/>
    </xf>
    <xf numFmtId="0" fontId="4" fillId="0" borderId="0" xfId="1">
      <alignment vertical="center"/>
    </xf>
    <xf numFmtId="49" fontId="0" fillId="0" borderId="0" xfId="0" applyNumberFormat="1"/>
    <xf numFmtId="40" fontId="2" fillId="0" borderId="0" xfId="0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40" fontId="10" fillId="0" borderId="24" xfId="0" applyNumberFormat="1" applyFont="1" applyBorder="1" applyAlignment="1">
      <alignment vertical="center"/>
    </xf>
    <xf numFmtId="40" fontId="10" fillId="0" borderId="25" xfId="0" applyNumberFormat="1" applyFont="1" applyBorder="1" applyAlignment="1">
      <alignment vertical="center"/>
    </xf>
    <xf numFmtId="40" fontId="10" fillId="0" borderId="26" xfId="0" applyNumberFormat="1" applyFont="1" applyBorder="1" applyAlignment="1">
      <alignment vertical="center"/>
    </xf>
    <xf numFmtId="40" fontId="10" fillId="0" borderId="27" xfId="0" applyNumberFormat="1" applyFont="1" applyBorder="1" applyAlignment="1">
      <alignment vertical="center"/>
    </xf>
    <xf numFmtId="40" fontId="10" fillId="0" borderId="28" xfId="0" applyNumberFormat="1" applyFont="1" applyBorder="1" applyAlignment="1">
      <alignment vertical="center"/>
    </xf>
    <xf numFmtId="40" fontId="10" fillId="0" borderId="29" xfId="0" applyNumberFormat="1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4" fontId="22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0" fontId="21" fillId="0" borderId="0" xfId="0" applyFont="1" applyAlignment="1">
      <alignment horizontal="left" vertical="center" indent="1"/>
    </xf>
    <xf numFmtId="40" fontId="26" fillId="0" borderId="0" xfId="0" applyNumberFormat="1" applyFont="1" applyAlignment="1">
      <alignment vertical="center"/>
    </xf>
    <xf numFmtId="0" fontId="27" fillId="0" borderId="0" xfId="0" applyFont="1" applyAlignment="1">
      <alignment vertical="center"/>
    </xf>
    <xf numFmtId="165" fontId="26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right" vertical="center"/>
    </xf>
    <xf numFmtId="14" fontId="30" fillId="0" borderId="0" xfId="0" applyNumberFormat="1" applyFont="1" applyAlignment="1">
      <alignment vertical="center"/>
    </xf>
    <xf numFmtId="0" fontId="31" fillId="0" borderId="0" xfId="0" applyFont="1" applyAlignment="1">
      <alignment horizontal="right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6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vertical="top" wrapText="1"/>
    </xf>
    <xf numFmtId="164" fontId="26" fillId="0" borderId="0" xfId="0" applyNumberFormat="1" applyFont="1" applyAlignment="1">
      <alignment horizontal="right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5" fillId="5" borderId="34" xfId="0" applyFont="1" applyFill="1" applyBorder="1" applyAlignment="1">
      <alignment horizontal="center" vertical="center"/>
    </xf>
    <xf numFmtId="0" fontId="25" fillId="5" borderId="36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167" fontId="12" fillId="0" borderId="0" xfId="2" applyNumberFormat="1" applyFont="1"/>
    <xf numFmtId="0" fontId="12" fillId="0" borderId="0" xfId="0" applyFont="1"/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center" vertical="center" wrapText="1"/>
    </xf>
    <xf numFmtId="0" fontId="1" fillId="0" borderId="40" xfId="0" applyFont="1" applyBorder="1" applyAlignment="1">
      <alignment vertical="center"/>
    </xf>
    <xf numFmtId="0" fontId="34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3"/>
    </xf>
    <xf numFmtId="0" fontId="19" fillId="0" borderId="0" xfId="0" applyFont="1" applyAlignment="1">
      <alignment horizontal="left" vertical="center" inden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indent="2"/>
    </xf>
    <xf numFmtId="165" fontId="19" fillId="0" borderId="0" xfId="0" applyNumberFormat="1" applyFont="1" applyAlignment="1">
      <alignment horizontal="left" vertical="center" indent="1"/>
    </xf>
    <xf numFmtId="165" fontId="34" fillId="0" borderId="0" xfId="0" applyNumberFormat="1" applyFont="1" applyAlignment="1">
      <alignment horizontal="left" vertical="center"/>
    </xf>
    <xf numFmtId="164" fontId="35" fillId="0" borderId="33" xfId="0" applyNumberFormat="1" applyFont="1" applyBorder="1" applyAlignment="1">
      <alignment horizontal="left" vertical="center"/>
    </xf>
    <xf numFmtId="164" fontId="19" fillId="0" borderId="33" xfId="0" applyNumberFormat="1" applyFont="1" applyBorder="1" applyAlignment="1">
      <alignment horizontal="left" vertical="center"/>
    </xf>
    <xf numFmtId="165" fontId="19" fillId="0" borderId="0" xfId="0" applyNumberFormat="1" applyFont="1" applyAlignment="1">
      <alignment horizontal="left" vertical="center"/>
    </xf>
    <xf numFmtId="164" fontId="34" fillId="0" borderId="33" xfId="0" applyNumberFormat="1" applyFont="1" applyBorder="1" applyAlignment="1">
      <alignment horizontal="left" vertical="center"/>
    </xf>
    <xf numFmtId="165" fontId="16" fillId="0" borderId="0" xfId="0" applyNumberFormat="1" applyFont="1" applyAlignment="1">
      <alignment horizontal="left" vertical="center"/>
    </xf>
    <xf numFmtId="164" fontId="16" fillId="0" borderId="33" xfId="0" applyNumberFormat="1" applyFont="1" applyBorder="1" applyAlignment="1">
      <alignment horizontal="left" vertical="center"/>
    </xf>
    <xf numFmtId="165" fontId="26" fillId="0" borderId="38" xfId="0" applyNumberFormat="1" applyFont="1" applyBorder="1" applyAlignment="1">
      <alignment horizontal="left" vertical="center"/>
    </xf>
    <xf numFmtId="164" fontId="26" fillId="0" borderId="39" xfId="0" applyNumberFormat="1" applyFont="1" applyBorder="1" applyAlignment="1">
      <alignment horizontal="left" vertical="center"/>
    </xf>
    <xf numFmtId="168" fontId="28" fillId="0" borderId="0" xfId="0" applyNumberFormat="1" applyFont="1" applyAlignment="1">
      <alignment horizontal="left" vertical="center" indent="1"/>
    </xf>
    <xf numFmtId="164" fontId="36" fillId="0" borderId="44" xfId="0" applyNumberFormat="1" applyFont="1" applyBorder="1" applyAlignment="1">
      <alignment horizontal="right" vertical="center"/>
    </xf>
    <xf numFmtId="164" fontId="36" fillId="0" borderId="46" xfId="0" applyNumberFormat="1" applyFont="1" applyBorder="1" applyAlignment="1">
      <alignment horizontal="right" vertical="center"/>
    </xf>
    <xf numFmtId="164" fontId="36" fillId="0" borderId="48" xfId="0" applyNumberFormat="1" applyFont="1" applyBorder="1" applyAlignment="1">
      <alignment horizontal="right" vertical="center"/>
    </xf>
    <xf numFmtId="164" fontId="21" fillId="0" borderId="46" xfId="0" applyNumberFormat="1" applyFont="1" applyBorder="1" applyAlignment="1">
      <alignment horizontal="right" vertical="center"/>
    </xf>
    <xf numFmtId="164" fontId="21" fillId="0" borderId="51" xfId="0" applyNumberFormat="1" applyFont="1" applyBorder="1" applyAlignment="1">
      <alignment horizontal="right" vertical="center"/>
    </xf>
    <xf numFmtId="164" fontId="0" fillId="0" borderId="0" xfId="0" applyNumberFormat="1" applyAlignment="1">
      <alignment vertical="center"/>
    </xf>
    <xf numFmtId="0" fontId="0" fillId="6" borderId="0" xfId="0" applyFill="1" applyAlignment="1">
      <alignment vertical="center" wrapText="1"/>
    </xf>
    <xf numFmtId="0" fontId="0" fillId="7" borderId="52" xfId="0" applyFill="1" applyBorder="1" applyAlignment="1">
      <alignment vertical="center" wrapText="1"/>
    </xf>
    <xf numFmtId="0" fontId="0" fillId="7" borderId="53" xfId="0" applyFill="1" applyBorder="1" applyAlignment="1">
      <alignment horizontal="center" vertical="center" wrapText="1"/>
    </xf>
    <xf numFmtId="4" fontId="0" fillId="7" borderId="53" xfId="0" applyNumberFormat="1" applyFill="1" applyBorder="1" applyAlignment="1">
      <alignment horizontal="center" vertical="center" wrapText="1"/>
    </xf>
    <xf numFmtId="0" fontId="0" fillId="7" borderId="54" xfId="0" applyFill="1" applyBorder="1" applyAlignment="1">
      <alignment horizontal="center" vertical="center" wrapText="1"/>
    </xf>
    <xf numFmtId="0" fontId="0" fillId="0" borderId="55" xfId="0" applyBorder="1"/>
    <xf numFmtId="0" fontId="0" fillId="0" borderId="56" xfId="0" applyBorder="1"/>
    <xf numFmtId="4" fontId="0" fillId="0" borderId="56" xfId="0" applyNumberFormat="1" applyBorder="1"/>
    <xf numFmtId="3" fontId="0" fillId="0" borderId="56" xfId="0" applyNumberFormat="1" applyBorder="1"/>
    <xf numFmtId="4" fontId="2" fillId="0" borderId="6" xfId="0" applyNumberFormat="1" applyFont="1" applyBorder="1" applyAlignment="1">
      <alignment horizontal="center" vertical="center" shrinkToFit="1"/>
    </xf>
    <xf numFmtId="4" fontId="2" fillId="0" borderId="4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21" fillId="0" borderId="32" xfId="0" applyFont="1" applyBorder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19" fillId="0" borderId="32" xfId="0" applyFont="1" applyBorder="1" applyAlignment="1">
      <alignment horizontal="left" vertical="center" indent="2"/>
    </xf>
    <xf numFmtId="0" fontId="19" fillId="0" borderId="0" xfId="0" applyFont="1" applyAlignment="1">
      <alignment horizontal="left" vertical="center" indent="2"/>
    </xf>
    <xf numFmtId="0" fontId="21" fillId="4" borderId="0" xfId="0" applyFont="1" applyFill="1" applyAlignment="1">
      <alignment horizontal="center"/>
    </xf>
    <xf numFmtId="0" fontId="30" fillId="0" borderId="0" xfId="0" applyFont="1" applyAlignment="1">
      <alignment horizontal="right" vertical="top" wrapText="1"/>
    </xf>
    <xf numFmtId="0" fontId="34" fillId="0" borderId="32" xfId="0" applyFont="1" applyBorder="1" applyAlignment="1">
      <alignment horizontal="left" vertical="center" indent="1"/>
    </xf>
    <xf numFmtId="0" fontId="34" fillId="0" borderId="0" xfId="0" applyFont="1" applyAlignment="1">
      <alignment horizontal="left" vertical="center" indent="1"/>
    </xf>
    <xf numFmtId="0" fontId="19" fillId="0" borderId="3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6" fillId="0" borderId="37" xfId="0" applyFont="1" applyBorder="1" applyAlignment="1">
      <alignment horizontal="left" vertical="center" indent="1"/>
    </xf>
    <xf numFmtId="0" fontId="26" fillId="0" borderId="38" xfId="0" applyFont="1" applyBorder="1" applyAlignment="1">
      <alignment horizontal="left" vertical="center" indent="1"/>
    </xf>
    <xf numFmtId="0" fontId="19" fillId="0" borderId="32" xfId="0" applyFont="1" applyBorder="1" applyAlignment="1">
      <alignment horizontal="left" vertical="center" indent="3"/>
    </xf>
    <xf numFmtId="0" fontId="19" fillId="0" borderId="0" xfId="0" applyFont="1" applyAlignment="1">
      <alignment horizontal="left" vertical="center" indent="3"/>
    </xf>
    <xf numFmtId="0" fontId="17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25" fillId="5" borderId="35" xfId="0" applyFont="1" applyFill="1" applyBorder="1" applyAlignment="1">
      <alignment horizontal="center" vertical="center"/>
    </xf>
    <xf numFmtId="0" fontId="25" fillId="5" borderId="34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66" fontId="16" fillId="3" borderId="0" xfId="0" applyNumberFormat="1" applyFont="1" applyFill="1" applyAlignment="1">
      <alignment horizontal="left" vertical="center" wrapText="1" indent="2"/>
    </xf>
    <xf numFmtId="166" fontId="16" fillId="3" borderId="30" xfId="0" applyNumberFormat="1" applyFont="1" applyFill="1" applyBorder="1" applyAlignment="1">
      <alignment horizontal="left" vertical="center" wrapText="1" indent="2"/>
    </xf>
    <xf numFmtId="166" fontId="16" fillId="3" borderId="31" xfId="0" applyNumberFormat="1" applyFont="1" applyFill="1" applyBorder="1" applyAlignment="1">
      <alignment horizontal="left" vertical="center" wrapText="1" indent="2"/>
    </xf>
    <xf numFmtId="165" fontId="36" fillId="0" borderId="42" xfId="0" applyNumberFormat="1" applyFont="1" applyBorder="1" applyAlignment="1">
      <alignment horizontal="right" vertical="center"/>
    </xf>
    <xf numFmtId="165" fontId="36" fillId="0" borderId="43" xfId="0" applyNumberFormat="1" applyFont="1" applyBorder="1" applyAlignment="1">
      <alignment horizontal="right" vertical="center"/>
    </xf>
    <xf numFmtId="165" fontId="36" fillId="0" borderId="45" xfId="0" applyNumberFormat="1" applyFont="1" applyBorder="1" applyAlignment="1">
      <alignment horizontal="right" vertical="center"/>
    </xf>
    <xf numFmtId="165" fontId="36" fillId="0" borderId="0" xfId="0" applyNumberFormat="1" applyFont="1" applyAlignment="1">
      <alignment horizontal="right" vertical="center"/>
    </xf>
    <xf numFmtId="40" fontId="36" fillId="0" borderId="47" xfId="0" applyNumberFormat="1" applyFont="1" applyBorder="1" applyAlignment="1">
      <alignment horizontal="right" vertical="center"/>
    </xf>
    <xf numFmtId="40" fontId="36" fillId="0" borderId="41" xfId="0" applyNumberFormat="1" applyFont="1" applyBorder="1" applyAlignment="1">
      <alignment horizontal="right" vertical="center"/>
    </xf>
    <xf numFmtId="165" fontId="21" fillId="0" borderId="45" xfId="0" applyNumberFormat="1" applyFont="1" applyBorder="1" applyAlignment="1">
      <alignment horizontal="right" vertical="center"/>
    </xf>
    <xf numFmtId="165" fontId="21" fillId="0" borderId="0" xfId="0" applyNumberFormat="1" applyFont="1" applyAlignment="1">
      <alignment horizontal="right" vertical="center"/>
    </xf>
    <xf numFmtId="165" fontId="21" fillId="0" borderId="45" xfId="0" applyNumberFormat="1" applyFont="1" applyBorder="1" applyAlignment="1">
      <alignment horizontal="right" vertical="center" indent="1"/>
    </xf>
    <xf numFmtId="165" fontId="21" fillId="0" borderId="0" xfId="0" applyNumberFormat="1" applyFont="1" applyAlignment="1">
      <alignment horizontal="right" vertical="center" indent="1"/>
    </xf>
    <xf numFmtId="165" fontId="21" fillId="0" borderId="49" xfId="0" applyNumberFormat="1" applyFont="1" applyBorder="1" applyAlignment="1">
      <alignment horizontal="right" vertical="center"/>
    </xf>
    <xf numFmtId="165" fontId="21" fillId="0" borderId="50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horizontal="center" vertical="center" shrinkToFit="1"/>
    </xf>
    <xf numFmtId="0" fontId="2" fillId="0" borderId="57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4" fontId="0" fillId="0" borderId="56" xfId="2" applyNumberFormat="1" applyFont="1" applyBorder="1" applyAlignment="1"/>
    <xf numFmtId="0" fontId="37" fillId="0" borderId="56" xfId="0" applyFont="1" applyBorder="1"/>
  </cellXfs>
  <cellStyles count="3">
    <cellStyle name="Comma" xfId="2" builtinId="3"/>
    <cellStyle name="Normal" xfId="0" builtinId="0"/>
    <cellStyle name="常规 2" xfId="1" xr:uid="{43AA1550-6345-4C45-AE3A-35D24DE6446E}"/>
  </cellStyles>
  <dxfs count="0"/>
  <tableStyles count="0" defaultTableStyle="TableStyleMedium2" defaultPivotStyle="PivotStyleLight16"/>
  <colors>
    <mruColors>
      <color rgb="FFBED8EE"/>
      <color rgb="FF9BC2E7"/>
      <color rgb="FFE2F0FF"/>
      <color rgb="FFEFF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29028</xdr:colOff>
      <xdr:row>2</xdr:row>
      <xdr:rowOff>109286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EFD7F45-4822-4B5B-8168-B6799C295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67857" cy="5356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62DF-866C-4494-8029-AC590EA3BE10}">
  <dimension ref="A1:H102"/>
  <sheetViews>
    <sheetView tabSelected="1" zoomScale="150" zoomScaleNormal="150" workbookViewId="0">
      <selection activeCell="H18" sqref="H18"/>
    </sheetView>
  </sheetViews>
  <sheetFormatPr defaultColWidth="14.6328125" defaultRowHeight="10.5"/>
  <cols>
    <col min="1" max="2" width="14.6328125" style="52"/>
    <col min="3" max="3" width="13.81640625" style="52" customWidth="1"/>
    <col min="4" max="4" width="12.6328125" style="52" customWidth="1"/>
    <col min="5" max="5" width="14.6328125" style="52"/>
    <col min="6" max="6" width="13.453125" style="54" customWidth="1"/>
    <col min="7" max="7" width="14.6328125" style="54"/>
    <col min="8" max="16384" width="14.6328125" style="52"/>
  </cols>
  <sheetData>
    <row r="1" spans="1:8" ht="19" customHeight="1">
      <c r="B1" s="135" t="s">
        <v>52</v>
      </c>
      <c r="C1" s="135"/>
      <c r="D1" s="135"/>
      <c r="E1" s="135"/>
      <c r="F1" s="135"/>
      <c r="G1" s="53"/>
      <c r="H1" s="54"/>
    </row>
    <row r="2" spans="1:8" ht="14.25" customHeight="1">
      <c r="B2" s="136" t="s">
        <v>27</v>
      </c>
      <c r="C2" s="136"/>
      <c r="D2" s="136"/>
      <c r="E2" s="136"/>
      <c r="F2" s="136"/>
      <c r="G2" s="53"/>
      <c r="H2" s="54"/>
    </row>
    <row r="3" spans="1:8" s="55" customFormat="1" ht="18" customHeight="1">
      <c r="B3" s="136" t="s">
        <v>0</v>
      </c>
      <c r="C3" s="136"/>
      <c r="D3" s="136"/>
      <c r="E3" s="136"/>
      <c r="F3" s="136"/>
      <c r="G3" s="53"/>
      <c r="H3" s="53"/>
    </row>
    <row r="4" spans="1:8" s="55" customFormat="1" ht="14" customHeight="1">
      <c r="G4" s="53"/>
      <c r="H4" s="53"/>
    </row>
    <row r="5" spans="1:8" s="55" customFormat="1" ht="32" customHeight="1">
      <c r="A5" s="139" t="s">
        <v>46</v>
      </c>
      <c r="B5" s="139"/>
      <c r="C5" s="139"/>
      <c r="D5" s="139"/>
      <c r="E5" s="139"/>
      <c r="F5" s="139"/>
    </row>
    <row r="6" spans="1:8" s="55" customFormat="1" ht="12" customHeight="1">
      <c r="A6" s="50"/>
      <c r="B6" s="50"/>
      <c r="C6" s="50"/>
      <c r="D6" s="50"/>
      <c r="E6" s="50"/>
      <c r="F6" s="50"/>
    </row>
    <row r="7" spans="1:8" s="55" customFormat="1" ht="13" customHeight="1">
      <c r="A7" s="51" t="s">
        <v>45</v>
      </c>
      <c r="B7" s="51"/>
      <c r="C7" s="51"/>
      <c r="D7" s="51"/>
      <c r="E7" s="51"/>
    </row>
    <row r="8" spans="1:8" s="56" customFormat="1" ht="13" customHeight="1">
      <c r="A8" s="65" t="s">
        <v>22</v>
      </c>
      <c r="B8" s="66" t="s">
        <v>74</v>
      </c>
      <c r="C8" s="72"/>
      <c r="D8" s="65" t="s">
        <v>59</v>
      </c>
      <c r="E8" s="65"/>
      <c r="F8" s="66" t="s">
        <v>58</v>
      </c>
    </row>
    <row r="9" spans="1:8" s="56" customFormat="1" ht="13" customHeight="1">
      <c r="A9" s="65" t="s">
        <v>66</v>
      </c>
      <c r="B9" s="66" t="s">
        <v>75</v>
      </c>
      <c r="C9" s="73"/>
      <c r="D9" s="65" t="s">
        <v>47</v>
      </c>
      <c r="E9" s="65"/>
      <c r="F9" s="66" t="s">
        <v>100</v>
      </c>
    </row>
    <row r="10" spans="1:8" s="55" customFormat="1" ht="13" customHeight="1">
      <c r="A10" s="65" t="s">
        <v>48</v>
      </c>
      <c r="B10" s="126" t="s">
        <v>76</v>
      </c>
      <c r="C10" s="73"/>
      <c r="D10" s="65" t="s">
        <v>50</v>
      </c>
      <c r="E10" s="65"/>
      <c r="F10" s="67">
        <f ca="1">TODAY()</f>
        <v>46099</v>
      </c>
    </row>
    <row r="11" spans="1:8" s="56" customFormat="1" ht="12" customHeight="1">
      <c r="A11" s="68"/>
      <c r="B11" s="126"/>
      <c r="D11" s="65" t="s">
        <v>49</v>
      </c>
      <c r="E11" s="65"/>
      <c r="F11" s="67">
        <v>46127</v>
      </c>
    </row>
    <row r="12" spans="1:8" s="55" customFormat="1" ht="12" customHeight="1">
      <c r="A12" s="58"/>
      <c r="B12" s="58"/>
      <c r="C12" s="58"/>
      <c r="D12" s="58"/>
      <c r="E12" s="59"/>
    </row>
    <row r="13" spans="1:8" ht="11" thickBot="1">
      <c r="G13" s="52"/>
    </row>
    <row r="14" spans="1:8" s="60" customFormat="1" ht="28" customHeight="1">
      <c r="A14" s="137" t="s">
        <v>51</v>
      </c>
      <c r="B14" s="138"/>
      <c r="C14" s="138"/>
      <c r="D14" s="77"/>
      <c r="E14" s="77" t="str">
        <f>"Amount "&amp;Pakistan!C6</f>
        <v>Amount PKR</v>
      </c>
      <c r="F14" s="78" t="s">
        <v>56</v>
      </c>
    </row>
    <row r="15" spans="1:8" s="63" customFormat="1" ht="16" customHeight="1">
      <c r="A15" s="127" t="s">
        <v>54</v>
      </c>
      <c r="B15" s="128"/>
      <c r="C15" s="128"/>
      <c r="D15" s="87"/>
      <c r="E15" s="93">
        <f>SUM(E16:E23)</f>
        <v>4500000</v>
      </c>
      <c r="F15" s="94">
        <f>SUM(F16:F23)</f>
        <v>16623.144810863705</v>
      </c>
    </row>
    <row r="16" spans="1:8" s="57" customFormat="1" ht="13">
      <c r="A16" s="133" t="str">
        <f>"- Labor cost for "&amp;Pakistan!B9&amp;"  -  "&amp;MONTH(Pakistan!$B$2) &amp;"-"&amp; YEAR(Pakistan!$B$2)</f>
        <v>- Labor cost for Muhammad Ismail Ghazi  -  4-2026</v>
      </c>
      <c r="B16" s="134"/>
      <c r="C16" s="134"/>
      <c r="D16" s="88"/>
      <c r="E16" s="92">
        <f>Pakistan!I9+Pakistan!Q9</f>
        <v>700000</v>
      </c>
      <c r="F16" s="95">
        <f>E16/$B$33</f>
        <v>2585.8225261343541</v>
      </c>
    </row>
    <row r="17" spans="1:7" s="57" customFormat="1" ht="13">
      <c r="A17" s="133" t="str">
        <f>"- Labor cost for "&amp;Pakistan!B10&amp;"  -  "&amp;MONTH(Pakistan!$B$2)+1 &amp;"-"&amp; YEAR(Pakistan!$B$2)</f>
        <v>- Labor cost for Muhammad Ismail Ghazi  -  5-2026</v>
      </c>
      <c r="B17" s="134"/>
      <c r="C17" s="134"/>
      <c r="D17" s="88"/>
      <c r="E17" s="92">
        <f>Pakistan!I10+Pakistan!Q10</f>
        <v>700000</v>
      </c>
      <c r="F17" s="95">
        <f t="shared" ref="F17:F21" si="0">E17/$B$33</f>
        <v>2585.8225261343541</v>
      </c>
    </row>
    <row r="18" spans="1:7" s="57" customFormat="1" ht="13">
      <c r="A18" s="133" t="str">
        <f>"- Labor cost for "&amp;Pakistan!B11&amp;"  -  "&amp;MONTH(Pakistan!$B$2) +2&amp;"-"&amp; YEAR(Pakistan!$B$2)</f>
        <v>- Labor cost for Muhammad Ismail Ghazi  -  6-2026</v>
      </c>
      <c r="B18" s="134"/>
      <c r="C18" s="134"/>
      <c r="D18" s="88"/>
      <c r="E18" s="92">
        <f>Pakistan!I11+Pakistan!Q11</f>
        <v>700000</v>
      </c>
      <c r="F18" s="95">
        <f t="shared" si="0"/>
        <v>2585.8225261343541</v>
      </c>
    </row>
    <row r="19" spans="1:7" s="57" customFormat="1" ht="13">
      <c r="A19" s="133" t="str">
        <f>"- Labor cost for "&amp;Pakistan!B12&amp;"  -  "&amp;MONTH(Pakistan!$B$2)&amp;"-"&amp; YEAR(Pakistan!$B$2)</f>
        <v>- Labor cost for Muhammad Jawad Raza  -  4-2026</v>
      </c>
      <c r="B19" s="134"/>
      <c r="C19" s="134"/>
      <c r="D19" s="88"/>
      <c r="E19" s="92">
        <f>Pakistan!I12+Pakistan!Q12</f>
        <v>800000</v>
      </c>
      <c r="F19" s="95">
        <f t="shared" si="0"/>
        <v>2955.2257441535476</v>
      </c>
    </row>
    <row r="20" spans="1:7" s="57" customFormat="1" ht="13">
      <c r="A20" s="133" t="str">
        <f>"- Labor cost for "&amp;Pakistan!B13&amp;"  -  "&amp;MONTH(Pakistan!$B$2)+1&amp;"-"&amp; YEAR(Pakistan!$B$2)</f>
        <v>- Labor cost for Muhammad Jawad Raza  -  5-2026</v>
      </c>
      <c r="B20" s="134"/>
      <c r="C20" s="134"/>
      <c r="D20" s="88"/>
      <c r="E20" s="92">
        <f>Pakistan!I13+Pakistan!Q13</f>
        <v>800000</v>
      </c>
      <c r="F20" s="95">
        <f t="shared" si="0"/>
        <v>2955.2257441535476</v>
      </c>
    </row>
    <row r="21" spans="1:7" s="57" customFormat="1" ht="13">
      <c r="A21" s="133" t="str">
        <f>"- Labor cost for "&amp;Pakistan!B14&amp;"  -  "&amp;MONTH(Pakistan!$B$2)+2&amp;"-"&amp; YEAR(Pakistan!$B$2)</f>
        <v>- Labor cost for Muhammad Jawad Raza  -  6-2026</v>
      </c>
      <c r="B21" s="134"/>
      <c r="C21" s="134"/>
      <c r="D21" s="88"/>
      <c r="E21" s="92">
        <f>Pakistan!I14+Pakistan!Q14</f>
        <v>800000</v>
      </c>
      <c r="F21" s="95">
        <f t="shared" si="0"/>
        <v>2955.2257441535476</v>
      </c>
    </row>
    <row r="22" spans="1:7" ht="13">
      <c r="A22" s="133" t="str">
        <f>"- "&amp;+"Expense claim for "&amp;Pakistan!B9</f>
        <v>- Expense claim for Muhammad Ismail Ghazi</v>
      </c>
      <c r="B22" s="134"/>
      <c r="C22" s="134"/>
      <c r="D22" s="88"/>
      <c r="E22" s="92">
        <f>Pakistan!T9</f>
        <v>0</v>
      </c>
      <c r="F22" s="95">
        <f>E22/$B$33</f>
        <v>0</v>
      </c>
      <c r="G22" s="52"/>
    </row>
    <row r="23" spans="1:7" ht="13">
      <c r="A23" s="133" t="str">
        <f>"- "&amp;+"Expense claim for "&amp;Pakistan!B12</f>
        <v>- Expense claim for Muhammad Jawad Raza</v>
      </c>
      <c r="B23" s="134"/>
      <c r="C23" s="134"/>
      <c r="D23" s="89"/>
      <c r="E23" s="92">
        <f>Pakistan!T12</f>
        <v>0</v>
      </c>
      <c r="F23" s="95">
        <f>E23/$B$33</f>
        <v>0</v>
      </c>
      <c r="G23" s="52"/>
    </row>
    <row r="24" spans="1:7" ht="13">
      <c r="A24" s="129"/>
      <c r="B24" s="130"/>
      <c r="C24" s="130"/>
      <c r="D24" s="90"/>
      <c r="E24" s="92"/>
      <c r="F24" s="95"/>
      <c r="G24" s="52"/>
    </row>
    <row r="25" spans="1:7" s="69" customFormat="1" ht="16" customHeight="1">
      <c r="A25" s="127" t="s">
        <v>55</v>
      </c>
      <c r="B25" s="128"/>
      <c r="C25" s="128"/>
      <c r="D25" s="87"/>
      <c r="E25" s="93">
        <f>SUM(E26:E28)</f>
        <v>243636.21000000002</v>
      </c>
      <c r="F25" s="97">
        <f>SUM(F26:F28)</f>
        <v>900</v>
      </c>
    </row>
    <row r="26" spans="1:7" ht="13">
      <c r="A26" s="123" t="str">
        <f>"- "&amp;+"Management Fee - "&amp;MONTH(Pakistan!$B$2) &amp;"-"&amp; YEAR(Pakistan!$B$2)</f>
        <v>- Management Fee - 4-2026</v>
      </c>
      <c r="B26" s="124"/>
      <c r="C26" s="124"/>
      <c r="D26" s="91"/>
      <c r="E26" s="96">
        <f>Pakistan!H9+Pakistan!H12</f>
        <v>81212.070000000007</v>
      </c>
      <c r="F26" s="95">
        <f>E26/$B$33</f>
        <v>300</v>
      </c>
      <c r="G26" s="52"/>
    </row>
    <row r="27" spans="1:7" ht="13">
      <c r="A27" s="123" t="str">
        <f>"- "&amp;+"Management Fee - "&amp;MONTH(Pakistan!$B$2) +1&amp;"-"&amp; YEAR(Pakistan!$B$2)</f>
        <v>- Management Fee - 5-2026</v>
      </c>
      <c r="B27" s="124"/>
      <c r="C27" s="124"/>
      <c r="D27" s="91"/>
      <c r="E27" s="96">
        <f>Pakistan!H10+Pakistan!H13</f>
        <v>81212.070000000007</v>
      </c>
      <c r="F27" s="95">
        <f t="shared" ref="F27:F28" si="1">E27/$B$33</f>
        <v>300</v>
      </c>
      <c r="G27" s="52"/>
    </row>
    <row r="28" spans="1:7" ht="13">
      <c r="A28" s="123" t="str">
        <f>"- "&amp;+"Management Fee - "&amp;MONTH(Pakistan!$B$2) +2&amp;"-"&amp; YEAR(Pakistan!$B$2)</f>
        <v>- Management Fee - 6-2026</v>
      </c>
      <c r="B28" s="124"/>
      <c r="C28" s="124"/>
      <c r="D28" s="91"/>
      <c r="E28" s="96">
        <f>Pakistan!H11+Pakistan!H14</f>
        <v>81212.070000000007</v>
      </c>
      <c r="F28" s="95">
        <f t="shared" si="1"/>
        <v>300</v>
      </c>
      <c r="G28" s="52"/>
    </row>
    <row r="29" spans="1:7" ht="14.5">
      <c r="A29" s="121"/>
      <c r="B29" s="122"/>
      <c r="C29" s="122"/>
      <c r="D29" s="61"/>
      <c r="E29" s="98"/>
      <c r="F29" s="99"/>
      <c r="G29" s="52"/>
    </row>
    <row r="30" spans="1:7" s="63" customFormat="1" ht="15" thickBot="1">
      <c r="A30" s="131" t="s">
        <v>64</v>
      </c>
      <c r="B30" s="132"/>
      <c r="C30" s="132"/>
      <c r="D30" s="132"/>
      <c r="E30" s="100">
        <f>E15+E25</f>
        <v>4743636.21</v>
      </c>
      <c r="F30" s="101">
        <f>F15+F25</f>
        <v>17523.144810863705</v>
      </c>
    </row>
    <row r="31" spans="1:7" s="63" customFormat="1" ht="14.5">
      <c r="A31" s="75"/>
      <c r="B31" s="75"/>
      <c r="C31" s="76"/>
      <c r="D31" s="76"/>
      <c r="E31" s="64"/>
      <c r="F31" s="74"/>
    </row>
    <row r="32" spans="1:7" s="63" customFormat="1" ht="15" thickBot="1">
      <c r="A32" s="71"/>
      <c r="B32" s="71"/>
      <c r="C32" s="71"/>
      <c r="D32" s="71"/>
      <c r="E32" s="64"/>
      <c r="F32" s="74"/>
    </row>
    <row r="33" spans="1:7" ht="26">
      <c r="A33" s="80" t="str">
        <f>"*FX rate  USD:  "&amp;Pakistan!C6</f>
        <v>*FX rate  USD:  PKR</v>
      </c>
      <c r="B33" s="102">
        <f>270.7069</f>
        <v>270.70690000000002</v>
      </c>
      <c r="C33" s="64"/>
      <c r="D33" s="143" t="s">
        <v>70</v>
      </c>
      <c r="E33" s="144"/>
      <c r="F33" s="103">
        <f>F30</f>
        <v>17523.144810863705</v>
      </c>
      <c r="G33" s="52"/>
    </row>
    <row r="34" spans="1:7" s="57" customFormat="1" ht="16" customHeight="1">
      <c r="A34" s="79"/>
      <c r="B34" s="79"/>
      <c r="C34" s="64"/>
      <c r="D34" s="145" t="s">
        <v>28</v>
      </c>
      <c r="E34" s="146"/>
      <c r="F34" s="104">
        <f>Pakistan!E22</f>
        <v>6.3</v>
      </c>
    </row>
    <row r="35" spans="1:7" s="57" customFormat="1" ht="14.5">
      <c r="A35" s="79"/>
      <c r="B35" s="79"/>
      <c r="C35" s="64"/>
      <c r="D35" s="145" t="s">
        <v>29</v>
      </c>
      <c r="E35" s="146"/>
      <c r="F35" s="104">
        <f>Pakistan!E23</f>
        <v>0</v>
      </c>
    </row>
    <row r="36" spans="1:7" ht="14.5">
      <c r="A36" s="79"/>
      <c r="B36" s="79"/>
      <c r="C36" s="64"/>
      <c r="D36" s="145" t="s">
        <v>68</v>
      </c>
      <c r="E36" s="146"/>
      <c r="F36" s="104">
        <f>Pakistan!E24</f>
        <v>0</v>
      </c>
      <c r="G36" s="52"/>
    </row>
    <row r="37" spans="1:7" ht="15" thickBot="1">
      <c r="A37" s="79"/>
      <c r="B37" s="79"/>
      <c r="C37" s="62"/>
      <c r="D37" s="147" t="s">
        <v>69</v>
      </c>
      <c r="E37" s="148"/>
      <c r="F37" s="105">
        <f>Pakistan!E25</f>
        <v>90</v>
      </c>
      <c r="G37" s="52"/>
    </row>
    <row r="38" spans="1:7" ht="14.5">
      <c r="A38" s="79"/>
      <c r="B38" s="79"/>
      <c r="C38" s="64"/>
      <c r="D38" s="149" t="s">
        <v>72</v>
      </c>
      <c r="E38" s="150"/>
      <c r="F38" s="106">
        <f>SUM(F33:F37)</f>
        <v>17619.444810863704</v>
      </c>
      <c r="G38" s="52"/>
    </row>
    <row r="39" spans="1:7" ht="14.5">
      <c r="A39" s="79"/>
      <c r="B39" s="79"/>
      <c r="C39" s="64"/>
      <c r="D39" s="151" t="s">
        <v>71</v>
      </c>
      <c r="E39" s="152"/>
      <c r="F39" s="106">
        <f>Pakistan!F6/B33</f>
        <v>112.5</v>
      </c>
      <c r="G39" s="52"/>
    </row>
    <row r="40" spans="1:7" ht="15" thickBot="1">
      <c r="A40" s="70"/>
      <c r="B40" s="70"/>
      <c r="C40" s="64"/>
      <c r="D40" s="153" t="s">
        <v>60</v>
      </c>
      <c r="E40" s="154"/>
      <c r="F40" s="107">
        <f>SUM(F38:F39)</f>
        <v>17731.944810863704</v>
      </c>
      <c r="G40" s="52"/>
    </row>
    <row r="41" spans="1:7" ht="14.5">
      <c r="A41" s="61"/>
      <c r="B41" s="61"/>
      <c r="C41" s="61"/>
      <c r="D41" s="61"/>
      <c r="E41" s="62"/>
      <c r="F41" s="62"/>
      <c r="G41" s="52"/>
    </row>
    <row r="42" spans="1:7" ht="14.5">
      <c r="A42" s="61"/>
      <c r="B42" s="61"/>
      <c r="C42" s="61"/>
      <c r="D42" s="61"/>
      <c r="E42" s="62"/>
      <c r="F42" s="62"/>
      <c r="G42" s="52"/>
    </row>
    <row r="43" spans="1:7">
      <c r="G43" s="52"/>
    </row>
    <row r="44" spans="1:7" ht="19" customHeight="1">
      <c r="A44" s="125" t="s">
        <v>65</v>
      </c>
      <c r="B44" s="125"/>
      <c r="C44" s="125"/>
      <c r="D44" s="125"/>
      <c r="E44" s="125"/>
      <c r="F44" s="125"/>
      <c r="G44" s="52"/>
    </row>
    <row r="45" spans="1:7" ht="61" customHeight="1">
      <c r="A45" s="140" t="s">
        <v>53</v>
      </c>
      <c r="B45" s="140"/>
      <c r="C45" s="141"/>
      <c r="D45" s="142" t="s">
        <v>57</v>
      </c>
      <c r="E45" s="140"/>
      <c r="F45" s="140"/>
      <c r="G45" s="52"/>
    </row>
    <row r="46" spans="1:7">
      <c r="A46" s="52" t="s">
        <v>61</v>
      </c>
      <c r="G46" s="52"/>
    </row>
    <row r="47" spans="1:7" ht="11" customHeight="1">
      <c r="A47" s="63" t="s">
        <v>63</v>
      </c>
      <c r="B47" s="63"/>
      <c r="C47" s="63"/>
      <c r="D47" s="63"/>
      <c r="E47" s="63"/>
      <c r="F47" s="63"/>
      <c r="G47" s="52"/>
    </row>
    <row r="48" spans="1:7">
      <c r="A48" s="63" t="s">
        <v>62</v>
      </c>
      <c r="G48" s="52"/>
    </row>
    <row r="49" spans="1:7">
      <c r="A49" s="63" t="s">
        <v>67</v>
      </c>
      <c r="G49" s="52"/>
    </row>
    <row r="50" spans="1:7">
      <c r="G50" s="52"/>
    </row>
    <row r="51" spans="1:7">
      <c r="F51" s="52"/>
      <c r="G51" s="52"/>
    </row>
    <row r="52" spans="1:7">
      <c r="F52" s="52"/>
      <c r="G52" s="52"/>
    </row>
    <row r="53" spans="1:7">
      <c r="F53" s="52"/>
      <c r="G53" s="52"/>
    </row>
    <row r="54" spans="1:7">
      <c r="F54" s="52"/>
      <c r="G54" s="52"/>
    </row>
    <row r="55" spans="1:7">
      <c r="F55" s="52"/>
      <c r="G55" s="52"/>
    </row>
    <row r="56" spans="1:7">
      <c r="F56" s="52"/>
      <c r="G56" s="52"/>
    </row>
    <row r="57" spans="1:7">
      <c r="F57" s="52"/>
      <c r="G57" s="52"/>
    </row>
    <row r="58" spans="1:7">
      <c r="F58" s="52"/>
      <c r="G58" s="52"/>
    </row>
    <row r="59" spans="1:7">
      <c r="F59" s="52"/>
      <c r="G59" s="52"/>
    </row>
    <row r="60" spans="1:7">
      <c r="F60" s="52"/>
      <c r="G60" s="52"/>
    </row>
    <row r="61" spans="1:7">
      <c r="F61" s="52"/>
      <c r="G61" s="52"/>
    </row>
    <row r="62" spans="1:7">
      <c r="F62" s="52"/>
      <c r="G62" s="52"/>
    </row>
    <row r="63" spans="1:7">
      <c r="F63" s="52"/>
      <c r="G63" s="52"/>
    </row>
    <row r="64" spans="1:7">
      <c r="F64" s="52"/>
      <c r="G64" s="52"/>
    </row>
    <row r="65" s="52" customFormat="1"/>
    <row r="66" s="52" customFormat="1"/>
    <row r="67" s="52" customFormat="1"/>
    <row r="68" s="52" customFormat="1"/>
    <row r="69" s="52" customFormat="1"/>
    <row r="70" s="52" customFormat="1"/>
    <row r="71" s="52" customFormat="1"/>
    <row r="72" s="52" customFormat="1"/>
    <row r="73" s="52" customFormat="1"/>
    <row r="74" s="52" customFormat="1"/>
    <row r="75" s="52" customFormat="1"/>
    <row r="76" s="52" customFormat="1"/>
    <row r="77" s="52" customFormat="1"/>
    <row r="78" s="52" customFormat="1"/>
    <row r="79" s="52" customFormat="1"/>
    <row r="80" s="52" customFormat="1"/>
    <row r="81" s="52" customFormat="1"/>
    <row r="82" s="52" customFormat="1"/>
    <row r="83" s="52" customFormat="1"/>
    <row r="84" s="52" customFormat="1"/>
    <row r="85" s="52" customFormat="1"/>
    <row r="86" s="52" customFormat="1"/>
    <row r="87" s="52" customFormat="1"/>
    <row r="88" s="52" customFormat="1"/>
    <row r="89" s="52" customFormat="1"/>
    <row r="90" s="52" customFormat="1"/>
    <row r="91" s="52" customFormat="1"/>
    <row r="92" s="52" customFormat="1"/>
    <row r="93" s="52" customFormat="1"/>
    <row r="94" s="52" customFormat="1"/>
    <row r="95" s="52" customFormat="1"/>
    <row r="96" s="52" customFormat="1"/>
    <row r="97" s="52" customFormat="1"/>
    <row r="98" s="52" customFormat="1"/>
    <row r="99" s="52" customFormat="1"/>
    <row r="100" s="52" customFormat="1"/>
    <row r="101" s="52" customFormat="1"/>
    <row r="102" s="52" customFormat="1"/>
  </sheetData>
  <mergeCells count="33">
    <mergeCell ref="A45:C45"/>
    <mergeCell ref="D45:F45"/>
    <mergeCell ref="D33:E33"/>
    <mergeCell ref="D34:E34"/>
    <mergeCell ref="D35:E35"/>
    <mergeCell ref="D36:E36"/>
    <mergeCell ref="D37:E37"/>
    <mergeCell ref="D38:E38"/>
    <mergeCell ref="D39:E39"/>
    <mergeCell ref="D40:E40"/>
    <mergeCell ref="B1:F1"/>
    <mergeCell ref="B2:F2"/>
    <mergeCell ref="B3:F3"/>
    <mergeCell ref="A22:C22"/>
    <mergeCell ref="A14:C14"/>
    <mergeCell ref="A16:C16"/>
    <mergeCell ref="A5:F5"/>
    <mergeCell ref="A15:C15"/>
    <mergeCell ref="A19:C19"/>
    <mergeCell ref="A20:C20"/>
    <mergeCell ref="A21:C21"/>
    <mergeCell ref="A29:C29"/>
    <mergeCell ref="A28:C28"/>
    <mergeCell ref="A27:C27"/>
    <mergeCell ref="A44:F44"/>
    <mergeCell ref="B10:B11"/>
    <mergeCell ref="A25:C25"/>
    <mergeCell ref="A26:C26"/>
    <mergeCell ref="A24:C24"/>
    <mergeCell ref="A23:C23"/>
    <mergeCell ref="A30:D30"/>
    <mergeCell ref="A17:C17"/>
    <mergeCell ref="A18:C18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351C-96BC-4B8C-80B6-3A5CC659EF1D}">
  <dimension ref="A1:U26"/>
  <sheetViews>
    <sheetView zoomScale="130" zoomScaleNormal="130" workbookViewId="0">
      <selection activeCell="H18" sqref="H18"/>
    </sheetView>
  </sheetViews>
  <sheetFormatPr defaultColWidth="9.1796875" defaultRowHeight="13"/>
  <cols>
    <col min="1" max="1" width="8.81640625" style="1" bestFit="1" customWidth="1"/>
    <col min="2" max="2" width="18" style="2" bestFit="1" customWidth="1"/>
    <col min="3" max="3" width="9.1796875" style="2" bestFit="1" customWidth="1"/>
    <col min="4" max="4" width="7.453125" style="2" customWidth="1"/>
    <col min="5" max="5" width="10.36328125" style="2" bestFit="1" customWidth="1"/>
    <col min="6" max="6" width="8.36328125" style="2" bestFit="1" customWidth="1"/>
    <col min="7" max="8" width="9.1796875" style="2" bestFit="1" customWidth="1"/>
    <col min="9" max="10" width="10.36328125" style="2" bestFit="1" customWidth="1"/>
    <col min="11" max="11" width="7" style="2" bestFit="1" customWidth="1"/>
    <col min="12" max="12" width="4.6328125" style="2" bestFit="1" customWidth="1"/>
    <col min="13" max="13" width="6.81640625" style="2" bestFit="1" customWidth="1"/>
    <col min="14" max="14" width="5.1796875" style="2" bestFit="1" customWidth="1"/>
    <col min="15" max="15" width="7.1796875" style="2" bestFit="1" customWidth="1"/>
    <col min="16" max="16" width="5" style="2" bestFit="1" customWidth="1"/>
    <col min="17" max="17" width="6.6328125" style="2" bestFit="1" customWidth="1"/>
    <col min="18" max="18" width="10" style="2" bestFit="1" customWidth="1"/>
    <col min="19" max="19" width="13.36328125" style="2" bestFit="1" customWidth="1"/>
    <col min="20" max="21" width="6.6328125" style="2" bestFit="1" customWidth="1"/>
    <col min="22" max="16384" width="9.1796875" style="2"/>
  </cols>
  <sheetData>
    <row r="1" spans="1:21" ht="13.5" thickBot="1">
      <c r="A1" s="1" t="str">
        <f ca="1">MID(CELL("filename",A1),FIND("]",CELL("filename",A1))+1,256)</f>
        <v>Pakistan</v>
      </c>
    </row>
    <row r="2" spans="1:21" ht="13.5" thickBot="1">
      <c r="A2" s="3" t="s">
        <v>11</v>
      </c>
      <c r="B2" s="2" t="str">
        <f>'Pakistan-L'!C2</f>
        <v>2026/4/1</v>
      </c>
      <c r="C2" s="2" t="str">
        <f>'Pakistan-L'!E2</f>
        <v>2026/6/30</v>
      </c>
      <c r="E2" s="86" t="s">
        <v>2</v>
      </c>
    </row>
    <row r="3" spans="1:21" s="5" customFormat="1" ht="14" customHeight="1">
      <c r="A3" s="3"/>
      <c r="B3" s="4"/>
      <c r="E3" s="157" t="s">
        <v>1</v>
      </c>
      <c r="F3" s="159" t="s">
        <v>3</v>
      </c>
      <c r="G3" s="161" t="s">
        <v>4</v>
      </c>
      <c r="H3" s="162"/>
      <c r="I3" s="163" t="s">
        <v>5</v>
      </c>
      <c r="J3" s="164"/>
      <c r="K3" s="164"/>
      <c r="L3" s="164"/>
      <c r="M3" s="164"/>
      <c r="N3" s="164"/>
      <c r="O3" s="164"/>
      <c r="P3" s="164"/>
      <c r="Q3" s="155" t="s">
        <v>6</v>
      </c>
      <c r="R3" s="155"/>
      <c r="S3" s="155"/>
      <c r="T3" s="155" t="s">
        <v>7</v>
      </c>
      <c r="U3" s="156"/>
    </row>
    <row r="4" spans="1:21" s="5" customFormat="1" ht="39.5" thickBot="1">
      <c r="E4" s="158"/>
      <c r="F4" s="160"/>
      <c r="G4" s="25" t="s">
        <v>8</v>
      </c>
      <c r="H4" s="6" t="s">
        <v>9</v>
      </c>
      <c r="I4" s="25" t="s">
        <v>8</v>
      </c>
      <c r="J4" s="6" t="str">
        <f>'Pakistan-L'!C7</f>
        <v>Base Salary</v>
      </c>
      <c r="K4" s="6" t="str">
        <f>'Pakistan-L'!D7</f>
        <v>Salary Adjusment</v>
      </c>
      <c r="L4" s="6" t="str">
        <f>'Pakistan-L'!E7</f>
        <v>OT</v>
      </c>
      <c r="M4" s="6" t="str">
        <f>'Pakistan-L'!F7</f>
        <v>Monthly Bonus</v>
      </c>
      <c r="N4" s="6" t="str">
        <f>'Pakistan-L'!G7</f>
        <v>Other Bonus</v>
      </c>
      <c r="O4" s="6" t="str">
        <f>'Pakistan-L'!H7</f>
        <v>Leave Payment</v>
      </c>
      <c r="P4" s="6" t="str">
        <f>'Pakistan-L'!I7</f>
        <v xml:space="preserve">Other </v>
      </c>
      <c r="Q4" s="25" t="s">
        <v>8</v>
      </c>
      <c r="R4" s="25" t="str">
        <f>'Pakistan-L'!O7</f>
        <v>Social Benefit</v>
      </c>
      <c r="S4" s="25" t="str">
        <f>'Pakistan-L'!P7</f>
        <v>Medical Insurance</v>
      </c>
      <c r="T4" s="25" t="s">
        <v>8</v>
      </c>
      <c r="U4" s="85" t="s">
        <v>10</v>
      </c>
    </row>
    <row r="5" spans="1:21" s="5" customFormat="1" ht="13.5" thickBot="1">
      <c r="A5" s="1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</row>
    <row r="6" spans="1:21" s="11" customFormat="1">
      <c r="A6" s="10"/>
      <c r="B6" s="11" t="s">
        <v>1</v>
      </c>
      <c r="C6" s="11" t="s">
        <v>77</v>
      </c>
      <c r="E6" s="15">
        <f>SUM(E9:E17)</f>
        <v>4774090.7362500001</v>
      </c>
      <c r="F6" s="16">
        <f>SUM(F9:F17)</f>
        <v>30454.526250000003</v>
      </c>
      <c r="G6" s="16">
        <f t="shared" ref="F6:U6" si="0">SUM(G9:G17)</f>
        <v>243636.21000000002</v>
      </c>
      <c r="H6" s="16">
        <f>SUM(H9:H17)</f>
        <v>243636.21000000002</v>
      </c>
      <c r="I6" s="16">
        <f t="shared" si="0"/>
        <v>4500000</v>
      </c>
      <c r="J6" s="16">
        <f t="shared" si="0"/>
        <v>4500000</v>
      </c>
      <c r="K6" s="16">
        <f t="shared" si="0"/>
        <v>0</v>
      </c>
      <c r="L6" s="16">
        <f t="shared" si="0"/>
        <v>0</v>
      </c>
      <c r="M6" s="16">
        <f t="shared" si="0"/>
        <v>0</v>
      </c>
      <c r="N6" s="16">
        <f t="shared" si="0"/>
        <v>0</v>
      </c>
      <c r="O6" s="16">
        <f t="shared" si="0"/>
        <v>0</v>
      </c>
      <c r="P6" s="16">
        <f t="shared" si="0"/>
        <v>0</v>
      </c>
      <c r="Q6" s="16">
        <f t="shared" si="0"/>
        <v>0</v>
      </c>
      <c r="R6" s="16">
        <f t="shared" si="0"/>
        <v>0</v>
      </c>
      <c r="S6" s="16">
        <f t="shared" si="0"/>
        <v>0</v>
      </c>
      <c r="T6" s="16">
        <f t="shared" si="0"/>
        <v>0</v>
      </c>
      <c r="U6" s="17">
        <f t="shared" si="0"/>
        <v>0</v>
      </c>
    </row>
    <row r="7" spans="1:21" s="11" customFormat="1">
      <c r="E7" s="15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</row>
    <row r="8" spans="1:21" s="11" customFormat="1">
      <c r="A8" s="18"/>
      <c r="E8" s="15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/>
    </row>
    <row r="9" spans="1:21" s="11" customFormat="1">
      <c r="A9" s="10"/>
      <c r="B9" s="11" t="str">
        <f>'Pakistan-L'!B8</f>
        <v>Muhammad Ismail Ghazi</v>
      </c>
      <c r="C9" s="11" t="str">
        <f>'Pakistan EE'!D10</f>
        <v>CUS1677 - 1</v>
      </c>
      <c r="E9" s="15">
        <f>F9+G9+I9+Q9+T9</f>
        <v>745681.78937500005</v>
      </c>
      <c r="F9" s="16">
        <f>18.75*PN!$B$33</f>
        <v>5075.7543750000004</v>
      </c>
      <c r="G9" s="16">
        <f>SUM(H9:H9)</f>
        <v>40606.035000000003</v>
      </c>
      <c r="H9" s="16">
        <f>(150*PN!$B$33)</f>
        <v>40606.035000000003</v>
      </c>
      <c r="I9" s="16">
        <f>SUM(J9:P9)</f>
        <v>700000</v>
      </c>
      <c r="J9" s="16">
        <f>'Pakistan-L'!C8</f>
        <v>700000</v>
      </c>
      <c r="K9" s="16">
        <f>'Pakistan-L'!D8</f>
        <v>0</v>
      </c>
      <c r="L9" s="16">
        <f>'Pakistan-L'!E8</f>
        <v>0</v>
      </c>
      <c r="M9" s="16">
        <f>'Pakistan-L'!F8</f>
        <v>0</v>
      </c>
      <c r="N9" s="16">
        <f>'Pakistan-L'!G8</f>
        <v>0</v>
      </c>
      <c r="O9" s="16">
        <f>'Pakistan-L'!H8</f>
        <v>0</v>
      </c>
      <c r="P9" s="16">
        <f>'Pakistan-L'!I8</f>
        <v>0</v>
      </c>
      <c r="Q9" s="16">
        <f>SUM(R9:S9)</f>
        <v>0</v>
      </c>
      <c r="R9" s="16">
        <f>'Pakistan-L'!O8</f>
        <v>0</v>
      </c>
      <c r="S9" s="16">
        <f>'Pakistan-L'!P8</f>
        <v>0</v>
      </c>
      <c r="T9" s="16">
        <f>SUM(U9:U9)</f>
        <v>0</v>
      </c>
      <c r="U9" s="17">
        <f>'Pakistan-L'!K8</f>
        <v>0</v>
      </c>
    </row>
    <row r="10" spans="1:21" s="11" customFormat="1">
      <c r="A10" s="10"/>
      <c r="B10" s="11" t="str">
        <f>'Pakistan-L'!B9</f>
        <v>Muhammad Ismail Ghazi</v>
      </c>
      <c r="C10" s="11" t="str">
        <f>'Pakistan EE'!D11</f>
        <v>CUS1677 - 1</v>
      </c>
      <c r="E10" s="15">
        <f t="shared" ref="E10:E11" si="1">F10+G10+I10+Q10+T10</f>
        <v>745681.78937500005</v>
      </c>
      <c r="F10" s="16">
        <f>18.75*PN!$B$33</f>
        <v>5075.7543750000004</v>
      </c>
      <c r="G10" s="16">
        <f t="shared" ref="G10:G11" si="2">SUM(H10:H10)</f>
        <v>40606.035000000003</v>
      </c>
      <c r="H10" s="16">
        <f>(150*PN!$B$33)</f>
        <v>40606.035000000003</v>
      </c>
      <c r="I10" s="16">
        <f t="shared" ref="I10:I11" si="3">SUM(J10:P10)</f>
        <v>700000</v>
      </c>
      <c r="J10" s="16">
        <f>'Pakistan-L'!C9</f>
        <v>700000</v>
      </c>
      <c r="K10" s="16">
        <f>'Pakistan-L'!D9</f>
        <v>0</v>
      </c>
      <c r="L10" s="16">
        <f>'Pakistan-L'!E9</f>
        <v>0</v>
      </c>
      <c r="M10" s="16">
        <f>'Pakistan-L'!F9</f>
        <v>0</v>
      </c>
      <c r="N10" s="16">
        <f>'Pakistan-L'!G9</f>
        <v>0</v>
      </c>
      <c r="O10" s="16">
        <f>'Pakistan-L'!H9</f>
        <v>0</v>
      </c>
      <c r="P10" s="16">
        <f>'Pakistan-L'!I9</f>
        <v>0</v>
      </c>
      <c r="Q10" s="16">
        <f t="shared" ref="Q10:Q11" si="4">SUM(R10:S10)</f>
        <v>0</v>
      </c>
      <c r="R10" s="16">
        <f>'Pakistan-L'!O9</f>
        <v>0</v>
      </c>
      <c r="S10" s="16">
        <f>'Pakistan-L'!P9</f>
        <v>0</v>
      </c>
      <c r="T10" s="16">
        <f t="shared" ref="T10:T11" si="5">SUM(U10:U10)</f>
        <v>0</v>
      </c>
      <c r="U10" s="17">
        <f>'Pakistan-L'!K9</f>
        <v>0</v>
      </c>
    </row>
    <row r="11" spans="1:21" s="11" customFormat="1">
      <c r="A11" s="10"/>
      <c r="B11" s="11" t="str">
        <f>'Pakistan-L'!B10</f>
        <v>Muhammad Ismail Ghazi</v>
      </c>
      <c r="C11" s="11" t="str">
        <f>'Pakistan EE'!D12</f>
        <v>CUS1677 - 1</v>
      </c>
      <c r="E11" s="15">
        <f t="shared" si="1"/>
        <v>745681.78937500005</v>
      </c>
      <c r="F11" s="16">
        <f>18.75*PN!$B$33</f>
        <v>5075.7543750000004</v>
      </c>
      <c r="G11" s="16">
        <f t="shared" si="2"/>
        <v>40606.035000000003</v>
      </c>
      <c r="H11" s="16">
        <f>(150*PN!$B$33)</f>
        <v>40606.035000000003</v>
      </c>
      <c r="I11" s="16">
        <f t="shared" si="3"/>
        <v>700000</v>
      </c>
      <c r="J11" s="16">
        <f>'Pakistan-L'!C10</f>
        <v>700000</v>
      </c>
      <c r="K11" s="16">
        <f>'Pakistan-L'!D10</f>
        <v>0</v>
      </c>
      <c r="L11" s="16">
        <f>'Pakistan-L'!E10</f>
        <v>0</v>
      </c>
      <c r="M11" s="16">
        <f>'Pakistan-L'!F10</f>
        <v>0</v>
      </c>
      <c r="N11" s="16">
        <f>'Pakistan-L'!G10</f>
        <v>0</v>
      </c>
      <c r="O11" s="16">
        <f>'Pakistan-L'!H10</f>
        <v>0</v>
      </c>
      <c r="P11" s="16">
        <f>'Pakistan-L'!I10</f>
        <v>0</v>
      </c>
      <c r="Q11" s="16">
        <f t="shared" si="4"/>
        <v>0</v>
      </c>
      <c r="R11" s="16">
        <f>'Pakistan-L'!O10</f>
        <v>0</v>
      </c>
      <c r="S11" s="16">
        <f>'Pakistan-L'!P10</f>
        <v>0</v>
      </c>
      <c r="T11" s="16">
        <f t="shared" si="5"/>
        <v>0</v>
      </c>
      <c r="U11" s="17">
        <f>'Pakistan-L'!K10</f>
        <v>0</v>
      </c>
    </row>
    <row r="12" spans="1:21" s="11" customFormat="1">
      <c r="A12" s="10"/>
      <c r="B12" s="11" t="str">
        <f>'Pakistan-L'!B11</f>
        <v>Muhammad Jawad Raza</v>
      </c>
      <c r="C12" s="11" t="str">
        <f>'Pakistan EE'!D13</f>
        <v>CUS1677 - 2</v>
      </c>
      <c r="E12" s="15">
        <f t="shared" ref="E12:E14" si="6">F12+G12+I12+Q12+T12</f>
        <v>845681.78937500005</v>
      </c>
      <c r="F12" s="16">
        <f>18.75*PN!$B$33</f>
        <v>5075.7543750000004</v>
      </c>
      <c r="G12" s="16">
        <f t="shared" ref="G12:G14" si="7">SUM(H12:H12)</f>
        <v>40606.035000000003</v>
      </c>
      <c r="H12" s="16">
        <f>(150*PN!$B$33)</f>
        <v>40606.035000000003</v>
      </c>
      <c r="I12" s="16">
        <f t="shared" ref="I12:I14" si="8">SUM(J12:P12)</f>
        <v>800000</v>
      </c>
      <c r="J12" s="16">
        <f>'Pakistan-L'!C11</f>
        <v>800000</v>
      </c>
      <c r="K12" s="16">
        <f>'Pakistan-L'!D11</f>
        <v>0</v>
      </c>
      <c r="L12" s="16">
        <f>'Pakistan-L'!E11</f>
        <v>0</v>
      </c>
      <c r="M12" s="16">
        <f>'Pakistan-L'!F11</f>
        <v>0</v>
      </c>
      <c r="N12" s="16">
        <f>'Pakistan-L'!G11</f>
        <v>0</v>
      </c>
      <c r="O12" s="16">
        <f>'Pakistan-L'!H11</f>
        <v>0</v>
      </c>
      <c r="P12" s="16">
        <f>'Pakistan-L'!I11</f>
        <v>0</v>
      </c>
      <c r="Q12" s="16">
        <f t="shared" ref="Q12:Q14" si="9">SUM(R12:S12)</f>
        <v>0</v>
      </c>
      <c r="R12" s="16">
        <f>'Pakistan-L'!O11</f>
        <v>0</v>
      </c>
      <c r="S12" s="16">
        <f>'Pakistan-L'!P11</f>
        <v>0</v>
      </c>
      <c r="T12" s="16">
        <f t="shared" ref="T12:T14" si="10">SUM(U12:U12)</f>
        <v>0</v>
      </c>
      <c r="U12" s="17">
        <f>'Pakistan-L'!K11</f>
        <v>0</v>
      </c>
    </row>
    <row r="13" spans="1:21" s="11" customFormat="1">
      <c r="A13" s="10"/>
      <c r="B13" s="11" t="str">
        <f>'Pakistan-L'!B12</f>
        <v>Muhammad Jawad Raza</v>
      </c>
      <c r="C13" s="11" t="str">
        <f>'Pakistan EE'!D14</f>
        <v>CUS1677 - 2</v>
      </c>
      <c r="E13" s="15">
        <f t="shared" si="6"/>
        <v>845681.78937500005</v>
      </c>
      <c r="F13" s="16">
        <f>18.75*PN!$B$33</f>
        <v>5075.7543750000004</v>
      </c>
      <c r="G13" s="16">
        <f t="shared" si="7"/>
        <v>40606.035000000003</v>
      </c>
      <c r="H13" s="16">
        <f>(150*PN!$B$33)</f>
        <v>40606.035000000003</v>
      </c>
      <c r="I13" s="16">
        <f t="shared" si="8"/>
        <v>800000</v>
      </c>
      <c r="J13" s="16">
        <f>'Pakistan-L'!C12</f>
        <v>800000</v>
      </c>
      <c r="K13" s="16">
        <f>'Pakistan-L'!D12</f>
        <v>0</v>
      </c>
      <c r="L13" s="16">
        <f>'Pakistan-L'!E12</f>
        <v>0</v>
      </c>
      <c r="M13" s="16">
        <f>'Pakistan-L'!F12</f>
        <v>0</v>
      </c>
      <c r="N13" s="16">
        <f>'Pakistan-L'!G12</f>
        <v>0</v>
      </c>
      <c r="O13" s="16">
        <f>'Pakistan-L'!H12</f>
        <v>0</v>
      </c>
      <c r="P13" s="16">
        <f>'Pakistan-L'!I12</f>
        <v>0</v>
      </c>
      <c r="Q13" s="16">
        <f t="shared" si="9"/>
        <v>0</v>
      </c>
      <c r="R13" s="16">
        <f>'Pakistan-L'!O12</f>
        <v>0</v>
      </c>
      <c r="S13" s="16">
        <f>'Pakistan-L'!P12</f>
        <v>0</v>
      </c>
      <c r="T13" s="16">
        <f t="shared" si="10"/>
        <v>0</v>
      </c>
      <c r="U13" s="17">
        <f>'Pakistan-L'!K12</f>
        <v>0</v>
      </c>
    </row>
    <row r="14" spans="1:21" s="11" customFormat="1">
      <c r="A14" s="10"/>
      <c r="B14" s="11" t="str">
        <f>'Pakistan-L'!B13</f>
        <v>Muhammad Jawad Raza</v>
      </c>
      <c r="C14" s="11" t="str">
        <f>'Pakistan EE'!D15</f>
        <v>CUS1677 - 2</v>
      </c>
      <c r="E14" s="15">
        <f t="shared" si="6"/>
        <v>845681.78937500005</v>
      </c>
      <c r="F14" s="16">
        <f>18.75*PN!$B$33</f>
        <v>5075.7543750000004</v>
      </c>
      <c r="G14" s="16">
        <f t="shared" si="7"/>
        <v>40606.035000000003</v>
      </c>
      <c r="H14" s="16">
        <f>(150*PN!$B$33)</f>
        <v>40606.035000000003</v>
      </c>
      <c r="I14" s="16">
        <f t="shared" si="8"/>
        <v>800000</v>
      </c>
      <c r="J14" s="16">
        <f>'Pakistan-L'!C13</f>
        <v>800000</v>
      </c>
      <c r="K14" s="16">
        <f>'Pakistan-L'!D13</f>
        <v>0</v>
      </c>
      <c r="L14" s="16">
        <f>'Pakistan-L'!E13</f>
        <v>0</v>
      </c>
      <c r="M14" s="16">
        <f>'Pakistan-L'!F13</f>
        <v>0</v>
      </c>
      <c r="N14" s="16">
        <f>'Pakistan-L'!G13</f>
        <v>0</v>
      </c>
      <c r="O14" s="16">
        <f>'Pakistan-L'!H13</f>
        <v>0</v>
      </c>
      <c r="P14" s="16">
        <f>'Pakistan-L'!I13</f>
        <v>0</v>
      </c>
      <c r="Q14" s="16">
        <f t="shared" si="9"/>
        <v>0</v>
      </c>
      <c r="R14" s="16">
        <f>'Pakistan-L'!O13</f>
        <v>0</v>
      </c>
      <c r="S14" s="16">
        <f>'Pakistan-L'!P13</f>
        <v>0</v>
      </c>
      <c r="T14" s="16">
        <f t="shared" si="10"/>
        <v>0</v>
      </c>
      <c r="U14" s="17">
        <f>'Pakistan-L'!K13</f>
        <v>0</v>
      </c>
    </row>
    <row r="15" spans="1:21" s="11" customFormat="1">
      <c r="A15" s="10"/>
      <c r="E15" s="15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spans="1:21" s="11" customFormat="1">
      <c r="A16" s="10"/>
      <c r="E16" s="15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/>
    </row>
    <row r="17" spans="1:21" s="11" customFormat="1" ht="13.5" thickBot="1">
      <c r="A17" s="10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1"/>
    </row>
    <row r="19" spans="1:21">
      <c r="J19" s="36"/>
    </row>
    <row r="20" spans="1:21" s="30" customFormat="1" ht="15" thickBot="1">
      <c r="A20" s="29"/>
    </row>
    <row r="21" spans="1:21" s="30" customFormat="1" ht="14.5">
      <c r="A21" s="29" t="s">
        <v>12</v>
      </c>
      <c r="B21" s="43"/>
      <c r="C21" s="43"/>
      <c r="D21" s="43"/>
      <c r="E21" s="44">
        <f>SUM(E22:E26)</f>
        <v>96.3</v>
      </c>
      <c r="F21" s="45">
        <v>0</v>
      </c>
      <c r="G21" s="33"/>
    </row>
    <row r="22" spans="1:21" s="30" customFormat="1" ht="14.5">
      <c r="A22" s="29"/>
      <c r="B22" s="43" t="s">
        <v>28</v>
      </c>
      <c r="C22" s="43"/>
      <c r="D22" s="43"/>
      <c r="E22" s="46">
        <v>6.3</v>
      </c>
      <c r="F22" s="47"/>
    </row>
    <row r="23" spans="1:21" s="30" customFormat="1" ht="14.5">
      <c r="A23" s="29"/>
      <c r="B23" s="43" t="s">
        <v>29</v>
      </c>
      <c r="C23" s="43"/>
      <c r="D23" s="43"/>
      <c r="E23" s="46"/>
      <c r="F23" s="47">
        <v>0</v>
      </c>
    </row>
    <row r="24" spans="1:21" s="30" customFormat="1" ht="14.5">
      <c r="A24" s="29"/>
      <c r="B24" s="43" t="s">
        <v>30</v>
      </c>
      <c r="C24" s="43"/>
      <c r="D24" s="43"/>
      <c r="E24" s="46"/>
      <c r="F24" s="47">
        <v>0</v>
      </c>
    </row>
    <row r="25" spans="1:21" s="30" customFormat="1" ht="14.5">
      <c r="A25" s="29"/>
      <c r="B25" s="43" t="s">
        <v>31</v>
      </c>
      <c r="C25" s="43"/>
      <c r="D25" s="43"/>
      <c r="E25" s="46">
        <f>35+35+10+10</f>
        <v>90</v>
      </c>
      <c r="F25" s="47"/>
    </row>
    <row r="26" spans="1:21" s="30" customFormat="1" ht="15" thickBot="1">
      <c r="A26" s="29"/>
      <c r="B26" s="43" t="s">
        <v>32</v>
      </c>
      <c r="C26" s="43"/>
      <c r="D26" s="43"/>
      <c r="E26" s="48">
        <v>0</v>
      </c>
      <c r="F26" s="49"/>
    </row>
  </sheetData>
  <mergeCells count="6">
    <mergeCell ref="T3:U3"/>
    <mergeCell ref="Q3:S3"/>
    <mergeCell ref="E3:E4"/>
    <mergeCell ref="F3:F4"/>
    <mergeCell ref="G3:H3"/>
    <mergeCell ref="I3:P3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53E7-B544-3940-A3E2-E390BD553CFF}">
  <dimension ref="A1:U18"/>
  <sheetViews>
    <sheetView zoomScale="120" zoomScaleNormal="120" workbookViewId="0">
      <selection activeCell="K26" sqref="K26"/>
    </sheetView>
  </sheetViews>
  <sheetFormatPr defaultColWidth="9.1796875" defaultRowHeight="13"/>
  <cols>
    <col min="1" max="1" width="12.1796875" style="1" bestFit="1" customWidth="1"/>
    <col min="2" max="2" width="9.36328125" style="2" bestFit="1" customWidth="1"/>
    <col min="3" max="3" width="10.6328125" style="2" bestFit="1" customWidth="1"/>
    <col min="4" max="4" width="10.36328125" style="2" bestFit="1" customWidth="1"/>
    <col min="5" max="5" width="19.81640625" style="2" bestFit="1" customWidth="1"/>
    <col min="6" max="6" width="8.453125" style="2" bestFit="1" customWidth="1"/>
    <col min="7" max="7" width="9.453125" style="2" bestFit="1" customWidth="1"/>
    <col min="8" max="8" width="9.1796875" style="2" bestFit="1" customWidth="1"/>
    <col min="9" max="9" width="9.1796875" style="2" customWidth="1"/>
    <col min="10" max="10" width="9.1796875" style="2" bestFit="1" customWidth="1"/>
    <col min="11" max="11" width="8.36328125" style="2" bestFit="1" customWidth="1"/>
    <col min="12" max="12" width="4.6328125" style="2" bestFit="1" customWidth="1"/>
    <col min="13" max="13" width="6.81640625" style="2" bestFit="1" customWidth="1"/>
    <col min="14" max="14" width="5.1796875" style="2" bestFit="1" customWidth="1"/>
    <col min="15" max="15" width="11.453125" style="2" bestFit="1" customWidth="1"/>
    <col min="16" max="16" width="5" style="2" bestFit="1" customWidth="1"/>
    <col min="17" max="18" width="6.6328125" style="2" bestFit="1" customWidth="1"/>
    <col min="19" max="19" width="9.1796875" style="2" bestFit="1" customWidth="1"/>
    <col min="20" max="20" width="6.36328125" style="2" bestFit="1" customWidth="1"/>
    <col min="21" max="21" width="9.1796875" style="2" bestFit="1" customWidth="1"/>
    <col min="22" max="16384" width="9.1796875" style="2"/>
  </cols>
  <sheetData>
    <row r="1" spans="1:21" ht="13.5" thickBot="1">
      <c r="A1" s="1" t="str">
        <f ca="1">MID(CELL("filename",A1),FIND("]",CELL("filename",A1))+1,256)</f>
        <v>Pakistan EE</v>
      </c>
      <c r="C1" s="4"/>
      <c r="D1" s="4"/>
      <c r="E1" s="4"/>
      <c r="F1" s="4"/>
      <c r="H1" s="28"/>
    </row>
    <row r="2" spans="1:21" ht="13.5" thickBot="1">
      <c r="A2" s="3"/>
      <c r="B2" s="4"/>
      <c r="C2" s="4"/>
      <c r="D2" s="4"/>
      <c r="E2" s="4"/>
      <c r="F2" s="4"/>
      <c r="H2" s="27" t="s">
        <v>13</v>
      </c>
    </row>
    <row r="3" spans="1:21" s="5" customFormat="1" ht="14" customHeight="1" thickBot="1">
      <c r="A3" s="37"/>
      <c r="B3" s="171" t="s">
        <v>14</v>
      </c>
      <c r="C3" s="171" t="s">
        <v>15</v>
      </c>
      <c r="D3" s="171" t="s">
        <v>16</v>
      </c>
      <c r="E3" s="171" t="s">
        <v>17</v>
      </c>
      <c r="F3" s="172" t="s">
        <v>18</v>
      </c>
      <c r="G3" s="172"/>
      <c r="H3" s="167" t="s">
        <v>19</v>
      </c>
      <c r="I3" s="168" t="s">
        <v>5</v>
      </c>
      <c r="J3" s="169"/>
      <c r="K3" s="169"/>
      <c r="L3" s="169"/>
      <c r="M3" s="169"/>
      <c r="N3" s="169"/>
      <c r="O3" s="169"/>
      <c r="P3" s="170"/>
      <c r="Q3" s="165" t="s">
        <v>7</v>
      </c>
      <c r="R3" s="165"/>
      <c r="S3" s="165" t="s">
        <v>6</v>
      </c>
      <c r="T3" s="165"/>
      <c r="U3" s="166"/>
    </row>
    <row r="4" spans="1:21" s="5" customFormat="1" ht="39.5" thickBot="1">
      <c r="A4" s="37"/>
      <c r="B4" s="171"/>
      <c r="C4" s="171"/>
      <c r="D4" s="171"/>
      <c r="E4" s="171"/>
      <c r="F4" s="38" t="s">
        <v>20</v>
      </c>
      <c r="G4" s="38" t="s">
        <v>21</v>
      </c>
      <c r="H4" s="167"/>
      <c r="I4" s="83" t="s">
        <v>8</v>
      </c>
      <c r="J4" s="84" t="str">
        <f>'Pakistan-L'!C7</f>
        <v>Base Salary</v>
      </c>
      <c r="K4" s="84" t="str">
        <f>'Pakistan-L'!D7</f>
        <v>Salary Adjusment</v>
      </c>
      <c r="L4" s="84" t="str">
        <f>'Pakistan-L'!E7</f>
        <v>OT</v>
      </c>
      <c r="M4" s="84" t="str">
        <f>'Pakistan-L'!F7</f>
        <v>Monthly Bonus</v>
      </c>
      <c r="N4" s="84" t="str">
        <f>'Pakistan-L'!G7</f>
        <v>Other Bonus</v>
      </c>
      <c r="O4" s="84" t="str">
        <f>'Pakistan-L'!H7</f>
        <v>Leave Payment</v>
      </c>
      <c r="P4" s="84" t="str">
        <f>'Pakistan-L'!I7</f>
        <v xml:space="preserve">Other </v>
      </c>
      <c r="Q4" s="83" t="s">
        <v>8</v>
      </c>
      <c r="R4" s="84" t="s">
        <v>10</v>
      </c>
      <c r="S4" s="83" t="s">
        <v>8</v>
      </c>
      <c r="T4" s="118" t="str">
        <f>'Pakistan-L'!L7</f>
        <v>E.O.B.I</v>
      </c>
      <c r="U4" s="119" t="str">
        <f>'Pakistan-L'!M7</f>
        <v>IT</v>
      </c>
    </row>
    <row r="5" spans="1:21" s="5" customFormat="1" ht="15" thickBot="1">
      <c r="A5" s="29"/>
      <c r="B5" s="39"/>
      <c r="C5" s="39"/>
      <c r="D5" s="39"/>
      <c r="E5" s="39"/>
      <c r="F5" s="39"/>
      <c r="G5" s="39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</row>
    <row r="6" spans="1:21" s="11" customFormat="1" ht="14.5">
      <c r="A6" s="31" t="s">
        <v>96</v>
      </c>
      <c r="B6" s="40"/>
      <c r="C6" s="40"/>
      <c r="D6" s="40"/>
      <c r="E6" s="40"/>
      <c r="F6" s="40"/>
      <c r="G6" s="40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/>
    </row>
    <row r="7" spans="1:21" s="11" customFormat="1" ht="14.5">
      <c r="A7" s="31"/>
      <c r="B7" s="40"/>
      <c r="C7" s="40"/>
      <c r="D7" s="40"/>
      <c r="E7" s="40"/>
      <c r="F7" s="40"/>
      <c r="G7" s="40"/>
      <c r="H7" s="15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</row>
    <row r="8" spans="1:21" s="11" customFormat="1" ht="14.5">
      <c r="A8" s="41"/>
      <c r="B8" s="42"/>
      <c r="C8" s="42"/>
      <c r="D8" s="42"/>
      <c r="E8" s="42"/>
      <c r="F8" s="42"/>
      <c r="G8" s="42"/>
      <c r="H8" s="15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/>
    </row>
    <row r="9" spans="1:21" s="11" customFormat="1" ht="14.5">
      <c r="A9" s="41"/>
      <c r="B9" s="32"/>
      <c r="C9" s="32"/>
      <c r="D9" s="32"/>
      <c r="E9" s="32"/>
      <c r="F9" s="32"/>
      <c r="G9" s="32"/>
      <c r="H9" s="15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</row>
    <row r="10" spans="1:21" s="11" customFormat="1" ht="14.5">
      <c r="A10" s="31"/>
      <c r="B10" s="32" t="str">
        <f>PN!$B$9</f>
        <v>CUS1677</v>
      </c>
      <c r="C10" s="32" t="str">
        <f>'Pakistan-L'!$C$1</f>
        <v>Danfoss Fzco</v>
      </c>
      <c r="D10" s="32" t="str">
        <f>PN!$B$9&amp;" - "&amp;1</f>
        <v>CUS1677 - 1</v>
      </c>
      <c r="E10" s="32" t="str">
        <f>'Pakistan-L'!B8</f>
        <v>Muhammad Ismail Ghazi</v>
      </c>
      <c r="F10" s="42" t="str">
        <f>'Pakistan-L'!$C$2</f>
        <v>2026/4/1</v>
      </c>
      <c r="G10" s="42" t="str">
        <f>'Pakistan-L'!$E$2</f>
        <v>2026/6/30</v>
      </c>
      <c r="H10" s="15">
        <f>I10+Q10-S10</f>
        <v>532845</v>
      </c>
      <c r="I10" s="16">
        <f>SUM(J10:P10)</f>
        <v>700000</v>
      </c>
      <c r="J10" s="16">
        <f>'Pakistan-L'!C8</f>
        <v>700000</v>
      </c>
      <c r="K10" s="16">
        <f>'Pakistan-L'!D8</f>
        <v>0</v>
      </c>
      <c r="L10" s="16">
        <f>'Pakistan-L'!E8</f>
        <v>0</v>
      </c>
      <c r="M10" s="16">
        <f>'Pakistan-L'!F8</f>
        <v>0</v>
      </c>
      <c r="N10" s="16">
        <f>'Pakistan-L'!G8</f>
        <v>0</v>
      </c>
      <c r="O10" s="16">
        <f>'Pakistan-L'!H8</f>
        <v>0</v>
      </c>
      <c r="P10" s="16">
        <f>'Pakistan-L'!I8</f>
        <v>0</v>
      </c>
      <c r="Q10" s="16">
        <f>SUM(R10:R10)</f>
        <v>0</v>
      </c>
      <c r="R10" s="16">
        <f>'Pakistan-L'!K8</f>
        <v>0</v>
      </c>
      <c r="S10" s="16">
        <f>SUM(T10:U10)</f>
        <v>167155</v>
      </c>
      <c r="T10" s="16">
        <f>'Pakistan-L'!L8</f>
        <v>370</v>
      </c>
      <c r="U10" s="17">
        <f>'Pakistan-L'!M8</f>
        <v>166785</v>
      </c>
    </row>
    <row r="11" spans="1:21" s="11" customFormat="1" ht="14.5">
      <c r="A11" s="10"/>
      <c r="B11" s="32" t="str">
        <f>PN!$B$9</f>
        <v>CUS1677</v>
      </c>
      <c r="C11" s="32" t="str">
        <f>'Pakistan-L'!$C$1</f>
        <v>Danfoss Fzco</v>
      </c>
      <c r="D11" s="32" t="str">
        <f>PN!$B$9&amp;" - "&amp;1</f>
        <v>CUS1677 - 1</v>
      </c>
      <c r="E11" s="32" t="str">
        <f>'Pakistan-L'!B9</f>
        <v>Muhammad Ismail Ghazi</v>
      </c>
      <c r="F11" s="42" t="str">
        <f>'Pakistan-L'!$C$2</f>
        <v>2026/4/1</v>
      </c>
      <c r="G11" s="42" t="str">
        <f>'Pakistan-L'!$E$2</f>
        <v>2026/6/30</v>
      </c>
      <c r="H11" s="15">
        <f t="shared" ref="H11:H12" si="0">I11+Q11-S11</f>
        <v>532845</v>
      </c>
      <c r="I11" s="16">
        <f t="shared" ref="I11:I12" si="1">SUM(J11:P11)</f>
        <v>700000</v>
      </c>
      <c r="J11" s="16">
        <f>'Pakistan-L'!C9</f>
        <v>700000</v>
      </c>
      <c r="K11" s="16">
        <f>'Pakistan-L'!D9</f>
        <v>0</v>
      </c>
      <c r="L11" s="16">
        <f>'Pakistan-L'!E9</f>
        <v>0</v>
      </c>
      <c r="M11" s="16">
        <f>'Pakistan-L'!F9</f>
        <v>0</v>
      </c>
      <c r="N11" s="16">
        <f>'Pakistan-L'!G9</f>
        <v>0</v>
      </c>
      <c r="O11" s="16">
        <f>'Pakistan-L'!H9</f>
        <v>0</v>
      </c>
      <c r="P11" s="16">
        <f>'Pakistan-L'!I9</f>
        <v>0</v>
      </c>
      <c r="Q11" s="16">
        <f t="shared" ref="Q11:Q12" si="2">SUM(R11:R11)</f>
        <v>0</v>
      </c>
      <c r="R11" s="16">
        <f>'Pakistan-L'!K9</f>
        <v>0</v>
      </c>
      <c r="S11" s="16">
        <f t="shared" ref="S11:S12" si="3">SUM(T11:U11)</f>
        <v>167155</v>
      </c>
      <c r="T11" s="16">
        <f>'Pakistan-L'!L9</f>
        <v>370</v>
      </c>
      <c r="U11" s="17">
        <f>'Pakistan-L'!M9</f>
        <v>166785</v>
      </c>
    </row>
    <row r="12" spans="1:21" s="11" customFormat="1" ht="14.5">
      <c r="A12" s="10"/>
      <c r="B12" s="32" t="str">
        <f>PN!$B$9</f>
        <v>CUS1677</v>
      </c>
      <c r="C12" s="32" t="str">
        <f>'Pakistan-L'!$C$1</f>
        <v>Danfoss Fzco</v>
      </c>
      <c r="D12" s="32" t="str">
        <f>PN!$B$9&amp;" - "&amp;1</f>
        <v>CUS1677 - 1</v>
      </c>
      <c r="E12" s="32" t="str">
        <f>'Pakistan-L'!B10</f>
        <v>Muhammad Ismail Ghazi</v>
      </c>
      <c r="F12" s="42" t="str">
        <f>'Pakistan-L'!$C$2</f>
        <v>2026/4/1</v>
      </c>
      <c r="G12" s="42" t="str">
        <f>'Pakistan-L'!$E$2</f>
        <v>2026/6/30</v>
      </c>
      <c r="H12" s="15">
        <f t="shared" si="0"/>
        <v>532845</v>
      </c>
      <c r="I12" s="16">
        <f t="shared" si="1"/>
        <v>700000</v>
      </c>
      <c r="J12" s="16">
        <f>'Pakistan-L'!C10</f>
        <v>700000</v>
      </c>
      <c r="K12" s="16">
        <f>'Pakistan-L'!D10</f>
        <v>0</v>
      </c>
      <c r="L12" s="16">
        <f>'Pakistan-L'!E10</f>
        <v>0</v>
      </c>
      <c r="M12" s="16">
        <f>'Pakistan-L'!F10</f>
        <v>0</v>
      </c>
      <c r="N12" s="16">
        <f>'Pakistan-L'!G10</f>
        <v>0</v>
      </c>
      <c r="O12" s="16">
        <f>'Pakistan-L'!H10</f>
        <v>0</v>
      </c>
      <c r="P12" s="16">
        <f>'Pakistan-L'!I10</f>
        <v>0</v>
      </c>
      <c r="Q12" s="16">
        <f t="shared" si="2"/>
        <v>0</v>
      </c>
      <c r="R12" s="16">
        <f>'Pakistan-L'!K10</f>
        <v>0</v>
      </c>
      <c r="S12" s="16">
        <f t="shared" si="3"/>
        <v>167155</v>
      </c>
      <c r="T12" s="16">
        <f>'Pakistan-L'!L10</f>
        <v>370</v>
      </c>
      <c r="U12" s="17">
        <f>'Pakistan-L'!M10</f>
        <v>166785</v>
      </c>
    </row>
    <row r="13" spans="1:21" s="11" customFormat="1" ht="14.5">
      <c r="A13" s="10"/>
      <c r="B13" s="32" t="str">
        <f>PN!$B$9</f>
        <v>CUS1677</v>
      </c>
      <c r="C13" s="32" t="str">
        <f>'Pakistan-L'!$C$1</f>
        <v>Danfoss Fzco</v>
      </c>
      <c r="D13" s="32" t="str">
        <f>PN!$B$9&amp;" - "&amp;2</f>
        <v>CUS1677 - 2</v>
      </c>
      <c r="E13" s="32" t="str">
        <f>'Pakistan-L'!B11</f>
        <v>Muhammad Jawad Raza</v>
      </c>
      <c r="F13" s="42" t="str">
        <f>'Pakistan-L'!$C$2</f>
        <v>2026/4/1</v>
      </c>
      <c r="G13" s="42" t="str">
        <f>'Pakistan-L'!$E$2</f>
        <v>2026/6/30</v>
      </c>
      <c r="H13" s="15">
        <f t="shared" ref="H13:H15" si="4">I13+Q13-S13</f>
        <v>656130</v>
      </c>
      <c r="I13" s="16">
        <f t="shared" ref="I13:I15" si="5">SUM(J13:P13)</f>
        <v>800000</v>
      </c>
      <c r="J13" s="16">
        <f>'Pakistan-L'!C11</f>
        <v>800000</v>
      </c>
      <c r="K13" s="16">
        <f>'Pakistan-L'!D11</f>
        <v>0</v>
      </c>
      <c r="L13" s="16">
        <f>'Pakistan-L'!E11</f>
        <v>0</v>
      </c>
      <c r="M13" s="16">
        <f>'Pakistan-L'!F11</f>
        <v>0</v>
      </c>
      <c r="N13" s="16">
        <f>'Pakistan-L'!G11</f>
        <v>0</v>
      </c>
      <c r="O13" s="16">
        <f>'Pakistan-L'!H11</f>
        <v>0</v>
      </c>
      <c r="P13" s="16">
        <f>'Pakistan-L'!I11</f>
        <v>0</v>
      </c>
      <c r="Q13" s="16">
        <f t="shared" ref="Q13:Q15" si="6">SUM(R13:R13)</f>
        <v>0</v>
      </c>
      <c r="R13" s="16">
        <f>'Pakistan-L'!K11</f>
        <v>0</v>
      </c>
      <c r="S13" s="16">
        <f t="shared" ref="S13:S15" si="7">SUM(T13:U13)</f>
        <v>143870</v>
      </c>
      <c r="T13" s="16">
        <f>'Pakistan-L'!L11</f>
        <v>370</v>
      </c>
      <c r="U13" s="17">
        <f>'Pakistan-L'!M11</f>
        <v>143500</v>
      </c>
    </row>
    <row r="14" spans="1:21" s="11" customFormat="1" ht="14.5">
      <c r="A14" s="10"/>
      <c r="B14" s="32" t="str">
        <f>PN!$B$9</f>
        <v>CUS1677</v>
      </c>
      <c r="C14" s="32" t="str">
        <f>'Pakistan-L'!$C$1</f>
        <v>Danfoss Fzco</v>
      </c>
      <c r="D14" s="32" t="str">
        <f>PN!$B$9&amp;" - "&amp;2</f>
        <v>CUS1677 - 2</v>
      </c>
      <c r="E14" s="32" t="str">
        <f>'Pakistan-L'!B12</f>
        <v>Muhammad Jawad Raza</v>
      </c>
      <c r="F14" s="42" t="str">
        <f>'Pakistan-L'!$C$2</f>
        <v>2026/4/1</v>
      </c>
      <c r="G14" s="42" t="str">
        <f>'Pakistan-L'!$E$2</f>
        <v>2026/6/30</v>
      </c>
      <c r="H14" s="15">
        <f t="shared" si="4"/>
        <v>656130</v>
      </c>
      <c r="I14" s="16">
        <f t="shared" si="5"/>
        <v>800000</v>
      </c>
      <c r="J14" s="16">
        <f>'Pakistan-L'!C12</f>
        <v>800000</v>
      </c>
      <c r="K14" s="16">
        <f>'Pakistan-L'!D12</f>
        <v>0</v>
      </c>
      <c r="L14" s="16">
        <f>'Pakistan-L'!E12</f>
        <v>0</v>
      </c>
      <c r="M14" s="16">
        <f>'Pakistan-L'!F12</f>
        <v>0</v>
      </c>
      <c r="N14" s="16">
        <f>'Pakistan-L'!G12</f>
        <v>0</v>
      </c>
      <c r="O14" s="16">
        <f>'Pakistan-L'!H12</f>
        <v>0</v>
      </c>
      <c r="P14" s="16">
        <f>'Pakistan-L'!I12</f>
        <v>0</v>
      </c>
      <c r="Q14" s="16">
        <f t="shared" si="6"/>
        <v>0</v>
      </c>
      <c r="R14" s="16">
        <f>'Pakistan-L'!K12</f>
        <v>0</v>
      </c>
      <c r="S14" s="16">
        <f t="shared" si="7"/>
        <v>143870</v>
      </c>
      <c r="T14" s="16">
        <f>'Pakistan-L'!L12</f>
        <v>370</v>
      </c>
      <c r="U14" s="17">
        <f>'Pakistan-L'!M12</f>
        <v>143500</v>
      </c>
    </row>
    <row r="15" spans="1:21" s="11" customFormat="1" ht="14.5">
      <c r="A15" s="10"/>
      <c r="B15" s="32" t="str">
        <f>PN!$B$9</f>
        <v>CUS1677</v>
      </c>
      <c r="C15" s="32" t="str">
        <f>'Pakistan-L'!$C$1</f>
        <v>Danfoss Fzco</v>
      </c>
      <c r="D15" s="32" t="str">
        <f>PN!$B$9&amp;" - "&amp;2</f>
        <v>CUS1677 - 2</v>
      </c>
      <c r="E15" s="32" t="str">
        <f>'Pakistan-L'!B13</f>
        <v>Muhammad Jawad Raza</v>
      </c>
      <c r="F15" s="42" t="str">
        <f>'Pakistan-L'!$C$2</f>
        <v>2026/4/1</v>
      </c>
      <c r="G15" s="42" t="str">
        <f>'Pakistan-L'!$E$2</f>
        <v>2026/6/30</v>
      </c>
      <c r="H15" s="15">
        <f t="shared" si="4"/>
        <v>656130</v>
      </c>
      <c r="I15" s="16">
        <f t="shared" si="5"/>
        <v>800000</v>
      </c>
      <c r="J15" s="16">
        <f>'Pakistan-L'!C13</f>
        <v>800000</v>
      </c>
      <c r="K15" s="16">
        <f>'Pakistan-L'!D13</f>
        <v>0</v>
      </c>
      <c r="L15" s="16">
        <f>'Pakistan-L'!E13</f>
        <v>0</v>
      </c>
      <c r="M15" s="16">
        <f>'Pakistan-L'!F13</f>
        <v>0</v>
      </c>
      <c r="N15" s="16">
        <f>'Pakistan-L'!G13</f>
        <v>0</v>
      </c>
      <c r="O15" s="16">
        <f>'Pakistan-L'!H13</f>
        <v>0</v>
      </c>
      <c r="P15" s="16">
        <f>'Pakistan-L'!I13</f>
        <v>0</v>
      </c>
      <c r="Q15" s="16">
        <f t="shared" si="6"/>
        <v>0</v>
      </c>
      <c r="R15" s="16">
        <f>'Pakistan-L'!K13</f>
        <v>0</v>
      </c>
      <c r="S15" s="16">
        <f t="shared" si="7"/>
        <v>143870</v>
      </c>
      <c r="T15" s="16">
        <f>'Pakistan-L'!L13</f>
        <v>370</v>
      </c>
      <c r="U15" s="17">
        <f>'Pakistan-L'!M13</f>
        <v>143500</v>
      </c>
    </row>
    <row r="16" spans="1:21" s="11" customFormat="1">
      <c r="A16" s="10"/>
      <c r="H16" s="15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/>
    </row>
    <row r="17" spans="1:21" s="11" customFormat="1">
      <c r="A17" s="10"/>
      <c r="H17" s="15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</row>
    <row r="18" spans="1:21" s="11" customFormat="1" ht="13.5" thickBot="1">
      <c r="A18" s="10"/>
      <c r="H18" s="19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1"/>
    </row>
  </sheetData>
  <mergeCells count="9">
    <mergeCell ref="Q3:R3"/>
    <mergeCell ref="S3:U3"/>
    <mergeCell ref="H3:H4"/>
    <mergeCell ref="I3:P3"/>
    <mergeCell ref="B3:B4"/>
    <mergeCell ref="C3:C4"/>
    <mergeCell ref="D3:D4"/>
    <mergeCell ref="E3:E4"/>
    <mergeCell ref="F3:G3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373B-4961-4139-AAAA-4D0437095036}">
  <dimension ref="A1:AA14"/>
  <sheetViews>
    <sheetView zoomScale="99" workbookViewId="0">
      <selection activeCell="G20" sqref="G20"/>
    </sheetView>
  </sheetViews>
  <sheetFormatPr defaultColWidth="8.81640625" defaultRowHeight="14.5"/>
  <cols>
    <col min="1" max="1" width="5.6328125" bestFit="1" customWidth="1"/>
    <col min="2" max="2" width="24.7265625" customWidth="1"/>
    <col min="3" max="3" width="14.453125" customWidth="1"/>
    <col min="4" max="4" width="9.453125" bestFit="1" customWidth="1"/>
    <col min="5" max="5" width="9.6328125" bestFit="1" customWidth="1"/>
    <col min="6" max="6" width="7" bestFit="1" customWidth="1"/>
    <col min="7" max="7" width="5.81640625" bestFit="1" customWidth="1"/>
    <col min="8" max="8" width="7.81640625" bestFit="1" customWidth="1"/>
    <col min="9" max="9" width="5.453125" bestFit="1" customWidth="1"/>
    <col min="10" max="10" width="10.36328125" bestFit="1" customWidth="1"/>
    <col min="11" max="11" width="12.453125" bestFit="1" customWidth="1"/>
    <col min="12" max="12" width="6.1796875" bestFit="1" customWidth="1"/>
    <col min="13" max="13" width="11.36328125" bestFit="1" customWidth="1"/>
    <col min="14" max="14" width="10.36328125" bestFit="1" customWidth="1"/>
    <col min="15" max="15" width="11.453125" bestFit="1" customWidth="1"/>
    <col min="16" max="16" width="8.6328125" bestFit="1" customWidth="1"/>
    <col min="17" max="17" width="11.1796875" bestFit="1" customWidth="1"/>
    <col min="18" max="18" width="10.36328125" bestFit="1" customWidth="1"/>
    <col min="20" max="20" width="9.453125" bestFit="1" customWidth="1"/>
  </cols>
  <sheetData>
    <row r="1" spans="1:27">
      <c r="A1" s="120" t="s">
        <v>22</v>
      </c>
      <c r="B1" s="120"/>
      <c r="C1" s="23" t="str">
        <f>PN!B8</f>
        <v>Danfoss Fzco</v>
      </c>
    </row>
    <row r="2" spans="1:27">
      <c r="A2" s="120" t="s">
        <v>23</v>
      </c>
      <c r="B2" s="120"/>
      <c r="C2" s="35" t="s">
        <v>98</v>
      </c>
      <c r="D2" s="26" t="s">
        <v>24</v>
      </c>
      <c r="E2" s="35" t="s">
        <v>99</v>
      </c>
    </row>
    <row r="3" spans="1:27">
      <c r="A3" s="120" t="s">
        <v>25</v>
      </c>
      <c r="B3" s="120"/>
      <c r="C3" s="23" t="s">
        <v>77</v>
      </c>
    </row>
    <row r="6" spans="1:27" ht="15" thickBot="1"/>
    <row r="7" spans="1:27" s="22" customFormat="1" ht="43.5">
      <c r="A7" s="110" t="s">
        <v>78</v>
      </c>
      <c r="B7" s="111" t="s">
        <v>79</v>
      </c>
      <c r="C7" s="111" t="s">
        <v>80</v>
      </c>
      <c r="D7" s="111" t="s">
        <v>81</v>
      </c>
      <c r="E7" s="111" t="s">
        <v>82</v>
      </c>
      <c r="F7" s="111" t="s">
        <v>83</v>
      </c>
      <c r="G7" s="111" t="s">
        <v>84</v>
      </c>
      <c r="H7" s="111" t="s">
        <v>85</v>
      </c>
      <c r="I7" s="111" t="s">
        <v>86</v>
      </c>
      <c r="J7" s="111" t="s">
        <v>87</v>
      </c>
      <c r="K7" s="111" t="s">
        <v>88</v>
      </c>
      <c r="L7" s="112" t="s">
        <v>89</v>
      </c>
      <c r="M7" s="111" t="s">
        <v>90</v>
      </c>
      <c r="N7" s="111" t="s">
        <v>91</v>
      </c>
      <c r="O7" s="111" t="s">
        <v>92</v>
      </c>
      <c r="P7" s="111" t="s">
        <v>93</v>
      </c>
      <c r="Q7" s="111" t="s">
        <v>31</v>
      </c>
      <c r="R7" s="113" t="s">
        <v>94</v>
      </c>
    </row>
    <row r="8" spans="1:27" ht="26.25" customHeight="1">
      <c r="A8" s="114">
        <v>1</v>
      </c>
      <c r="B8" s="115" t="s">
        <v>95</v>
      </c>
      <c r="C8" s="116">
        <v>700000</v>
      </c>
      <c r="D8" s="115"/>
      <c r="E8" s="115"/>
      <c r="F8" s="115"/>
      <c r="G8" s="117"/>
      <c r="H8" s="115"/>
      <c r="I8" s="115"/>
      <c r="J8" s="116">
        <f>SUM(C8:I8)</f>
        <v>700000</v>
      </c>
      <c r="K8" s="116"/>
      <c r="L8" s="115">
        <v>370</v>
      </c>
      <c r="M8" s="173">
        <v>166785</v>
      </c>
      <c r="N8" s="116">
        <f>J8+K8-L8-M8</f>
        <v>532845</v>
      </c>
      <c r="O8" s="115"/>
      <c r="P8" s="115"/>
      <c r="Q8" s="115"/>
      <c r="R8" s="116">
        <f>J8+K8+O8+P8+Q8</f>
        <v>700000</v>
      </c>
      <c r="S8" s="81"/>
      <c r="T8" s="81"/>
      <c r="U8" s="82"/>
      <c r="V8" s="82"/>
      <c r="W8" s="82"/>
      <c r="X8" s="82"/>
      <c r="Y8" s="82"/>
      <c r="Z8" s="82"/>
      <c r="AA8" s="82"/>
    </row>
    <row r="9" spans="1:27">
      <c r="A9" s="114">
        <v>1</v>
      </c>
      <c r="B9" s="115" t="s">
        <v>95</v>
      </c>
      <c r="C9" s="116">
        <v>700000</v>
      </c>
      <c r="D9" s="115"/>
      <c r="E9" s="115"/>
      <c r="F9" s="115"/>
      <c r="G9" s="117"/>
      <c r="H9" s="115"/>
      <c r="I9" s="115"/>
      <c r="J9" s="116">
        <f t="shared" ref="J9:J10" si="0">SUM(C9:I9)</f>
        <v>700000</v>
      </c>
      <c r="K9" s="116"/>
      <c r="L9" s="115">
        <v>370</v>
      </c>
      <c r="M9" s="173">
        <v>166785</v>
      </c>
      <c r="N9" s="116">
        <f>J9+K9-L9-M9</f>
        <v>532845</v>
      </c>
      <c r="O9" s="115"/>
      <c r="P9" s="115"/>
      <c r="Q9" s="115"/>
      <c r="R9" s="116">
        <f>J9+K9+O9+P9+Q9</f>
        <v>700000</v>
      </c>
      <c r="T9" s="24"/>
    </row>
    <row r="10" spans="1:27">
      <c r="A10" s="114">
        <v>1</v>
      </c>
      <c r="B10" s="115" t="s">
        <v>95</v>
      </c>
      <c r="C10" s="116">
        <v>700000</v>
      </c>
      <c r="D10" s="115"/>
      <c r="E10" s="115"/>
      <c r="F10" s="115"/>
      <c r="G10" s="115"/>
      <c r="H10" s="115"/>
      <c r="I10" s="115"/>
      <c r="J10" s="116">
        <f t="shared" si="0"/>
        <v>700000</v>
      </c>
      <c r="K10" s="116"/>
      <c r="L10" s="115">
        <v>370</v>
      </c>
      <c r="M10" s="173">
        <v>166785</v>
      </c>
      <c r="N10" s="116">
        <f>J10+K10-L10-M10</f>
        <v>532845</v>
      </c>
      <c r="O10" s="115"/>
      <c r="P10" s="115"/>
      <c r="Q10" s="115"/>
      <c r="R10" s="116">
        <f>J10+K10+O10+P10+Q10</f>
        <v>700000</v>
      </c>
    </row>
    <row r="11" spans="1:27">
      <c r="A11" s="114">
        <v>2</v>
      </c>
      <c r="B11" s="174" t="s">
        <v>97</v>
      </c>
      <c r="C11" s="116">
        <v>800000</v>
      </c>
      <c r="D11" s="115"/>
      <c r="E11" s="115"/>
      <c r="F11" s="115"/>
      <c r="G11" s="115"/>
      <c r="H11" s="115"/>
      <c r="I11" s="115"/>
      <c r="J11" s="116">
        <f t="shared" ref="J11:J14" si="1">SUM(C11:I11)</f>
        <v>800000</v>
      </c>
      <c r="K11" s="116"/>
      <c r="L11" s="115">
        <v>370</v>
      </c>
      <c r="M11" s="173">
        <v>143500</v>
      </c>
      <c r="N11" s="116">
        <f t="shared" ref="N11:N14" si="2">J11+K11-L11-M11</f>
        <v>656130</v>
      </c>
      <c r="O11" s="115"/>
      <c r="P11" s="115"/>
      <c r="Q11" s="115"/>
      <c r="R11" s="116">
        <f t="shared" ref="R11:R14" si="3">J11+K11+O11+P11+Q11</f>
        <v>800000</v>
      </c>
    </row>
    <row r="12" spans="1:27">
      <c r="A12" s="114">
        <v>2</v>
      </c>
      <c r="B12" s="174" t="s">
        <v>97</v>
      </c>
      <c r="C12" s="116">
        <v>800000</v>
      </c>
      <c r="D12" s="115"/>
      <c r="E12" s="115"/>
      <c r="F12" s="115"/>
      <c r="G12" s="115"/>
      <c r="H12" s="115"/>
      <c r="I12" s="115"/>
      <c r="J12" s="116">
        <f t="shared" si="1"/>
        <v>800000</v>
      </c>
      <c r="K12" s="116"/>
      <c r="L12" s="115">
        <v>370</v>
      </c>
      <c r="M12" s="173">
        <v>143500</v>
      </c>
      <c r="N12" s="116">
        <f t="shared" si="2"/>
        <v>656130</v>
      </c>
      <c r="O12" s="115"/>
      <c r="P12" s="115"/>
      <c r="Q12" s="115"/>
      <c r="R12" s="116">
        <f t="shared" si="3"/>
        <v>800000</v>
      </c>
    </row>
    <row r="13" spans="1:27">
      <c r="A13" s="114">
        <v>2</v>
      </c>
      <c r="B13" s="174" t="s">
        <v>97</v>
      </c>
      <c r="C13" s="116">
        <v>800000</v>
      </c>
      <c r="D13" s="115"/>
      <c r="E13" s="115"/>
      <c r="F13" s="115"/>
      <c r="G13" s="115"/>
      <c r="H13" s="115"/>
      <c r="I13" s="115"/>
      <c r="J13" s="116">
        <f t="shared" si="1"/>
        <v>800000</v>
      </c>
      <c r="K13" s="116"/>
      <c r="L13" s="115">
        <v>370</v>
      </c>
      <c r="M13" s="173">
        <v>143500</v>
      </c>
      <c r="N13" s="116">
        <f t="shared" si="2"/>
        <v>656130</v>
      </c>
      <c r="O13" s="115"/>
      <c r="P13" s="115"/>
      <c r="Q13" s="115"/>
      <c r="R13" s="116">
        <f t="shared" si="3"/>
        <v>800000</v>
      </c>
    </row>
    <row r="14" spans="1:27">
      <c r="A14" s="114"/>
      <c r="B14" s="115"/>
      <c r="C14" s="116"/>
      <c r="D14" s="115"/>
      <c r="E14" s="115"/>
      <c r="F14" s="115"/>
      <c r="G14" s="115"/>
      <c r="H14" s="115"/>
      <c r="I14" s="115"/>
      <c r="J14" s="116"/>
      <c r="K14" s="116"/>
      <c r="L14" s="115"/>
      <c r="M14" s="173"/>
      <c r="N14" s="116"/>
      <c r="O14" s="115"/>
      <c r="P14" s="115"/>
      <c r="Q14" s="115"/>
      <c r="R14" s="116"/>
    </row>
  </sheetData>
  <mergeCells count="3">
    <mergeCell ref="A1:B1"/>
    <mergeCell ref="A2:B2"/>
    <mergeCell ref="A3:B3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1CCB-014D-4C81-99E7-C5150F29E44F}">
  <dimension ref="A1:K9"/>
  <sheetViews>
    <sheetView workbookViewId="0">
      <selection activeCell="G2" sqref="G2"/>
    </sheetView>
  </sheetViews>
  <sheetFormatPr defaultColWidth="8.6328125" defaultRowHeight="14.5"/>
  <cols>
    <col min="1" max="1" width="14.36328125" style="34" customWidth="1"/>
    <col min="2" max="2" width="13.6328125" style="34" customWidth="1"/>
    <col min="3" max="3" width="15.81640625" style="34" customWidth="1"/>
    <col min="4" max="4" width="9.36328125" style="34" customWidth="1"/>
    <col min="5" max="6" width="14.6328125" style="34" customWidth="1"/>
    <col min="7" max="16384" width="8.6328125" style="34"/>
  </cols>
  <sheetData>
    <row r="1" spans="1:11" s="30" customFormat="1" ht="58">
      <c r="A1" s="22" t="s">
        <v>33</v>
      </c>
      <c r="B1" s="22" t="s">
        <v>34</v>
      </c>
      <c r="C1" s="22" t="s">
        <v>35</v>
      </c>
      <c r="D1" s="22" t="s">
        <v>36</v>
      </c>
      <c r="E1" s="22" t="s">
        <v>37</v>
      </c>
      <c r="F1" s="109" t="s">
        <v>38</v>
      </c>
      <c r="G1" s="109" t="s">
        <v>26</v>
      </c>
      <c r="H1" s="22" t="s">
        <v>39</v>
      </c>
      <c r="I1" s="22" t="s">
        <v>73</v>
      </c>
      <c r="J1" s="109" t="s">
        <v>40</v>
      </c>
      <c r="K1" s="22" t="s">
        <v>41</v>
      </c>
    </row>
    <row r="2" spans="1:11" s="30" customFormat="1">
      <c r="A2" s="108">
        <f>PN!F15</f>
        <v>16623.144810863705</v>
      </c>
      <c r="B2" s="108">
        <f>PN!F39</f>
        <v>112.5</v>
      </c>
      <c r="C2" s="108">
        <f>PN!F25</f>
        <v>900</v>
      </c>
      <c r="D2" s="108">
        <f>PN!F37</f>
        <v>90</v>
      </c>
      <c r="E2" s="108">
        <f>PN!F36</f>
        <v>0</v>
      </c>
      <c r="F2" s="30">
        <f>0</f>
        <v>0</v>
      </c>
      <c r="G2" s="30">
        <v>0</v>
      </c>
      <c r="H2" s="108">
        <f>PN!F34</f>
        <v>6.3</v>
      </c>
      <c r="I2" s="108">
        <f>PN!F35</f>
        <v>0</v>
      </c>
      <c r="J2" s="30">
        <v>0</v>
      </c>
      <c r="K2" s="30">
        <f>SUM(A2:J2)</f>
        <v>17731.944810863704</v>
      </c>
    </row>
    <row r="3" spans="1:11" s="30" customFormat="1"/>
    <row r="4" spans="1:11" s="30" customFormat="1"/>
    <row r="5" spans="1:11" s="30" customFormat="1"/>
    <row r="6" spans="1:11" s="30" customFormat="1"/>
    <row r="7" spans="1:11" s="30" customFormat="1">
      <c r="A7" s="30" t="s">
        <v>42</v>
      </c>
    </row>
    <row r="8" spans="1:11" s="30" customFormat="1">
      <c r="A8" s="30" t="s">
        <v>43</v>
      </c>
    </row>
    <row r="9" spans="1:11" s="30" customFormat="1">
      <c r="A9" s="30" t="s">
        <v>44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AA55CC3C3BD834BA343262FD5D71E76" ma:contentTypeVersion="18" ma:contentTypeDescription="新建文档。" ma:contentTypeScope="" ma:versionID="3f14a2da25cd2f8bc5bf0c3f1f3910d8">
  <xsd:schema xmlns:xsd="http://www.w3.org/2001/XMLSchema" xmlns:xs="http://www.w3.org/2001/XMLSchema" xmlns:p="http://schemas.microsoft.com/office/2006/metadata/properties" xmlns:ns2="d627f54e-f962-403c-9056-fc9f08248a08" xmlns:ns3="00ff829c-5328-4041-8e8f-a41155b380ee" targetNamespace="http://schemas.microsoft.com/office/2006/metadata/properties" ma:root="true" ma:fieldsID="22cfa7148e5bbb6ef959ad49ea3ec3a1" ns2:_="" ns3:_="">
    <xsd:import namespace="d627f54e-f962-403c-9056-fc9f08248a08"/>
    <xsd:import namespace="00ff829c-5328-4041-8e8f-a41155b38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f54e-f962-403c-9056-fc9f08248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图像标记" ma:readOnly="false" ma:fieldId="{5cf76f15-5ced-4ddc-b409-7134ff3c332f}" ma:taxonomyMulti="true" ma:sspId="85ddd8d0-bf53-41a6-917a-6eb97754df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ff829c-5328-4041-8e8f-a41155b380e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ac505a6-63dc-4bf4-b786-d4f4c64093de}" ma:internalName="TaxCatchAll" ma:showField="CatchAllData" ma:web="00ff829c-5328-4041-8e8f-a41155b38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ff829c-5328-4041-8e8f-a41155b380ee" xsi:nil="true"/>
    <lcf76f155ced4ddcb4097134ff3c332f xmlns="d627f54e-f962-403c-9056-fc9f08248a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3EED32-E190-4DDC-A031-4D92EC66F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27f54e-f962-403c-9056-fc9f08248a08"/>
    <ds:schemaRef ds:uri="00ff829c-5328-4041-8e8f-a41155b380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81C1AA-15EC-4ADB-A46F-B6AE36F878FA}">
  <ds:schemaRefs>
    <ds:schemaRef ds:uri="http://www.w3.org/XML/1998/namespace"/>
    <ds:schemaRef ds:uri="d627f54e-f962-403c-9056-fc9f08248a08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00ff829c-5328-4041-8e8f-a41155b380ee"/>
    <ds:schemaRef ds:uri="http://schemas.microsoft.com/office/2006/documentManagement/typ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2A9B423-83D3-49E0-BE6D-5522DEF8F0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PN</vt:lpstr>
      <vt:lpstr>Pakistan</vt:lpstr>
      <vt:lpstr>Pakistan EE</vt:lpstr>
      <vt:lpstr>Pakistan-L</vt:lpstr>
      <vt:lpstr>FI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</dc:creator>
  <cp:keywords/>
  <dc:description/>
  <cp:lastModifiedBy>LIU, SiYu</cp:lastModifiedBy>
  <cp:revision/>
  <cp:lastPrinted>2024-12-12T22:42:57Z</cp:lastPrinted>
  <dcterms:created xsi:type="dcterms:W3CDTF">2019-04-02T09:07:35Z</dcterms:created>
  <dcterms:modified xsi:type="dcterms:W3CDTF">2026-03-18T02:34:48Z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a8ef3fbe-4e27-48f7-a0b1-3e7729cc8ae0</vt:lpwstr>
  </property>
  <property fmtid="{D5CDD505-2E9C-101B-9397-08002B2CF9AE}" pid="4" name="MediaServiceImageTags">
    <vt:lpwstr/>
  </property>
</Properties>
</file>