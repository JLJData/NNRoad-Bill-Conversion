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one\Downloads\"/>
    </mc:Choice>
  </mc:AlternateContent>
  <xr:revisionPtr revIDLastSave="0" documentId="13_ncr:1_{80D533E9-008D-4277-B12A-9D7C7F2A8BFA}" xr6:coauthVersionLast="47" xr6:coauthVersionMax="47" xr10:uidLastSave="{00000000-0000-0000-0000-000000000000}"/>
  <bookViews>
    <workbookView xWindow="-110" yWindow="-110" windowWidth="25820" windowHeight="15500" xr2:uid="{38C3E173-F7FD-4B3C-BC8A-276CE1A49B11}"/>
  </bookViews>
  <sheets>
    <sheet name="PN" sheetId="1" r:id="rId1"/>
    <sheet name="UAE" sheetId="2" r:id="rId2"/>
    <sheet name="UAE EE" sheetId="5" r:id="rId3"/>
    <sheet name="UAE-L" sheetId="3" r:id="rId4"/>
    <sheet name="FI Report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2" l="1"/>
  <c r="G9" i="3"/>
  <c r="D9" i="3"/>
  <c r="B2" i="6"/>
  <c r="I2" i="6"/>
  <c r="E2" i="6"/>
  <c r="F2" i="6"/>
  <c r="B29" i="1"/>
  <c r="A19" i="1"/>
  <c r="K11" i="5"/>
  <c r="L11" i="5"/>
  <c r="M11" i="5"/>
  <c r="N11" i="5"/>
  <c r="O11" i="5"/>
  <c r="Q11" i="5"/>
  <c r="P11" i="5" s="1"/>
  <c r="R11" i="5"/>
  <c r="T11" i="5"/>
  <c r="C11" i="5"/>
  <c r="E11" i="5"/>
  <c r="F11" i="5"/>
  <c r="G11" i="5"/>
  <c r="B10" i="2"/>
  <c r="C10" i="2"/>
  <c r="K10" i="2"/>
  <c r="L10" i="2"/>
  <c r="M10" i="2"/>
  <c r="N10" i="2"/>
  <c r="O10" i="2"/>
  <c r="Q10" i="2"/>
  <c r="R10" i="2"/>
  <c r="T10" i="2"/>
  <c r="S10" i="2" s="1"/>
  <c r="E19" i="1" s="1"/>
  <c r="E9" i="3"/>
  <c r="D8" i="3"/>
  <c r="P10" i="2" l="1"/>
  <c r="F9" i="3"/>
  <c r="J10" i="2" s="1"/>
  <c r="I10" i="2" s="1"/>
  <c r="O9" i="3"/>
  <c r="S9" i="3" s="1"/>
  <c r="F19" i="1"/>
  <c r="O8" i="3"/>
  <c r="T8" i="3" s="1"/>
  <c r="Q9" i="2"/>
  <c r="E8" i="3"/>
  <c r="F10" i="1"/>
  <c r="Q6" i="2" l="1"/>
  <c r="T9" i="3"/>
  <c r="J11" i="5"/>
  <c r="I11" i="5" s="1"/>
  <c r="H11" i="5" s="1"/>
  <c r="H10" i="2"/>
  <c r="G10" i="2" s="1"/>
  <c r="E10" i="2" s="1"/>
  <c r="E17" i="1"/>
  <c r="F8" i="3"/>
  <c r="S8" i="3"/>
  <c r="F17" i="1" l="1"/>
  <c r="A29" i="1"/>
  <c r="E14" i="1"/>
  <c r="F30" i="1"/>
  <c r="H2" i="6" s="1"/>
  <c r="F31" i="1"/>
  <c r="F32" i="1"/>
  <c r="F33" i="1"/>
  <c r="D2" i="6" s="1"/>
  <c r="K9" i="2" l="1"/>
  <c r="L9" i="2"/>
  <c r="L6" i="2" s="1"/>
  <c r="M9" i="2"/>
  <c r="N9" i="2"/>
  <c r="O9" i="2"/>
  <c r="J9" i="2"/>
  <c r="K4" i="2"/>
  <c r="L4" i="2"/>
  <c r="M4" i="2"/>
  <c r="N4" i="2"/>
  <c r="O4" i="2"/>
  <c r="J4" i="2"/>
  <c r="K10" i="5"/>
  <c r="L10" i="5"/>
  <c r="M10" i="5"/>
  <c r="N10" i="5"/>
  <c r="O10" i="5"/>
  <c r="J10" i="5"/>
  <c r="K4" i="5"/>
  <c r="L4" i="5"/>
  <c r="M4" i="5"/>
  <c r="N4" i="5"/>
  <c r="O4" i="5"/>
  <c r="J4" i="5"/>
  <c r="T9" i="2"/>
  <c r="R9" i="2"/>
  <c r="E21" i="2"/>
  <c r="C9" i="2"/>
  <c r="R10" i="5"/>
  <c r="T10" i="5"/>
  <c r="Q10" i="5"/>
  <c r="P10" i="5" s="1"/>
  <c r="R6" i="2" l="1"/>
  <c r="P9" i="2"/>
  <c r="K6" i="2"/>
  <c r="P6" i="2"/>
  <c r="M6" i="2"/>
  <c r="O6" i="2"/>
  <c r="N6" i="2"/>
  <c r="T6" i="2"/>
  <c r="I10" i="5"/>
  <c r="H10" i="5" s="1"/>
  <c r="I9" i="2"/>
  <c r="J6" i="2"/>
  <c r="H9" i="2" l="1"/>
  <c r="G9" i="2" s="1"/>
  <c r="E16" i="1"/>
  <c r="I6" i="2"/>
  <c r="H6" i="2" l="1"/>
  <c r="E22" i="1" s="1"/>
  <c r="F16" i="1"/>
  <c r="C10" i="5"/>
  <c r="E10" i="5"/>
  <c r="G10" i="5"/>
  <c r="F10" i="5"/>
  <c r="G6" i="2" l="1"/>
  <c r="E21" i="1"/>
  <c r="F22" i="1"/>
  <c r="F21" i="1" s="1"/>
  <c r="C2" i="6" s="1"/>
  <c r="A1" i="5"/>
  <c r="C2" i="2" l="1"/>
  <c r="B2" i="2"/>
  <c r="A16" i="1" l="1"/>
  <c r="A17" i="1"/>
  <c r="A22" i="1"/>
  <c r="F6" i="2"/>
  <c r="F35" i="1" s="1"/>
  <c r="S9" i="2" l="1"/>
  <c r="B9" i="2"/>
  <c r="A1" i="2"/>
  <c r="A18" i="1" l="1"/>
  <c r="E18" i="1"/>
  <c r="E9" i="2"/>
  <c r="S6" i="2"/>
  <c r="F18" i="1" l="1"/>
  <c r="F15" i="1" s="1"/>
  <c r="A2" i="6" s="1"/>
  <c r="K2" i="6" s="1"/>
  <c r="E15" i="1"/>
  <c r="E26" i="1" s="1"/>
  <c r="E6" i="2"/>
  <c r="F26" i="1" l="1"/>
  <c r="F29" i="1" s="1"/>
  <c r="F34" i="1" s="1"/>
  <c r="F36" i="1" s="1"/>
</calcChain>
</file>

<file path=xl/sharedStrings.xml><?xml version="1.0" encoding="utf-8"?>
<sst xmlns="http://schemas.openxmlformats.org/spreadsheetml/2006/main" count="129" uniqueCount="109">
  <si>
    <r>
      <t>N</t>
    </r>
    <r>
      <rPr>
        <b/>
        <sz val="12"/>
        <color rgb="FF8DC63F"/>
        <rFont val="Calibri"/>
        <family val="2"/>
        <scheme val="minor"/>
      </rPr>
      <t>N</t>
    </r>
    <r>
      <rPr>
        <b/>
        <sz val="12"/>
        <color rgb="FF0066B3"/>
        <rFont val="Calibri"/>
        <family val="2"/>
        <scheme val="minor"/>
      </rPr>
      <t>Road</t>
    </r>
    <r>
      <rPr>
        <b/>
        <sz val="12"/>
        <color rgb="FF8DC63F"/>
        <rFont val="Calibri"/>
        <family val="2"/>
        <scheme val="minor"/>
      </rPr>
      <t> – Employer of Record, Payroll Worldwide</t>
    </r>
  </si>
  <si>
    <t>333 W San Carlos St., Suite 600, San Jose, CA 95113, USA</t>
    <phoneticPr fontId="7" type="noConversion"/>
  </si>
  <si>
    <t>USA: +1 (669) 377-5080 | www.NNRoad.com</t>
    <phoneticPr fontId="7" type="noConversion"/>
  </si>
  <si>
    <t>INVOICE</t>
  </si>
  <si>
    <t>Bill to:</t>
  </si>
  <si>
    <t>Company name:</t>
  </si>
  <si>
    <t>Cityzen Property London Ltd</t>
  </si>
  <si>
    <t>Currency</t>
  </si>
  <si>
    <t>USD</t>
  </si>
  <si>
    <t>Client ID:</t>
  </si>
  <si>
    <t>CUS1628</t>
  </si>
  <si>
    <t>Invoice number</t>
  </si>
  <si>
    <t>Address:</t>
  </si>
  <si>
    <t>73 Cornhill，London, UK, EC3V 3QQ</t>
  </si>
  <si>
    <t>Invoice date</t>
  </si>
  <si>
    <t>Due date</t>
  </si>
  <si>
    <t>Description</t>
  </si>
  <si>
    <t>Approx. In USD*</t>
  </si>
  <si>
    <t>EOR/PEO Cost</t>
  </si>
  <si>
    <t>Service Fee</t>
  </si>
  <si>
    <t xml:space="preserve">EOR/PEO Service Cost		</t>
  </si>
  <si>
    <t>EOR/PEO Service Cost</t>
  </si>
  <si>
    <t xml:space="preserve">Outstanding payment </t>
  </si>
  <si>
    <t xml:space="preserve">FX difference </t>
  </si>
  <si>
    <t xml:space="preserve">Interests of delay </t>
  </si>
  <si>
    <t xml:space="preserve">Bank Charges </t>
  </si>
  <si>
    <t xml:space="preserve">Sub Total (Excluding Tax)		</t>
  </si>
  <si>
    <t>Tax</t>
  </si>
  <si>
    <t xml:space="preserve">Total		</t>
  </si>
  <si>
    <t xml:space="preserve">Please pay the Invoice in FULL AMOUNT </t>
  </si>
  <si>
    <t>Beneficiary: NNROAD, INC.
Bank Name: Chase Bank
Bank Account: 132827913
Bank Add.: 690 River Oaks Parkway Ste A, San Jose, CA 95134, USA</t>
  </si>
  <si>
    <t xml:space="preserve">
SWIFT BIC (international transfer): CHASUS33XXX
Routing Number (domestic wire transfer): 021000021
Routing Number (domestic ACH and direct deposit): 322271627</t>
  </si>
  <si>
    <t>Notes:</t>
  </si>
  <si>
    <t>1. Please ensure that you include the Invoice Number when making your payment. This will help us accurately process and allocate your payment .</t>
  </si>
  <si>
    <t>2. This document becomes a Tax Invoice/Receipt upon payment. Please retain a copy for your records.</t>
  </si>
  <si>
    <t>3. This is a computer generated document.  No Signature required.</t>
  </si>
  <si>
    <t>Pay Period</t>
    <phoneticPr fontId="0" type="noConversion"/>
  </si>
  <si>
    <t>ER</t>
    <phoneticPr fontId="0" type="noConversion"/>
  </si>
  <si>
    <t>Sum</t>
    <phoneticPr fontId="0" type="noConversion"/>
  </si>
  <si>
    <t>Business
Tax</t>
    <phoneticPr fontId="0" type="noConversion"/>
  </si>
  <si>
    <t>Management Fee</t>
  </si>
  <si>
    <t>Gross Salary</t>
    <phoneticPr fontId="0" type="noConversion"/>
  </si>
  <si>
    <t>Mandatory Contribution</t>
    <phoneticPr fontId="0" type="noConversion"/>
  </si>
  <si>
    <t>Expense Claim</t>
    <phoneticPr fontId="0" type="noConversion"/>
  </si>
  <si>
    <t>Subtotal</t>
    <phoneticPr fontId="0" type="noConversion"/>
  </si>
  <si>
    <t>Recurring
Fee</t>
    <phoneticPr fontId="0" type="noConversion"/>
  </si>
  <si>
    <t>EOSB Accrual</t>
  </si>
  <si>
    <t>Emiratization fee</t>
    <phoneticPr fontId="3" type="noConversion"/>
  </si>
  <si>
    <t>Expense
Claim</t>
    <phoneticPr fontId="0" type="noConversion"/>
  </si>
  <si>
    <t>AED</t>
  </si>
  <si>
    <t>Other Fee</t>
    <phoneticPr fontId="6" type="noConversion"/>
  </si>
  <si>
    <t>Interests of delay</t>
  </si>
  <si>
    <t>Bank Charges</t>
  </si>
  <si>
    <t xml:space="preserve">Invoice adjustment </t>
  </si>
  <si>
    <t>EE</t>
    <phoneticPr fontId="0" type="noConversion"/>
  </si>
  <si>
    <t>Client Code</t>
  </si>
  <si>
    <t>Client Name</t>
  </si>
  <si>
    <t>EE Code</t>
  </si>
  <si>
    <t>EE Name</t>
  </si>
  <si>
    <t>Pay Period</t>
  </si>
  <si>
    <t>Net
Income</t>
    <phoneticPr fontId="0" type="noConversion"/>
  </si>
  <si>
    <t>Deduction</t>
    <phoneticPr fontId="0" type="noConversion"/>
  </si>
  <si>
    <t>From</t>
  </si>
  <si>
    <t>To</t>
  </si>
  <si>
    <t>Other</t>
    <phoneticPr fontId="3" type="noConversion"/>
  </si>
  <si>
    <t>EOR/PEO(AED)</t>
  </si>
  <si>
    <t>CUS1628</t>
    <phoneticPr fontId="3" type="noConversion"/>
  </si>
  <si>
    <t>CUS1628-0001</t>
  </si>
  <si>
    <t>CUS1628-0002</t>
  </si>
  <si>
    <t>Cityzen</t>
  </si>
  <si>
    <t>Payroll period:</t>
  </si>
  <si>
    <t>to</t>
  </si>
  <si>
    <t xml:space="preserve">Currency: </t>
  </si>
  <si>
    <t>S.No</t>
  </si>
  <si>
    <t>English Name</t>
  </si>
  <si>
    <t>Client</t>
  </si>
  <si>
    <t>No of days</t>
  </si>
  <si>
    <t>Basic Salary</t>
  </si>
  <si>
    <t>Housing Allowance</t>
  </si>
  <si>
    <t>Transport</t>
  </si>
  <si>
    <t>Other allowances</t>
  </si>
  <si>
    <t>Project Allowance</t>
  </si>
  <si>
    <t>Commission /bonus</t>
  </si>
  <si>
    <t>Additional Expenses</t>
  </si>
  <si>
    <t>Deduction</t>
  </si>
  <si>
    <t>Net salary</t>
  </si>
  <si>
    <t>Sevice Fees</t>
  </si>
  <si>
    <t>Emiratization fee</t>
  </si>
  <si>
    <t>Invoice Before VAT</t>
  </si>
  <si>
    <t>Total Invoice Value in AED</t>
  </si>
  <si>
    <t>Kevin Wilmaser</t>
  </si>
  <si>
    <t>Zineb Messaoud</t>
  </si>
  <si>
    <t>Direct Cost</t>
    <phoneticPr fontId="4" type="noConversion"/>
  </si>
  <si>
    <t>Business Tax</t>
    <phoneticPr fontId="4" type="noConversion"/>
  </si>
  <si>
    <t>Service Fee</t>
    <phoneticPr fontId="4" type="noConversion"/>
  </si>
  <si>
    <t xml:space="preserve">Bank Fee * </t>
    <phoneticPr fontId="4" type="noConversion"/>
  </si>
  <si>
    <t>Late Pay Fine</t>
    <phoneticPr fontId="4" type="noConversion"/>
  </si>
  <si>
    <t>Advance Payment</t>
    <phoneticPr fontId="4" type="noConversion"/>
  </si>
  <si>
    <t>Deposit</t>
  </si>
  <si>
    <t>Outstanding payment **</t>
    <phoneticPr fontId="6" type="noConversion"/>
  </si>
  <si>
    <t xml:space="preserve"> FX difference  	</t>
  </si>
  <si>
    <t>Invoice adjustment ***</t>
    <phoneticPr fontId="6" type="noConversion"/>
  </si>
  <si>
    <t>total</t>
    <phoneticPr fontId="4" type="noConversion"/>
  </si>
  <si>
    <t>* NNRoad USD 10 + vendor bank in Vendor's invoice</t>
    <phoneticPr fontId="6" type="noConversion"/>
  </si>
  <si>
    <t>** the differnece between NNRoad PN and the amount we actually received</t>
    <phoneticPr fontId="6" type="noConversion"/>
  </si>
  <si>
    <t>*** PN adjustment with pre-payment or PN revisal</t>
    <phoneticPr fontId="6" type="noConversion"/>
  </si>
  <si>
    <t>2026/3/1</t>
  </si>
  <si>
    <t>2026/3/31</t>
  </si>
  <si>
    <t>PN-CUS1628-030620261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</si>
</sst>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_ "/>
    <numFmt numFmtId="167" formatCode="[$-10409]#,##0.00;\(#,##0.00\)"/>
    <numFmt numFmtId="168" formatCode="_(* #,##0_);_(* \(#,##0\);_(* &quot;-&quot;??_);_(@_)"/>
    <numFmt numFmtId="169" formatCode="[$-409]d\-mmm\-yy"/>
    <numFmt numFmtId="170" formatCode="0.0000"/>
  </numFmts>
  <fonts count="41">
    <font>
      <sz val="11"/>
      <color theme="1"/>
      <name val="Calibri"/>
      <family val="2"/>
      <scheme val="minor"/>
    </font>
    <font>
      <b/>
      <sz val="10"/>
      <color theme="1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sz val="12"/>
      <color rgb="FFFA7D00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4"/>
      <charset val="134"/>
      <scheme val="minor"/>
    </font>
    <font>
      <sz val="10"/>
      <color rgb="FF000000"/>
      <name val="Calibri"/>
      <family val="4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66B3"/>
      <name val="Calibri"/>
      <family val="2"/>
      <scheme val="minor"/>
    </font>
    <font>
      <b/>
      <sz val="12"/>
      <color rgb="FF8DC63F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EFFFE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Dot">
        <color theme="9" tint="-0.24994659260841701"/>
      </right>
      <top/>
      <bottom/>
      <diagonal/>
    </border>
    <border>
      <left style="dashDot">
        <color theme="9" tint="-0.24994659260841701"/>
      </left>
      <right/>
      <top/>
      <bottom/>
      <diagonal/>
    </border>
    <border>
      <left style="medium">
        <color theme="8" tint="0.59996337778862885"/>
      </left>
      <right/>
      <top/>
      <bottom/>
      <diagonal/>
    </border>
    <border>
      <left/>
      <right style="medium">
        <color theme="8" tint="0.59996337778862885"/>
      </right>
      <top/>
      <bottom/>
      <diagonal/>
    </border>
    <border>
      <left/>
      <right/>
      <top style="medium">
        <color theme="8" tint="0.59996337778862885"/>
      </top>
      <bottom/>
      <diagonal/>
    </border>
    <border>
      <left style="medium">
        <color theme="8" tint="0.59996337778862885"/>
      </left>
      <right/>
      <top style="medium">
        <color theme="8" tint="0.59996337778862885"/>
      </top>
      <bottom/>
      <diagonal/>
    </border>
    <border>
      <left/>
      <right style="medium">
        <color theme="8" tint="0.59996337778862885"/>
      </right>
      <top style="medium">
        <color theme="8" tint="0.59996337778862885"/>
      </top>
      <bottom/>
      <diagonal/>
    </border>
    <border>
      <left style="medium">
        <color theme="8" tint="0.59996337778862885"/>
      </left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 style="medium">
        <color theme="8" tint="0.59996337778862885"/>
      </right>
      <top style="hair">
        <color theme="8" tint="0.59996337778862885"/>
      </top>
      <bottom style="medium">
        <color theme="8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9BC2E7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</borders>
  <cellStyleXfs count="3">
    <xf numFmtId="0" fontId="0" fillId="0" borderId="0"/>
    <xf numFmtId="0" fontId="4" fillId="0" borderId="0">
      <alignment vertical="center"/>
    </xf>
    <xf numFmtId="165" fontId="12" fillId="0" borderId="0" applyFont="0" applyFill="0" applyBorder="0" applyAlignment="0" applyProtection="0"/>
  </cellStyleXfs>
  <cellXfs count="18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6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40" fontId="2" fillId="2" borderId="7" xfId="0" applyNumberFormat="1" applyFont="1" applyFill="1" applyBorder="1" applyAlignment="1">
      <alignment vertical="center"/>
    </xf>
    <xf numFmtId="40" fontId="2" fillId="2" borderId="16" xfId="0" applyNumberFormat="1" applyFont="1" applyFill="1" applyBorder="1" applyAlignment="1">
      <alignment vertical="center"/>
    </xf>
    <xf numFmtId="40" fontId="2" fillId="2" borderId="8" xfId="0" applyNumberFormat="1" applyFont="1" applyFill="1" applyBorder="1" applyAlignment="1">
      <alignment vertical="center"/>
    </xf>
    <xf numFmtId="40" fontId="2" fillId="2" borderId="9" xfId="0" applyNumberFormat="1" applyFont="1" applyFill="1" applyBorder="1" applyAlignment="1">
      <alignment vertical="center"/>
    </xf>
    <xf numFmtId="40" fontId="2" fillId="2" borderId="17" xfId="0" applyNumberFormat="1" applyFont="1" applyFill="1" applyBorder="1" applyAlignment="1">
      <alignment vertical="center"/>
    </xf>
    <xf numFmtId="40" fontId="2" fillId="2" borderId="10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40" fontId="2" fillId="2" borderId="11" xfId="0" applyNumberFormat="1" applyFont="1" applyFill="1" applyBorder="1" applyAlignment="1">
      <alignment vertical="center"/>
    </xf>
    <xf numFmtId="40" fontId="2" fillId="2" borderId="18" xfId="0" applyNumberFormat="1" applyFont="1" applyFill="1" applyBorder="1" applyAlignment="1">
      <alignment vertical="center"/>
    </xf>
    <xf numFmtId="40" fontId="2" fillId="2" borderId="12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0" fontId="0" fillId="0" borderId="19" xfId="0" applyBorder="1"/>
    <xf numFmtId="0" fontId="0" fillId="0" borderId="20" xfId="0" applyBorder="1"/>
    <xf numFmtId="2" fontId="0" fillId="0" borderId="0" xfId="0" applyNumberFormat="1"/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4" fontId="0" fillId="0" borderId="0" xfId="0" applyNumberFormat="1" applyAlignment="1">
      <alignment vertical="center"/>
    </xf>
    <xf numFmtId="49" fontId="0" fillId="0" borderId="0" xfId="0" applyNumberFormat="1"/>
    <xf numFmtId="40" fontId="2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49" fontId="0" fillId="2" borderId="0" xfId="0" applyNumberFormat="1" applyFill="1" applyAlignment="1">
      <alignment vertical="center"/>
    </xf>
    <xf numFmtId="0" fontId="0" fillId="0" borderId="21" xfId="0" applyBorder="1"/>
    <xf numFmtId="0" fontId="10" fillId="0" borderId="0" xfId="0" applyFont="1" applyAlignment="1">
      <alignment vertical="center"/>
    </xf>
    <xf numFmtId="40" fontId="11" fillId="0" borderId="27" xfId="0" applyNumberFormat="1" applyFont="1" applyBorder="1" applyAlignment="1">
      <alignment vertical="center"/>
    </xf>
    <xf numFmtId="40" fontId="11" fillId="0" borderId="28" xfId="0" applyNumberFormat="1" applyFont="1" applyBorder="1" applyAlignment="1">
      <alignment vertical="center"/>
    </xf>
    <xf numFmtId="40" fontId="11" fillId="0" borderId="29" xfId="0" applyNumberFormat="1" applyFont="1" applyBorder="1" applyAlignment="1">
      <alignment vertical="center"/>
    </xf>
    <xf numFmtId="40" fontId="11" fillId="0" borderId="30" xfId="0" applyNumberFormat="1" applyFont="1" applyBorder="1" applyAlignment="1">
      <alignment vertical="center"/>
    </xf>
    <xf numFmtId="40" fontId="11" fillId="0" borderId="31" xfId="0" applyNumberFormat="1" applyFont="1" applyBorder="1" applyAlignment="1">
      <alignment vertical="center"/>
    </xf>
    <xf numFmtId="40" fontId="11" fillId="0" borderId="32" xfId="0" applyNumberFormat="1" applyFont="1" applyBorder="1" applyAlignment="1">
      <alignment vertical="center"/>
    </xf>
    <xf numFmtId="3" fontId="0" fillId="0" borderId="20" xfId="0" applyNumberFormat="1" applyBorder="1"/>
    <xf numFmtId="0" fontId="0" fillId="0" borderId="33" xfId="0" applyBorder="1"/>
    <xf numFmtId="167" fontId="9" fillId="0" borderId="34" xfId="0" applyNumberFormat="1" applyFont="1" applyBorder="1" applyAlignment="1">
      <alignment vertical="center" wrapText="1" readingOrder="1"/>
    </xf>
    <xf numFmtId="0" fontId="14" fillId="3" borderId="35" xfId="0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vertical="center" wrapText="1"/>
    </xf>
    <xf numFmtId="0" fontId="14" fillId="4" borderId="35" xfId="0" applyFont="1" applyFill="1" applyBorder="1" applyAlignment="1">
      <alignment horizontal="center" vertical="center" wrapText="1"/>
    </xf>
    <xf numFmtId="168" fontId="14" fillId="3" borderId="35" xfId="0" applyNumberFormat="1" applyFont="1" applyFill="1" applyBorder="1" applyAlignment="1">
      <alignment horizontal="center" vertical="center" wrapText="1"/>
    </xf>
    <xf numFmtId="0" fontId="15" fillId="0" borderId="35" xfId="0" applyFont="1" applyBorder="1" applyAlignment="1">
      <alignment horizontal="center"/>
    </xf>
    <xf numFmtId="0" fontId="15" fillId="5" borderId="36" xfId="0" applyFont="1" applyFill="1" applyBorder="1"/>
    <xf numFmtId="169" fontId="15" fillId="0" borderId="35" xfId="0" applyNumberFormat="1" applyFont="1" applyBorder="1" applyAlignment="1">
      <alignment horizontal="center" vertical="center" wrapText="1"/>
    </xf>
    <xf numFmtId="169" fontId="16" fillId="0" borderId="35" xfId="0" applyNumberFormat="1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168" fontId="15" fillId="0" borderId="35" xfId="2" applyNumberFormat="1" applyFont="1" applyBorder="1" applyAlignment="1">
      <alignment horizontal="center" vertical="center" wrapText="1"/>
    </xf>
    <xf numFmtId="168" fontId="13" fillId="0" borderId="35" xfId="2" applyNumberFormat="1" applyFont="1" applyBorder="1"/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166" fontId="18" fillId="0" borderId="0" xfId="0" applyNumberFormat="1" applyFont="1" applyAlignment="1">
      <alignment horizontal="right" vertical="center"/>
    </xf>
    <xf numFmtId="0" fontId="18" fillId="0" borderId="0" xfId="0" applyFont="1" applyAlignment="1">
      <alignment vertical="center"/>
    </xf>
    <xf numFmtId="166" fontId="20" fillId="0" borderId="0" xfId="0" applyNumberFormat="1" applyFont="1" applyAlignment="1">
      <alignment horizontal="right" vertical="center"/>
    </xf>
    <xf numFmtId="0" fontId="26" fillId="0" borderId="0" xfId="0" applyFont="1" applyAlignment="1">
      <alignment vertical="center"/>
    </xf>
    <xf numFmtId="14" fontId="26" fillId="0" borderId="0" xfId="0" applyNumberFormat="1" applyFont="1" applyAlignment="1">
      <alignment horizontal="left" vertical="center"/>
    </xf>
    <xf numFmtId="0" fontId="28" fillId="0" borderId="0" xfId="0" applyFont="1" applyAlignment="1">
      <alignment horizontal="right" vertical="center"/>
    </xf>
    <xf numFmtId="0" fontId="28" fillId="0" borderId="0" xfId="0" applyFont="1" applyAlignment="1">
      <alignment vertical="center"/>
    </xf>
    <xf numFmtId="0" fontId="25" fillId="0" borderId="0" xfId="0" applyFont="1" applyAlignment="1">
      <alignment horizontal="left" vertical="center" indent="1"/>
    </xf>
    <xf numFmtId="40" fontId="30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165" fontId="30" fillId="0" borderId="0" xfId="0" applyNumberFormat="1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horizontal="right" vertical="center"/>
    </xf>
    <xf numFmtId="14" fontId="34" fillId="0" borderId="0" xfId="0" applyNumberFormat="1" applyFont="1" applyAlignment="1">
      <alignment vertical="center"/>
    </xf>
    <xf numFmtId="0" fontId="35" fillId="0" borderId="0" xfId="0" applyFont="1" applyAlignment="1">
      <alignment horizontal="right" vertical="center"/>
    </xf>
    <xf numFmtId="166" fontId="37" fillId="0" borderId="0" xfId="0" applyNumberFormat="1" applyFont="1" applyAlignment="1">
      <alignment horizontal="right" vertical="center"/>
    </xf>
    <xf numFmtId="0" fontId="37" fillId="0" borderId="0" xfId="0" applyFont="1" applyAlignment="1">
      <alignment vertical="center"/>
    </xf>
    <xf numFmtId="166" fontId="31" fillId="0" borderId="0" xfId="0" applyNumberFormat="1" applyFont="1" applyAlignment="1">
      <alignment horizontal="right" vertical="center"/>
    </xf>
    <xf numFmtId="0" fontId="25" fillId="0" borderId="0" xfId="0" applyFont="1" applyAlignment="1">
      <alignment vertical="center"/>
    </xf>
    <xf numFmtId="0" fontId="30" fillId="0" borderId="0" xfId="0" applyFont="1" applyAlignment="1">
      <alignment horizontal="right" vertic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vertical="top" wrapText="1"/>
    </xf>
    <xf numFmtId="164" fontId="20" fillId="0" borderId="0" xfId="0" applyNumberFormat="1" applyFont="1" applyAlignment="1">
      <alignment vertical="center"/>
    </xf>
    <xf numFmtId="164" fontId="30" fillId="0" borderId="0" xfId="0" applyNumberFormat="1" applyFont="1" applyAlignment="1">
      <alignment horizontal="right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29" fillId="8" borderId="41" xfId="0" applyFont="1" applyFill="1" applyBorder="1" applyAlignment="1">
      <alignment horizontal="center" vertical="center"/>
    </xf>
    <xf numFmtId="0" fontId="29" fillId="8" borderId="43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vertical="center" wrapText="1"/>
    </xf>
    <xf numFmtId="168" fontId="14" fillId="4" borderId="35" xfId="0" applyNumberFormat="1" applyFont="1" applyFill="1" applyBorder="1" applyAlignment="1">
      <alignment horizontal="center" vertical="center" wrapText="1"/>
    </xf>
    <xf numFmtId="168" fontId="13" fillId="0" borderId="0" xfId="2" applyNumberFormat="1" applyFont="1"/>
    <xf numFmtId="0" fontId="13" fillId="0" borderId="0" xfId="0" applyFont="1"/>
    <xf numFmtId="0" fontId="2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 wrapText="1"/>
    </xf>
    <xf numFmtId="0" fontId="1" fillId="0" borderId="47" xfId="0" applyFont="1" applyBorder="1" applyAlignment="1">
      <alignment vertical="center"/>
    </xf>
    <xf numFmtId="0" fontId="38" fillId="0" borderId="0" xfId="0" applyFont="1" applyAlignment="1">
      <alignment horizontal="left" vertical="center" indent="1"/>
    </xf>
    <xf numFmtId="0" fontId="23" fillId="0" borderId="0" xfId="0" applyFont="1" applyAlignment="1">
      <alignment horizontal="left" vertical="center" indent="3"/>
    </xf>
    <xf numFmtId="0" fontId="23" fillId="0" borderId="0" xfId="0" applyFont="1" applyAlignment="1">
      <alignment horizontal="left" vertical="center" inden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indent="2"/>
    </xf>
    <xf numFmtId="165" fontId="23" fillId="0" borderId="0" xfId="0" applyNumberFormat="1" applyFont="1" applyAlignment="1">
      <alignment horizontal="left" vertical="center" indent="1"/>
    </xf>
    <xf numFmtId="165" fontId="38" fillId="0" borderId="0" xfId="0" applyNumberFormat="1" applyFont="1" applyAlignment="1">
      <alignment horizontal="left" vertical="center"/>
    </xf>
    <xf numFmtId="164" fontId="39" fillId="0" borderId="40" xfId="0" applyNumberFormat="1" applyFont="1" applyBorder="1" applyAlignment="1">
      <alignment horizontal="left" vertical="center"/>
    </xf>
    <xf numFmtId="164" fontId="23" fillId="0" borderId="40" xfId="0" applyNumberFormat="1" applyFont="1" applyBorder="1" applyAlignment="1">
      <alignment horizontal="left" vertical="center"/>
    </xf>
    <xf numFmtId="165" fontId="23" fillId="0" borderId="0" xfId="0" applyNumberFormat="1" applyFont="1" applyAlignment="1">
      <alignment horizontal="left" vertical="center"/>
    </xf>
    <xf numFmtId="164" fontId="38" fillId="0" borderId="40" xfId="0" applyNumberFormat="1" applyFont="1" applyBorder="1" applyAlignment="1">
      <alignment horizontal="left" vertical="center"/>
    </xf>
    <xf numFmtId="165" fontId="20" fillId="0" borderId="0" xfId="0" applyNumberFormat="1" applyFont="1" applyAlignment="1">
      <alignment horizontal="left" vertical="center"/>
    </xf>
    <xf numFmtId="164" fontId="20" fillId="0" borderId="40" xfId="0" applyNumberFormat="1" applyFont="1" applyBorder="1" applyAlignment="1">
      <alignment horizontal="left" vertical="center"/>
    </xf>
    <xf numFmtId="165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70" fontId="32" fillId="0" borderId="0" xfId="0" applyNumberFormat="1" applyFont="1" applyAlignment="1">
      <alignment horizontal="left" vertical="center" indent="1"/>
    </xf>
    <xf numFmtId="164" fontId="40" fillId="0" borderId="51" xfId="0" applyNumberFormat="1" applyFont="1" applyBorder="1" applyAlignment="1">
      <alignment horizontal="right" vertical="center"/>
    </xf>
    <xf numFmtId="164" fontId="40" fillId="0" borderId="53" xfId="0" applyNumberFormat="1" applyFont="1" applyBorder="1" applyAlignment="1">
      <alignment horizontal="right" vertical="center"/>
    </xf>
    <xf numFmtId="164" fontId="40" fillId="0" borderId="55" xfId="0" applyNumberFormat="1" applyFont="1" applyBorder="1" applyAlignment="1">
      <alignment horizontal="right" vertical="center"/>
    </xf>
    <xf numFmtId="164" fontId="25" fillId="0" borderId="53" xfId="0" applyNumberFormat="1" applyFont="1" applyBorder="1" applyAlignment="1">
      <alignment horizontal="right" vertical="center"/>
    </xf>
    <xf numFmtId="164" fontId="25" fillId="0" borderId="58" xfId="0" applyNumberFormat="1" applyFont="1" applyBorder="1" applyAlignment="1">
      <alignment horizontal="right" vertical="center"/>
    </xf>
    <xf numFmtId="0" fontId="0" fillId="9" borderId="0" xfId="0" applyFill="1" applyAlignment="1">
      <alignment vertical="center" wrapText="1"/>
    </xf>
    <xf numFmtId="164" fontId="0" fillId="0" borderId="0" xfId="0" applyNumberFormat="1" applyAlignment="1">
      <alignment vertical="center"/>
    </xf>
    <xf numFmtId="166" fontId="20" fillId="6" borderId="0" xfId="0" applyNumberFormat="1" applyFont="1" applyFill="1" applyAlignment="1">
      <alignment horizontal="left" vertical="center" wrapText="1" indent="2"/>
    </xf>
    <xf numFmtId="166" fontId="20" fillId="6" borderId="37" xfId="0" applyNumberFormat="1" applyFont="1" applyFill="1" applyBorder="1" applyAlignment="1">
      <alignment horizontal="left" vertical="center" wrapText="1" indent="2"/>
    </xf>
    <xf numFmtId="166" fontId="20" fillId="6" borderId="38" xfId="0" applyNumberFormat="1" applyFont="1" applyFill="1" applyBorder="1" applyAlignment="1">
      <alignment horizontal="left" vertical="center" wrapText="1" indent="2"/>
    </xf>
    <xf numFmtId="165" fontId="40" fillId="0" borderId="49" xfId="0" applyNumberFormat="1" applyFont="1" applyBorder="1" applyAlignment="1">
      <alignment horizontal="right" vertical="center"/>
    </xf>
    <xf numFmtId="165" fontId="40" fillId="0" borderId="50" xfId="0" applyNumberFormat="1" applyFont="1" applyBorder="1" applyAlignment="1">
      <alignment horizontal="right" vertical="center"/>
    </xf>
    <xf numFmtId="165" fontId="40" fillId="0" borderId="52" xfId="0" applyNumberFormat="1" applyFont="1" applyBorder="1" applyAlignment="1">
      <alignment horizontal="right" vertical="center"/>
    </xf>
    <xf numFmtId="165" fontId="40" fillId="0" borderId="0" xfId="0" applyNumberFormat="1" applyFont="1" applyAlignment="1">
      <alignment horizontal="right" vertical="center"/>
    </xf>
    <xf numFmtId="40" fontId="40" fillId="0" borderId="54" xfId="0" applyNumberFormat="1" applyFont="1" applyBorder="1" applyAlignment="1">
      <alignment horizontal="right" vertical="center"/>
    </xf>
    <xf numFmtId="40" fontId="40" fillId="0" borderId="48" xfId="0" applyNumberFormat="1" applyFont="1" applyBorder="1" applyAlignment="1">
      <alignment horizontal="right" vertical="center"/>
    </xf>
    <xf numFmtId="165" fontId="25" fillId="0" borderId="52" xfId="0" applyNumberFormat="1" applyFont="1" applyBorder="1" applyAlignment="1">
      <alignment horizontal="right" vertical="center"/>
    </xf>
    <xf numFmtId="165" fontId="25" fillId="0" borderId="0" xfId="0" applyNumberFormat="1" applyFont="1" applyAlignment="1">
      <alignment horizontal="right" vertical="center"/>
    </xf>
    <xf numFmtId="165" fontId="25" fillId="0" borderId="52" xfId="0" applyNumberFormat="1" applyFont="1" applyBorder="1" applyAlignment="1">
      <alignment horizontal="right" vertical="center" indent="1"/>
    </xf>
    <xf numFmtId="165" fontId="25" fillId="0" borderId="0" xfId="0" applyNumberFormat="1" applyFont="1" applyAlignment="1">
      <alignment horizontal="right" vertical="center" indent="1"/>
    </xf>
    <xf numFmtId="165" fontId="25" fillId="0" borderId="56" xfId="0" applyNumberFormat="1" applyFont="1" applyBorder="1" applyAlignment="1">
      <alignment horizontal="right" vertical="center"/>
    </xf>
    <xf numFmtId="165" fontId="25" fillId="0" borderId="57" xfId="0" applyNumberFormat="1" applyFont="1" applyBorder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23" fillId="0" borderId="39" xfId="0" applyFont="1" applyBorder="1" applyAlignment="1">
      <alignment horizontal="left" vertical="center" indent="3"/>
    </xf>
    <xf numFmtId="0" fontId="23" fillId="0" borderId="0" xfId="0" applyFont="1" applyAlignment="1">
      <alignment horizontal="left" vertical="center" indent="3"/>
    </xf>
    <xf numFmtId="0" fontId="29" fillId="8" borderId="42" xfId="0" applyFont="1" applyFill="1" applyBorder="1" applyAlignment="1">
      <alignment horizontal="center" vertical="center"/>
    </xf>
    <xf numFmtId="0" fontId="29" fillId="8" borderId="41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8" fillId="0" borderId="39" xfId="0" applyFont="1" applyBorder="1" applyAlignment="1">
      <alignment horizontal="left" vertical="center" indent="1"/>
    </xf>
    <xf numFmtId="0" fontId="38" fillId="0" borderId="0" xfId="0" applyFont="1" applyAlignment="1">
      <alignment horizontal="left" vertical="center" indent="1"/>
    </xf>
    <xf numFmtId="0" fontId="25" fillId="0" borderId="39" xfId="0" applyFont="1" applyBorder="1" applyAlignment="1">
      <alignment horizontal="left" vertical="center" indent="1"/>
    </xf>
    <xf numFmtId="0" fontId="25" fillId="0" borderId="0" xfId="0" applyFont="1" applyAlignment="1">
      <alignment horizontal="left" vertical="center" indent="1"/>
    </xf>
    <xf numFmtId="0" fontId="23" fillId="0" borderId="39" xfId="0" applyFont="1" applyBorder="1" applyAlignment="1">
      <alignment horizontal="left" vertical="center" indent="2"/>
    </xf>
    <xf numFmtId="0" fontId="23" fillId="0" borderId="0" xfId="0" applyFont="1" applyAlignment="1">
      <alignment horizontal="left" vertical="center" indent="2"/>
    </xf>
    <xf numFmtId="0" fontId="25" fillId="7" borderId="0" xfId="0" applyFont="1" applyFill="1" applyAlignment="1">
      <alignment horizontal="center"/>
    </xf>
    <xf numFmtId="0" fontId="34" fillId="0" borderId="0" xfId="0" applyFont="1" applyAlignment="1">
      <alignment horizontal="right" vertical="top" wrapText="1"/>
    </xf>
    <xf numFmtId="0" fontId="23" fillId="0" borderId="3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0" fillId="0" borderId="44" xfId="0" applyFont="1" applyBorder="1" applyAlignment="1">
      <alignment horizontal="left" vertical="center" indent="1"/>
    </xf>
    <xf numFmtId="0" fontId="30" fillId="0" borderId="45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shrinkToFit="1"/>
    </xf>
    <xf numFmtId="0" fontId="2" fillId="0" borderId="23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" fontId="28" fillId="0" borderId="0" xfId="0" applyNumberFormat="1" applyFont="1" applyAlignment="1">
      <alignment vertical="center"/>
    </xf>
  </cellXfs>
  <cellStyles count="3">
    <cellStyle name="Comma" xfId="2" builtinId="3"/>
    <cellStyle name="Normal" xfId="0" builtinId="0"/>
    <cellStyle name="常规 2" xfId="1" xr:uid="{43AA1550-6345-4C45-AE3A-35D24DE6446E}"/>
  </cellStyles>
  <dxfs count="0"/>
  <tableStyles count="0" defaultTableStyle="TableStyleMedium2" defaultPivotStyle="PivotStyleLight16"/>
  <colors>
    <mruColors>
      <color rgb="FFBED8EE"/>
      <color rgb="FF9BC2E7"/>
      <color rgb="FFE2F0FF"/>
      <color rgb="FFEFF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1129695</xdr:colOff>
      <xdr:row>2</xdr:row>
      <xdr:rowOff>109286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EFD7F45-4822-4B5B-8168-B6799C295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67857" cy="5356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62DF-866C-4494-8029-AC590EA3BE10}">
  <dimension ref="A1:K45"/>
  <sheetViews>
    <sheetView tabSelected="1" topLeftCell="A32" zoomScale="150" zoomScaleNormal="150" workbookViewId="0">
      <selection activeCell="H24" sqref="H24"/>
    </sheetView>
  </sheetViews>
  <sheetFormatPr defaultColWidth="9.1796875" defaultRowHeight="10.5"/>
  <cols>
    <col min="1" max="1" width="14.81640625" style="68" customWidth="1"/>
    <col min="2" max="2" width="23.453125" style="68" customWidth="1"/>
    <col min="3" max="3" width="5.453125" style="68" customWidth="1"/>
    <col min="4" max="4" width="15.1796875" style="68" customWidth="1"/>
    <col min="5" max="5" width="11.81640625" style="68" customWidth="1"/>
    <col min="6" max="6" width="14.453125" style="70" customWidth="1"/>
    <col min="7" max="7" width="9.1796875" style="70"/>
    <col min="8" max="8" width="9.1796875" style="68"/>
    <col min="9" max="9" width="9.1796875" style="68" customWidth="1"/>
    <col min="10" max="16384" width="9.1796875" style="68"/>
  </cols>
  <sheetData>
    <row r="1" spans="1:11" ht="19" customHeight="1">
      <c r="B1" s="149" t="s">
        <v>0</v>
      </c>
      <c r="C1" s="149"/>
      <c r="D1" s="149"/>
      <c r="E1" s="149"/>
      <c r="F1" s="149"/>
      <c r="G1" s="69"/>
      <c r="H1" s="70"/>
    </row>
    <row r="2" spans="1:11" ht="14.25" customHeight="1">
      <c r="B2" s="150" t="s">
        <v>1</v>
      </c>
      <c r="C2" s="150"/>
      <c r="D2" s="150"/>
      <c r="E2" s="150"/>
      <c r="F2" s="150"/>
      <c r="G2" s="69"/>
      <c r="H2" s="70"/>
    </row>
    <row r="3" spans="1:11" s="71" customFormat="1" ht="18" customHeight="1">
      <c r="B3" s="150" t="s">
        <v>2</v>
      </c>
      <c r="C3" s="150"/>
      <c r="D3" s="150"/>
      <c r="E3" s="150"/>
      <c r="F3" s="150"/>
      <c r="G3" s="69"/>
      <c r="H3" s="69"/>
    </row>
    <row r="4" spans="1:11" s="71" customFormat="1" ht="14.15" customHeight="1">
      <c r="G4" s="69"/>
      <c r="H4" s="69"/>
    </row>
    <row r="5" spans="1:11" s="71" customFormat="1" ht="32.15" customHeight="1">
      <c r="A5" s="155" t="s">
        <v>3</v>
      </c>
      <c r="B5" s="155"/>
      <c r="C5" s="155"/>
      <c r="D5" s="155"/>
      <c r="E5" s="155"/>
      <c r="F5" s="155"/>
      <c r="G5" s="69"/>
      <c r="H5" s="69"/>
    </row>
    <row r="6" spans="1:11" s="71" customFormat="1" ht="12" customHeight="1">
      <c r="A6" s="66"/>
      <c r="B6" s="66"/>
      <c r="C6" s="66"/>
      <c r="D6" s="66"/>
      <c r="E6" s="66"/>
      <c r="F6" s="66"/>
      <c r="G6" s="69"/>
      <c r="H6" s="69"/>
    </row>
    <row r="7" spans="1:11" s="71" customFormat="1" ht="13" customHeight="1">
      <c r="A7" s="67" t="s">
        <v>4</v>
      </c>
      <c r="B7" s="67"/>
      <c r="C7" s="67"/>
      <c r="D7" s="67"/>
      <c r="E7" s="67"/>
      <c r="G7" s="69"/>
      <c r="H7" s="69"/>
    </row>
    <row r="8" spans="1:11" s="72" customFormat="1" ht="13" customHeight="1">
      <c r="A8" s="85" t="s">
        <v>5</v>
      </c>
      <c r="B8" s="86" t="s">
        <v>6</v>
      </c>
      <c r="C8" s="94"/>
      <c r="D8" s="85" t="s">
        <v>7</v>
      </c>
      <c r="E8" s="85"/>
      <c r="F8" s="86" t="s">
        <v>8</v>
      </c>
      <c r="G8" s="73"/>
    </row>
    <row r="9" spans="1:11" s="72" customFormat="1" ht="13" customHeight="1">
      <c r="A9" s="85" t="s">
        <v>9</v>
      </c>
      <c r="B9" s="86" t="s">
        <v>10</v>
      </c>
      <c r="C9" s="95"/>
      <c r="D9" s="85" t="s">
        <v>11</v>
      </c>
      <c r="E9" s="85"/>
      <c r="F9" s="86" t="s">
        <v>108</v>
      </c>
      <c r="G9" s="73"/>
    </row>
    <row r="10" spans="1:11" s="71" customFormat="1" ht="13" customHeight="1">
      <c r="A10" s="85" t="s">
        <v>12</v>
      </c>
      <c r="B10" s="163" t="s">
        <v>13</v>
      </c>
      <c r="C10" s="95"/>
      <c r="D10" s="85" t="s">
        <v>14</v>
      </c>
      <c r="E10" s="85"/>
      <c r="F10" s="87">
        <f ca="1">TODAY()</f>
        <v>46087</v>
      </c>
      <c r="G10" s="69"/>
    </row>
    <row r="11" spans="1:11" s="72" customFormat="1" ht="12" customHeight="1">
      <c r="A11" s="88"/>
      <c r="B11" s="163"/>
      <c r="D11" s="85" t="s">
        <v>15</v>
      </c>
      <c r="E11" s="85"/>
      <c r="F11" s="87">
        <v>46094</v>
      </c>
      <c r="G11" s="73"/>
    </row>
    <row r="12" spans="1:11" s="71" customFormat="1" ht="12" customHeight="1">
      <c r="A12" s="77"/>
      <c r="B12" s="77"/>
      <c r="C12" s="77"/>
      <c r="D12" s="77"/>
      <c r="E12" s="78"/>
      <c r="G12" s="69"/>
    </row>
    <row r="13" spans="1:11" ht="11" thickBot="1"/>
    <row r="14" spans="1:11" s="80" customFormat="1" ht="28" customHeight="1">
      <c r="A14" s="153" t="s">
        <v>16</v>
      </c>
      <c r="B14" s="154"/>
      <c r="C14" s="154"/>
      <c r="D14" s="100"/>
      <c r="E14" s="100" t="str">
        <f>"Amount "&amp;UAE!C6</f>
        <v>Amount AED</v>
      </c>
      <c r="F14" s="101" t="s">
        <v>17</v>
      </c>
      <c r="G14" s="79"/>
      <c r="H14" s="187"/>
      <c r="I14" s="187"/>
      <c r="J14" s="187"/>
      <c r="K14" s="187"/>
    </row>
    <row r="15" spans="1:11" s="83" customFormat="1" ht="16" customHeight="1">
      <c r="A15" s="156" t="s">
        <v>18</v>
      </c>
      <c r="B15" s="157"/>
      <c r="C15" s="157"/>
      <c r="D15" s="111"/>
      <c r="E15" s="117">
        <f>SUM(E16:E19)</f>
        <v>72564.570000000007</v>
      </c>
      <c r="F15" s="118">
        <f>SUM(F16:F19)</f>
        <v>20370.002736976556</v>
      </c>
      <c r="G15" s="91"/>
    </row>
    <row r="16" spans="1:11" s="75" customFormat="1" ht="13">
      <c r="A16" s="151" t="str">
        <f>"- Labor cost for "&amp;UAE!B9&amp;"  -  "&amp;MONTH(UAE!$B$2) &amp;"-"&amp; YEAR(UAE!$B$2)</f>
        <v>- Labor cost for Kevin Wilmaser  -  3-2026</v>
      </c>
      <c r="B16" s="152"/>
      <c r="C16" s="152"/>
      <c r="D16" s="112"/>
      <c r="E16" s="116">
        <f>UAE!I9+UAE!P9</f>
        <v>52930.79</v>
      </c>
      <c r="F16" s="119">
        <f>E16/$B$29</f>
        <v>14858.495505042354</v>
      </c>
      <c r="G16" s="74"/>
    </row>
    <row r="17" spans="1:7" s="75" customFormat="1" ht="13">
      <c r="A17" s="151" t="str">
        <f>"- Labor cost for "&amp;UAE!B10&amp;"  -  "&amp;MONTH(UAE!$B$2) &amp;"-"&amp; YEAR(UAE!$B$2)</f>
        <v>- Labor cost for Zineb Messaoud  -  3-2026</v>
      </c>
      <c r="B17" s="152"/>
      <c r="C17" s="152"/>
      <c r="D17" s="112"/>
      <c r="E17" s="116">
        <f>UAE!I10+UAE!P10</f>
        <v>10626.78</v>
      </c>
      <c r="F17" s="119">
        <f>E17/$B$29</f>
        <v>2983.1023278336484</v>
      </c>
      <c r="G17" s="74"/>
    </row>
    <row r="18" spans="1:7" ht="13">
      <c r="A18" s="151" t="str">
        <f>"- "&amp;+"Expense claim for "&amp;UAE!B9</f>
        <v>- Expense claim for Kevin Wilmaser</v>
      </c>
      <c r="B18" s="152"/>
      <c r="C18" s="152"/>
      <c r="D18" s="112"/>
      <c r="E18" s="116">
        <f>UAE!S9</f>
        <v>9007</v>
      </c>
      <c r="F18" s="119">
        <f>E18/$B$29</f>
        <v>2528.4049041005524</v>
      </c>
      <c r="G18" s="76"/>
    </row>
    <row r="19" spans="1:7" ht="13">
      <c r="A19" s="151" t="str">
        <f>"- "&amp;+"Expense claim for "&amp;UAE!B10</f>
        <v>- Expense claim for Zineb Messaoud</v>
      </c>
      <c r="B19" s="152"/>
      <c r="C19" s="152"/>
      <c r="D19" s="113"/>
      <c r="E19" s="116">
        <f>UAE!S10</f>
        <v>0</v>
      </c>
      <c r="F19" s="119">
        <f>E19/$B$29</f>
        <v>0</v>
      </c>
      <c r="G19" s="76"/>
    </row>
    <row r="20" spans="1:7" ht="13">
      <c r="A20" s="164"/>
      <c r="B20" s="165"/>
      <c r="C20" s="165"/>
      <c r="D20" s="114"/>
      <c r="E20" s="120"/>
      <c r="F20" s="119"/>
      <c r="G20" s="76"/>
    </row>
    <row r="21" spans="1:7" s="90" customFormat="1" ht="16" customHeight="1">
      <c r="A21" s="156" t="s">
        <v>19</v>
      </c>
      <c r="B21" s="157"/>
      <c r="C21" s="157"/>
      <c r="D21" s="111"/>
      <c r="E21" s="117">
        <f>SUM(E22:E23)</f>
        <v>8003.4679500000002</v>
      </c>
      <c r="F21" s="121">
        <f>SUM(F22:F23)</f>
        <v>2246.6978588421889</v>
      </c>
      <c r="G21" s="89"/>
    </row>
    <row r="22" spans="1:7" ht="13">
      <c r="A22" s="160" t="str">
        <f>"- "&amp;+"Management Fee - "&amp;MONTH(UAE!B2) &amp;"-"&amp; YEAR(UAE!B2)</f>
        <v>- Management Fee - 3-2026</v>
      </c>
      <c r="B22" s="161"/>
      <c r="C22" s="161"/>
      <c r="D22" s="115"/>
      <c r="E22" s="120">
        <f>UAE!H6</f>
        <v>8003.4679500000002</v>
      </c>
      <c r="F22" s="119">
        <f>E22/$B$29</f>
        <v>2246.6978588421889</v>
      </c>
      <c r="G22" s="76"/>
    </row>
    <row r="23" spans="1:7" ht="13">
      <c r="A23" s="160"/>
      <c r="B23" s="161"/>
      <c r="C23" s="161"/>
      <c r="D23" s="115"/>
      <c r="E23" s="120"/>
      <c r="F23" s="119"/>
      <c r="G23" s="76"/>
    </row>
    <row r="24" spans="1:7" ht="13">
      <c r="A24" s="160"/>
      <c r="B24" s="161"/>
      <c r="C24" s="161"/>
      <c r="D24" s="115"/>
      <c r="E24" s="120"/>
      <c r="F24" s="119"/>
      <c r="G24" s="76"/>
    </row>
    <row r="25" spans="1:7" ht="14.5">
      <c r="A25" s="158"/>
      <c r="B25" s="159"/>
      <c r="C25" s="159"/>
      <c r="D25" s="81"/>
      <c r="E25" s="122"/>
      <c r="F25" s="123"/>
      <c r="G25" s="76"/>
    </row>
    <row r="26" spans="1:7" s="83" customFormat="1" ht="15" thickBot="1">
      <c r="A26" s="166" t="s">
        <v>20</v>
      </c>
      <c r="B26" s="167"/>
      <c r="C26" s="167"/>
      <c r="D26" s="167"/>
      <c r="E26" s="124">
        <f>E15+E21</f>
        <v>80568.037950000013</v>
      </c>
      <c r="F26" s="125">
        <f>F15+F21</f>
        <v>22616.700595818744</v>
      </c>
      <c r="G26" s="91"/>
    </row>
    <row r="27" spans="1:7" s="83" customFormat="1" ht="14.5">
      <c r="A27" s="98"/>
      <c r="B27" s="98"/>
      <c r="C27" s="99"/>
      <c r="D27" s="99"/>
      <c r="E27" s="84"/>
      <c r="F27" s="97"/>
      <c r="G27" s="91"/>
    </row>
    <row r="28" spans="1:7" s="83" customFormat="1" ht="15" thickBot="1">
      <c r="A28" s="93"/>
      <c r="B28" s="93"/>
      <c r="C28" s="93"/>
      <c r="D28" s="93"/>
      <c r="E28" s="84"/>
      <c r="F28" s="97"/>
      <c r="G28" s="91"/>
    </row>
    <row r="29" spans="1:7" ht="26">
      <c r="A29" s="103" t="str">
        <f>"*FX rate  USD:  "&amp;UAE!C6</f>
        <v>*FX rate  USD:  AED</v>
      </c>
      <c r="B29" s="126">
        <f>3.6725*0.97</f>
        <v>3.562325</v>
      </c>
      <c r="C29" s="84"/>
      <c r="D29" s="137" t="s">
        <v>21</v>
      </c>
      <c r="E29" s="138"/>
      <c r="F29" s="127">
        <f>F26</f>
        <v>22616.700595818744</v>
      </c>
      <c r="G29" s="76"/>
    </row>
    <row r="30" spans="1:7" s="75" customFormat="1" ht="16" customHeight="1">
      <c r="A30" s="102"/>
      <c r="B30" s="102"/>
      <c r="C30" s="84"/>
      <c r="D30" s="139" t="s">
        <v>22</v>
      </c>
      <c r="E30" s="140"/>
      <c r="F30" s="128">
        <f>UAE!E22</f>
        <v>40.36</v>
      </c>
      <c r="G30" s="74"/>
    </row>
    <row r="31" spans="1:7" s="75" customFormat="1" ht="14.5">
      <c r="A31" s="102"/>
      <c r="B31" s="102"/>
      <c r="C31" s="84"/>
      <c r="D31" s="139" t="s">
        <v>23</v>
      </c>
      <c r="E31" s="140"/>
      <c r="F31" s="128">
        <f>UAE!E23</f>
        <v>0</v>
      </c>
      <c r="G31" s="74"/>
    </row>
    <row r="32" spans="1:7" ht="14.5">
      <c r="A32" s="102"/>
      <c r="B32" s="102"/>
      <c r="C32" s="84"/>
      <c r="D32" s="139" t="s">
        <v>24</v>
      </c>
      <c r="E32" s="140"/>
      <c r="F32" s="128">
        <f>UAE!E24</f>
        <v>0</v>
      </c>
      <c r="G32" s="76"/>
    </row>
    <row r="33" spans="1:8" ht="15" thickBot="1">
      <c r="A33" s="102"/>
      <c r="B33" s="102"/>
      <c r="C33" s="82"/>
      <c r="D33" s="141" t="s">
        <v>25</v>
      </c>
      <c r="E33" s="142"/>
      <c r="F33" s="129">
        <f>UAE!E25</f>
        <v>24.032970040633575</v>
      </c>
      <c r="G33" s="76"/>
    </row>
    <row r="34" spans="1:8" ht="14.5">
      <c r="A34" s="102"/>
      <c r="B34" s="102"/>
      <c r="C34" s="84"/>
      <c r="D34" s="143" t="s">
        <v>26</v>
      </c>
      <c r="E34" s="144"/>
      <c r="F34" s="130">
        <f>SUM(F29:F33)</f>
        <v>22681.093565859377</v>
      </c>
      <c r="G34" s="76"/>
    </row>
    <row r="35" spans="1:8" ht="14.5">
      <c r="A35" s="102"/>
      <c r="B35" s="102"/>
      <c r="C35" s="84"/>
      <c r="D35" s="145" t="s">
        <v>27</v>
      </c>
      <c r="E35" s="146"/>
      <c r="F35" s="130">
        <f>UAE!F6/B29</f>
        <v>0</v>
      </c>
      <c r="G35" s="76"/>
    </row>
    <row r="36" spans="1:8" ht="15" thickBot="1">
      <c r="A36" s="92"/>
      <c r="B36" s="92"/>
      <c r="C36" s="84"/>
      <c r="D36" s="147" t="s">
        <v>28</v>
      </c>
      <c r="E36" s="148"/>
      <c r="F36" s="131">
        <f>SUM(F34:F35)</f>
        <v>22681.093565859377</v>
      </c>
      <c r="G36" s="76"/>
      <c r="H36" s="96"/>
    </row>
    <row r="37" spans="1:8" ht="14.5">
      <c r="A37" s="81"/>
      <c r="B37" s="81"/>
      <c r="C37" s="81"/>
      <c r="D37" s="81"/>
      <c r="E37" s="82"/>
      <c r="F37" s="82"/>
      <c r="G37" s="76"/>
    </row>
    <row r="38" spans="1:8" ht="14.5">
      <c r="A38" s="81"/>
      <c r="B38" s="81"/>
      <c r="C38" s="81"/>
      <c r="D38" s="81"/>
      <c r="E38" s="82"/>
      <c r="F38" s="82"/>
      <c r="G38" s="76"/>
    </row>
    <row r="39" spans="1:8">
      <c r="G39" s="76"/>
    </row>
    <row r="40" spans="1:8" ht="19" customHeight="1">
      <c r="A40" s="162" t="s">
        <v>29</v>
      </c>
      <c r="B40" s="162"/>
      <c r="C40" s="162"/>
      <c r="D40" s="162"/>
      <c r="E40" s="162"/>
      <c r="F40" s="162"/>
    </row>
    <row r="41" spans="1:8" ht="61" customHeight="1">
      <c r="A41" s="134" t="s">
        <v>30</v>
      </c>
      <c r="B41" s="134"/>
      <c r="C41" s="135"/>
      <c r="D41" s="136" t="s">
        <v>31</v>
      </c>
      <c r="E41" s="134"/>
      <c r="F41" s="134"/>
    </row>
    <row r="42" spans="1:8">
      <c r="A42" s="68" t="s">
        <v>32</v>
      </c>
    </row>
    <row r="43" spans="1:8" ht="11.15" customHeight="1">
      <c r="A43" s="83" t="s">
        <v>33</v>
      </c>
      <c r="B43" s="83"/>
      <c r="C43" s="83"/>
      <c r="D43" s="83"/>
      <c r="E43" s="83"/>
      <c r="F43" s="83"/>
    </row>
    <row r="44" spans="1:8">
      <c r="A44" s="83" t="s">
        <v>34</v>
      </c>
    </row>
    <row r="45" spans="1:8">
      <c r="A45" s="83" t="s">
        <v>35</v>
      </c>
    </row>
  </sheetData>
  <mergeCells count="29">
    <mergeCell ref="A25:C25"/>
    <mergeCell ref="A24:C24"/>
    <mergeCell ref="A23:C23"/>
    <mergeCell ref="A40:F40"/>
    <mergeCell ref="B10:B11"/>
    <mergeCell ref="A21:C21"/>
    <mergeCell ref="A22:C22"/>
    <mergeCell ref="A20:C20"/>
    <mergeCell ref="A19:C19"/>
    <mergeCell ref="A26:D26"/>
    <mergeCell ref="A17:C17"/>
    <mergeCell ref="B1:F1"/>
    <mergeCell ref="B2:F2"/>
    <mergeCell ref="B3:F3"/>
    <mergeCell ref="A18:C18"/>
    <mergeCell ref="A14:C14"/>
    <mergeCell ref="A16:C16"/>
    <mergeCell ref="A5:F5"/>
    <mergeCell ref="A15:C15"/>
    <mergeCell ref="A41:C41"/>
    <mergeCell ref="D41:F41"/>
    <mergeCell ref="D29:E29"/>
    <mergeCell ref="D30:E30"/>
    <mergeCell ref="D31:E31"/>
    <mergeCell ref="D32:E32"/>
    <mergeCell ref="D33:E33"/>
    <mergeCell ref="D34:E34"/>
    <mergeCell ref="D35:E35"/>
    <mergeCell ref="D36:E36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351C-96BC-4B8C-80B6-3A5CC659EF1D}">
  <dimension ref="A1:T26"/>
  <sheetViews>
    <sheetView topLeftCell="E3" zoomScale="160" zoomScaleNormal="160" workbookViewId="0">
      <selection activeCell="E29" sqref="E29"/>
    </sheetView>
  </sheetViews>
  <sheetFormatPr defaultColWidth="9.1796875" defaultRowHeight="13"/>
  <cols>
    <col min="1" max="1" width="8.81640625" style="1" bestFit="1" customWidth="1"/>
    <col min="2" max="2" width="18" style="2" bestFit="1" customWidth="1"/>
    <col min="3" max="3" width="11" style="2" bestFit="1" customWidth="1"/>
    <col min="4" max="4" width="7.453125" style="2" customWidth="1"/>
    <col min="5" max="5" width="9.7265625" style="2" customWidth="1"/>
    <col min="6" max="6" width="6.81640625" style="2" bestFit="1" customWidth="1"/>
    <col min="7" max="7" width="9.54296875" style="2" customWidth="1"/>
    <col min="8" max="8" width="10.26953125" style="2" customWidth="1"/>
    <col min="9" max="9" width="11.1796875" style="2" customWidth="1"/>
    <col min="10" max="10" width="9" style="2" bestFit="1" customWidth="1"/>
    <col min="11" max="11" width="8" style="2" bestFit="1" customWidth="1"/>
    <col min="12" max="12" width="7.453125" style="2" bestFit="1" customWidth="1"/>
    <col min="13" max="13" width="12.54296875" style="2" bestFit="1" customWidth="1"/>
    <col min="14" max="14" width="7.1796875" style="2" bestFit="1" customWidth="1"/>
    <col min="15" max="15" width="8.453125" style="2" bestFit="1" customWidth="1"/>
    <col min="16" max="17" width="8.1796875" style="2" customWidth="1"/>
    <col min="18" max="18" width="9" style="2" bestFit="1" customWidth="1"/>
    <col min="19" max="20" width="7.453125" style="2" bestFit="1" customWidth="1"/>
    <col min="21" max="16384" width="9.1796875" style="2"/>
  </cols>
  <sheetData>
    <row r="1" spans="1:20" ht="13.5" thickBot="1">
      <c r="A1" s="1" t="str">
        <f ca="1">MID(CELL("filename",A1),FIND("]",CELL("filename",A1))+1,256)</f>
        <v>UAE</v>
      </c>
    </row>
    <row r="2" spans="1:20" ht="13.5" thickBot="1">
      <c r="A2" s="3" t="s">
        <v>36</v>
      </c>
      <c r="B2" s="2" t="str">
        <f>'UAE-L'!C2</f>
        <v>2026/3/1</v>
      </c>
      <c r="C2" s="2" t="str">
        <f>'UAE-L'!E2</f>
        <v>2026/3/31</v>
      </c>
      <c r="E2" s="110" t="s">
        <v>37</v>
      </c>
    </row>
    <row r="3" spans="1:20" s="5" customFormat="1" ht="14.15" customHeight="1">
      <c r="A3" s="3"/>
      <c r="B3" s="4"/>
      <c r="E3" s="170" t="s">
        <v>38</v>
      </c>
      <c r="F3" s="172" t="s">
        <v>39</v>
      </c>
      <c r="G3" s="174" t="s">
        <v>40</v>
      </c>
      <c r="H3" s="175"/>
      <c r="I3" s="176" t="s">
        <v>41</v>
      </c>
      <c r="J3" s="177"/>
      <c r="K3" s="177"/>
      <c r="L3" s="177"/>
      <c r="M3" s="177"/>
      <c r="N3" s="177"/>
      <c r="O3" s="177"/>
      <c r="P3" s="168" t="s">
        <v>42</v>
      </c>
      <c r="Q3" s="168"/>
      <c r="R3" s="168"/>
      <c r="S3" s="168" t="s">
        <v>43</v>
      </c>
      <c r="T3" s="169"/>
    </row>
    <row r="4" spans="1:20" s="5" customFormat="1" ht="39.5" thickBot="1">
      <c r="E4" s="171"/>
      <c r="F4" s="173"/>
      <c r="G4" s="27" t="s">
        <v>44</v>
      </c>
      <c r="H4" s="6" t="s">
        <v>45</v>
      </c>
      <c r="I4" s="27" t="s">
        <v>44</v>
      </c>
      <c r="J4" s="6" t="str">
        <f>'UAE-L'!G7</f>
        <v>Basic Salary</v>
      </c>
      <c r="K4" s="6" t="str">
        <f>'UAE-L'!H7</f>
        <v>Housing Allowance</v>
      </c>
      <c r="L4" s="6" t="str">
        <f>'UAE-L'!I7</f>
        <v>Transport</v>
      </c>
      <c r="M4" s="6" t="str">
        <f>'UAE-L'!J7</f>
        <v>Other allowances</v>
      </c>
      <c r="N4" s="6" t="str">
        <f>'UAE-L'!K7</f>
        <v>Project Allowance</v>
      </c>
      <c r="O4" s="6" t="str">
        <f>'UAE-L'!L7</f>
        <v>Commission /bonus</v>
      </c>
      <c r="P4" s="27" t="s">
        <v>44</v>
      </c>
      <c r="Q4" s="27" t="s">
        <v>46</v>
      </c>
      <c r="R4" s="6" t="s">
        <v>47</v>
      </c>
      <c r="S4" s="27" t="s">
        <v>44</v>
      </c>
      <c r="T4" s="109" t="s">
        <v>48</v>
      </c>
    </row>
    <row r="5" spans="1:20" s="5" customFormat="1" ht="13.5" thickBot="1">
      <c r="A5" s="1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9"/>
    </row>
    <row r="6" spans="1:20" s="11" customFormat="1">
      <c r="A6" s="10"/>
      <c r="B6" s="11" t="s">
        <v>38</v>
      </c>
      <c r="C6" s="11" t="s">
        <v>49</v>
      </c>
      <c r="E6" s="15">
        <f t="shared" ref="E6:T6" si="0">SUM(E9:E17)</f>
        <v>80568.037949999998</v>
      </c>
      <c r="F6" s="16">
        <f t="shared" si="0"/>
        <v>0</v>
      </c>
      <c r="G6" s="16">
        <f t="shared" si="0"/>
        <v>8003.4679500000002</v>
      </c>
      <c r="H6" s="16">
        <f t="shared" si="0"/>
        <v>8003.4679500000002</v>
      </c>
      <c r="I6" s="16">
        <f t="shared" si="0"/>
        <v>59107.83</v>
      </c>
      <c r="J6" s="16">
        <f t="shared" si="0"/>
        <v>25918</v>
      </c>
      <c r="K6" s="16">
        <f t="shared" si="0"/>
        <v>0</v>
      </c>
      <c r="L6" s="16">
        <f t="shared" si="0"/>
        <v>0</v>
      </c>
      <c r="M6" s="16">
        <f t="shared" si="0"/>
        <v>0</v>
      </c>
      <c r="N6" s="16">
        <f t="shared" si="0"/>
        <v>0</v>
      </c>
      <c r="O6" s="16">
        <f t="shared" si="0"/>
        <v>33189.83</v>
      </c>
      <c r="P6" s="16">
        <f t="shared" si="0"/>
        <v>4449.74</v>
      </c>
      <c r="Q6" s="16">
        <f t="shared" si="0"/>
        <v>3129.7400000000002</v>
      </c>
      <c r="R6" s="16">
        <f t="shared" si="0"/>
        <v>1320</v>
      </c>
      <c r="S6" s="16">
        <f t="shared" si="0"/>
        <v>9007</v>
      </c>
      <c r="T6" s="17">
        <f t="shared" si="0"/>
        <v>9007</v>
      </c>
    </row>
    <row r="7" spans="1:20" s="11" customFormat="1">
      <c r="E7" s="15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7"/>
    </row>
    <row r="8" spans="1:20" s="11" customFormat="1">
      <c r="A8" s="18"/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7"/>
    </row>
    <row r="9" spans="1:20" s="11" customFormat="1">
      <c r="A9" s="10"/>
      <c r="B9" s="11" t="str">
        <f>'UAE-L'!B8</f>
        <v>Kevin Wilmaser</v>
      </c>
      <c r="C9" s="11" t="str">
        <f>'UAE EE'!D10</f>
        <v>CUS1628-0001</v>
      </c>
      <c r="E9" s="15">
        <f>F9+G9+I9+P9+S9</f>
        <v>68441.257949999999</v>
      </c>
      <c r="F9" s="16">
        <v>0</v>
      </c>
      <c r="G9" s="16">
        <f>SUM(H9:H9)</f>
        <v>6503.4679500000002</v>
      </c>
      <c r="H9" s="16">
        <f>MAX(1500,(I9+P9+T9)*10.5%)</f>
        <v>6503.4679500000002</v>
      </c>
      <c r="I9" s="16">
        <f>SUM(J9:O9)</f>
        <v>51607.83</v>
      </c>
      <c r="J9" s="16">
        <f>'UAE-L'!G8</f>
        <v>18418</v>
      </c>
      <c r="K9" s="16">
        <f>'UAE-L'!H8</f>
        <v>0</v>
      </c>
      <c r="L9" s="16">
        <f>'UAE-L'!I8</f>
        <v>0</v>
      </c>
      <c r="M9" s="16">
        <f>'UAE-L'!J8</f>
        <v>0</v>
      </c>
      <c r="N9" s="16">
        <f>'UAE-L'!K8</f>
        <v>0</v>
      </c>
      <c r="O9" s="16">
        <f>'UAE-L'!L8</f>
        <v>33189.83</v>
      </c>
      <c r="P9" s="16">
        <f>SUM(Q9:R9)</f>
        <v>1322.96</v>
      </c>
      <c r="Q9" s="16">
        <f>'UAE-L'!Q8</f>
        <v>662.96</v>
      </c>
      <c r="R9" s="16">
        <f>'UAE-L'!R8</f>
        <v>660</v>
      </c>
      <c r="S9" s="16">
        <f>SUM(T9:T9)</f>
        <v>9007</v>
      </c>
      <c r="T9" s="17">
        <f>'UAE-L'!M8</f>
        <v>9007</v>
      </c>
    </row>
    <row r="10" spans="1:20" s="11" customFormat="1">
      <c r="A10" s="10"/>
      <c r="B10" s="11" t="str">
        <f>'UAE-L'!B9</f>
        <v>Zineb Messaoud</v>
      </c>
      <c r="C10" s="11" t="str">
        <f>'UAE EE'!D11</f>
        <v>CUS1628-0002</v>
      </c>
      <c r="E10" s="15">
        <f>F10+G10+I10+P10+S10</f>
        <v>12126.78</v>
      </c>
      <c r="F10" s="16">
        <v>0</v>
      </c>
      <c r="G10" s="16">
        <f>SUM(H10:H10)</f>
        <v>1500</v>
      </c>
      <c r="H10" s="16">
        <f>MAX(1500,(I10+P10+T10)*10.5%)</f>
        <v>1500</v>
      </c>
      <c r="I10" s="16">
        <f>SUM(J10:O10)</f>
        <v>7500</v>
      </c>
      <c r="J10" s="16">
        <f>'UAE-L'!G9</f>
        <v>7500</v>
      </c>
      <c r="K10" s="16">
        <f>'UAE-L'!H9</f>
        <v>0</v>
      </c>
      <c r="L10" s="16">
        <f>'UAE-L'!I9</f>
        <v>0</v>
      </c>
      <c r="M10" s="16">
        <f>'UAE-L'!J9</f>
        <v>0</v>
      </c>
      <c r="N10" s="16">
        <f>'UAE-L'!K9</f>
        <v>0</v>
      </c>
      <c r="O10" s="16">
        <f>'UAE-L'!L9</f>
        <v>0</v>
      </c>
      <c r="P10" s="16">
        <f>SUM(Q10:R10)</f>
        <v>3126.78</v>
      </c>
      <c r="Q10" s="16">
        <f>'UAE-L'!Q9</f>
        <v>2466.7800000000002</v>
      </c>
      <c r="R10" s="16">
        <f>'UAE-L'!R9</f>
        <v>660</v>
      </c>
      <c r="S10" s="16">
        <f>SUM(T10:T10)</f>
        <v>0</v>
      </c>
      <c r="T10" s="17">
        <f>'UAE-L'!M9</f>
        <v>0</v>
      </c>
    </row>
    <row r="11" spans="1:20" s="11" customFormat="1">
      <c r="A11" s="10"/>
      <c r="E11" s="15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7"/>
    </row>
    <row r="12" spans="1:20" s="11" customFormat="1">
      <c r="A12" s="10"/>
      <c r="E12" s="15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7"/>
    </row>
    <row r="13" spans="1:20" s="11" customFormat="1">
      <c r="A13" s="10"/>
      <c r="E13" s="15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7"/>
    </row>
    <row r="14" spans="1:20" s="11" customFormat="1">
      <c r="A14" s="10"/>
      <c r="E14" s="15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7"/>
    </row>
    <row r="15" spans="1:20" s="11" customFormat="1">
      <c r="A15" s="10"/>
      <c r="E15" s="15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7"/>
    </row>
    <row r="16" spans="1:20" s="11" customFormat="1">
      <c r="A16" s="10"/>
      <c r="E16" s="15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7"/>
    </row>
    <row r="17" spans="1:20" s="11" customFormat="1" ht="13.5" thickBot="1">
      <c r="A17" s="10"/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1"/>
    </row>
    <row r="19" spans="1:20">
      <c r="J19" s="37"/>
    </row>
    <row r="20" spans="1:20" s="32" customFormat="1" ht="15" thickBot="1">
      <c r="A20" s="31"/>
    </row>
    <row r="21" spans="1:20" s="32" customFormat="1" ht="14.5">
      <c r="A21" s="31" t="s">
        <v>50</v>
      </c>
      <c r="B21" s="45"/>
      <c r="C21" s="45"/>
      <c r="D21" s="45"/>
      <c r="E21" s="46">
        <f>SUM(E22:E26)</f>
        <v>64.392970040633571</v>
      </c>
      <c r="F21" s="47">
        <v>0</v>
      </c>
      <c r="G21" s="35"/>
    </row>
    <row r="22" spans="1:20" s="32" customFormat="1" ht="14.5">
      <c r="A22" s="31"/>
      <c r="B22" s="45" t="s">
        <v>22</v>
      </c>
      <c r="C22" s="45"/>
      <c r="D22" s="45"/>
      <c r="E22" s="48">
        <v>40.36</v>
      </c>
      <c r="F22" s="49"/>
    </row>
    <row r="23" spans="1:20" s="32" customFormat="1" ht="14.5">
      <c r="A23" s="31"/>
      <c r="B23" s="45" t="s">
        <v>23</v>
      </c>
      <c r="C23" s="45"/>
      <c r="D23" s="45"/>
      <c r="E23" s="48"/>
      <c r="F23" s="49">
        <v>0</v>
      </c>
    </row>
    <row r="24" spans="1:20" s="32" customFormat="1" ht="14.5">
      <c r="A24" s="31"/>
      <c r="B24" s="45" t="s">
        <v>51</v>
      </c>
      <c r="C24" s="45"/>
      <c r="D24" s="45"/>
      <c r="E24" s="48"/>
      <c r="F24" s="49">
        <v>0</v>
      </c>
    </row>
    <row r="25" spans="1:20" s="32" customFormat="1" ht="14.5">
      <c r="A25" s="31"/>
      <c r="B25" s="45" t="s">
        <v>52</v>
      </c>
      <c r="C25" s="45"/>
      <c r="D25" s="45"/>
      <c r="E25" s="48">
        <f>10+49.99/PN!B29</f>
        <v>24.032970040633575</v>
      </c>
      <c r="F25" s="49"/>
    </row>
    <row r="26" spans="1:20" s="32" customFormat="1" ht="15" thickBot="1">
      <c r="A26" s="31"/>
      <c r="B26" s="45" t="s">
        <v>53</v>
      </c>
      <c r="C26" s="45"/>
      <c r="D26" s="45"/>
      <c r="E26" s="50">
        <v>0</v>
      </c>
      <c r="F26" s="51"/>
    </row>
  </sheetData>
  <mergeCells count="6">
    <mergeCell ref="S3:T3"/>
    <mergeCell ref="P3:R3"/>
    <mergeCell ref="E3:E4"/>
    <mergeCell ref="F3:F4"/>
    <mergeCell ref="G3:H3"/>
    <mergeCell ref="I3:O3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53E7-B544-3940-A3E2-E390BD553CFF}">
  <dimension ref="A1:T18"/>
  <sheetViews>
    <sheetView zoomScale="120" zoomScaleNormal="120" workbookViewId="0">
      <selection activeCell="E19" sqref="E19"/>
    </sheetView>
  </sheetViews>
  <sheetFormatPr defaultColWidth="9.1796875" defaultRowHeight="13"/>
  <cols>
    <col min="1" max="1" width="12.1796875" style="1" bestFit="1" customWidth="1"/>
    <col min="2" max="2" width="9.453125" style="2" bestFit="1" customWidth="1"/>
    <col min="3" max="3" width="6.54296875" style="2" bestFit="1" customWidth="1"/>
    <col min="4" max="4" width="12.54296875" style="2" bestFit="1" customWidth="1"/>
    <col min="5" max="5" width="12.81640625" style="2" bestFit="1" customWidth="1"/>
    <col min="6" max="6" width="9.453125" style="2" bestFit="1" customWidth="1"/>
    <col min="7" max="7" width="10.453125" style="2" bestFit="1" customWidth="1"/>
    <col min="8" max="8" width="8.453125" style="2" bestFit="1" customWidth="1"/>
    <col min="9" max="9" width="9.1796875" style="2" customWidth="1"/>
    <col min="10" max="10" width="9.453125" style="2" customWidth="1"/>
    <col min="11" max="11" width="8.81640625" style="2" customWidth="1"/>
    <col min="12" max="12" width="7.453125" style="2" bestFit="1" customWidth="1"/>
    <col min="13" max="13" width="9.453125" style="2" customWidth="1"/>
    <col min="14" max="14" width="8.453125" style="2" customWidth="1"/>
    <col min="15" max="15" width="12.453125" style="2" customWidth="1"/>
    <col min="16" max="17" width="7.453125" style="2" bestFit="1" customWidth="1"/>
    <col min="18" max="18" width="6.54296875" style="2" bestFit="1" customWidth="1"/>
    <col min="19" max="19" width="5" style="2" bestFit="1" customWidth="1"/>
    <col min="20" max="20" width="7.81640625" style="2" bestFit="1" customWidth="1"/>
    <col min="21" max="16384" width="9.1796875" style="2"/>
  </cols>
  <sheetData>
    <row r="1" spans="1:20" ht="13.5" thickBot="1">
      <c r="A1" s="1" t="str">
        <f ca="1">MID(CELL("filename",A1),FIND("]",CELL("filename",A1))+1,256)</f>
        <v>UAE EE</v>
      </c>
      <c r="C1" s="4"/>
      <c r="D1" s="4"/>
      <c r="E1" s="4"/>
      <c r="F1" s="4"/>
      <c r="H1" s="30"/>
    </row>
    <row r="2" spans="1:20" ht="13.5" thickBot="1">
      <c r="A2" s="3"/>
      <c r="B2" s="4"/>
      <c r="C2" s="4"/>
      <c r="D2" s="4"/>
      <c r="E2" s="4"/>
      <c r="F2" s="4"/>
      <c r="H2" s="29" t="s">
        <v>54</v>
      </c>
    </row>
    <row r="3" spans="1:20" s="5" customFormat="1" ht="14.15" customHeight="1" thickBot="1">
      <c r="A3" s="38"/>
      <c r="B3" s="184" t="s">
        <v>55</v>
      </c>
      <c r="C3" s="184" t="s">
        <v>56</v>
      </c>
      <c r="D3" s="184" t="s">
        <v>57</v>
      </c>
      <c r="E3" s="184" t="s">
        <v>58</v>
      </c>
      <c r="F3" s="185" t="s">
        <v>59</v>
      </c>
      <c r="G3" s="185"/>
      <c r="H3" s="181" t="s">
        <v>60</v>
      </c>
      <c r="I3" s="182" t="s">
        <v>41</v>
      </c>
      <c r="J3" s="183"/>
      <c r="K3" s="183"/>
      <c r="L3" s="183"/>
      <c r="M3" s="183"/>
      <c r="N3" s="183"/>
      <c r="O3" s="183"/>
      <c r="P3" s="178" t="s">
        <v>43</v>
      </c>
      <c r="Q3" s="178"/>
      <c r="R3" s="178" t="s">
        <v>42</v>
      </c>
      <c r="S3" s="178"/>
      <c r="T3" s="179" t="s">
        <v>61</v>
      </c>
    </row>
    <row r="4" spans="1:20" s="5" customFormat="1" ht="39.5" thickBot="1">
      <c r="A4" s="38"/>
      <c r="B4" s="184"/>
      <c r="C4" s="184"/>
      <c r="D4" s="184"/>
      <c r="E4" s="184"/>
      <c r="F4" s="39" t="s">
        <v>62</v>
      </c>
      <c r="G4" s="39" t="s">
        <v>63</v>
      </c>
      <c r="H4" s="181"/>
      <c r="I4" s="107" t="s">
        <v>44</v>
      </c>
      <c r="J4" s="108" t="str">
        <f>'UAE-L'!G7</f>
        <v>Basic Salary</v>
      </c>
      <c r="K4" s="108" t="str">
        <f>'UAE-L'!H7</f>
        <v>Housing Allowance</v>
      </c>
      <c r="L4" s="108" t="str">
        <f>'UAE-L'!I7</f>
        <v>Transport</v>
      </c>
      <c r="M4" s="108" t="str">
        <f>'UAE-L'!J7</f>
        <v>Other allowances</v>
      </c>
      <c r="N4" s="108" t="str">
        <f>'UAE-L'!K7</f>
        <v>Project Allowance</v>
      </c>
      <c r="O4" s="108" t="str">
        <f>'UAE-L'!L7</f>
        <v>Commission /bonus</v>
      </c>
      <c r="P4" s="107" t="s">
        <v>44</v>
      </c>
      <c r="Q4" s="108" t="s">
        <v>48</v>
      </c>
      <c r="R4" s="107" t="s">
        <v>44</v>
      </c>
      <c r="S4" s="108" t="s">
        <v>64</v>
      </c>
      <c r="T4" s="180"/>
    </row>
    <row r="5" spans="1:20" s="5" customFormat="1" ht="15" thickBot="1">
      <c r="A5" s="31"/>
      <c r="B5" s="40"/>
      <c r="C5" s="40"/>
      <c r="D5" s="40"/>
      <c r="E5" s="40"/>
      <c r="F5" s="40"/>
      <c r="G5" s="40"/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9"/>
    </row>
    <row r="6" spans="1:20" s="11" customFormat="1" ht="14.5">
      <c r="A6" s="33" t="s">
        <v>65</v>
      </c>
      <c r="B6" s="41"/>
      <c r="C6" s="41"/>
      <c r="D6" s="41"/>
      <c r="E6" s="41"/>
      <c r="F6" s="41"/>
      <c r="G6" s="41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</row>
    <row r="7" spans="1:20" s="11" customFormat="1" ht="14.5">
      <c r="A7" s="33"/>
      <c r="B7" s="41"/>
      <c r="C7" s="41"/>
      <c r="D7" s="41"/>
      <c r="E7" s="41"/>
      <c r="F7" s="41"/>
      <c r="G7" s="41"/>
      <c r="H7" s="15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7"/>
    </row>
    <row r="8" spans="1:20" s="11" customFormat="1" ht="14.5">
      <c r="A8" s="42"/>
      <c r="B8" s="43"/>
      <c r="C8" s="43"/>
      <c r="D8" s="43"/>
      <c r="E8" s="43"/>
      <c r="F8" s="43"/>
      <c r="G8" s="43"/>
      <c r="H8" s="15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7"/>
    </row>
    <row r="9" spans="1:20" s="11" customFormat="1" ht="14.5">
      <c r="A9" s="42"/>
      <c r="B9" s="34"/>
      <c r="C9" s="34"/>
      <c r="D9" s="34"/>
      <c r="E9" s="34"/>
      <c r="F9" s="34"/>
      <c r="G9" s="34"/>
      <c r="H9" s="1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7"/>
    </row>
    <row r="10" spans="1:20" s="11" customFormat="1" ht="14.5">
      <c r="A10" s="33"/>
      <c r="B10" s="34" t="s">
        <v>66</v>
      </c>
      <c r="C10" s="34" t="str">
        <f>'UAE-L'!$C$1</f>
        <v>Cityzen</v>
      </c>
      <c r="D10" s="34" t="s">
        <v>67</v>
      </c>
      <c r="E10" s="34" t="str">
        <f>'UAE-L'!B8</f>
        <v>Kevin Wilmaser</v>
      </c>
      <c r="F10" s="43" t="str">
        <f>'UAE-L'!$C$2</f>
        <v>2026/3/1</v>
      </c>
      <c r="G10" s="43" t="str">
        <f>'UAE-L'!$E$2</f>
        <v>2026/3/31</v>
      </c>
      <c r="H10" s="15">
        <f>I10+P10-R10-T10</f>
        <v>60614.83</v>
      </c>
      <c r="I10" s="16">
        <f>SUM(J10:O10)</f>
        <v>51607.83</v>
      </c>
      <c r="J10" s="16">
        <f>'UAE-L'!G8</f>
        <v>18418</v>
      </c>
      <c r="K10" s="16">
        <f>'UAE-L'!H8</f>
        <v>0</v>
      </c>
      <c r="L10" s="16">
        <f>'UAE-L'!I8</f>
        <v>0</v>
      </c>
      <c r="M10" s="16">
        <f>'UAE-L'!J8</f>
        <v>0</v>
      </c>
      <c r="N10" s="16">
        <f>'UAE-L'!K8</f>
        <v>0</v>
      </c>
      <c r="O10" s="16">
        <f>'UAE-L'!L8</f>
        <v>33189.83</v>
      </c>
      <c r="P10" s="16">
        <f>SUM(Q10:Q10)</f>
        <v>9007</v>
      </c>
      <c r="Q10" s="16">
        <f>'UAE-L'!M8</f>
        <v>9007</v>
      </c>
      <c r="R10" s="16">
        <f>SUM(S10:S10)</f>
        <v>0</v>
      </c>
      <c r="S10" s="16">
        <v>0</v>
      </c>
      <c r="T10" s="17">
        <f>'UAE-L'!N8</f>
        <v>0</v>
      </c>
    </row>
    <row r="11" spans="1:20" s="11" customFormat="1" ht="14.5">
      <c r="A11" s="10"/>
      <c r="B11" s="34" t="s">
        <v>10</v>
      </c>
      <c r="C11" s="34" t="str">
        <f>'UAE-L'!$C$1</f>
        <v>Cityzen</v>
      </c>
      <c r="D11" s="34" t="s">
        <v>68</v>
      </c>
      <c r="E11" s="34" t="str">
        <f>'UAE-L'!B9</f>
        <v>Zineb Messaoud</v>
      </c>
      <c r="F11" s="43" t="str">
        <f>'UAE-L'!$C$2</f>
        <v>2026/3/1</v>
      </c>
      <c r="G11" s="43" t="str">
        <f>'UAE-L'!$E$2</f>
        <v>2026/3/31</v>
      </c>
      <c r="H11" s="15">
        <f>I11+P11-R11-T11</f>
        <v>7500</v>
      </c>
      <c r="I11" s="16">
        <f>SUM(J11:O11)</f>
        <v>7500</v>
      </c>
      <c r="J11" s="16">
        <f>'UAE-L'!G9</f>
        <v>7500</v>
      </c>
      <c r="K11" s="16">
        <f>'UAE-L'!H9</f>
        <v>0</v>
      </c>
      <c r="L11" s="16">
        <f>'UAE-L'!I9</f>
        <v>0</v>
      </c>
      <c r="M11" s="16">
        <f>'UAE-L'!J9</f>
        <v>0</v>
      </c>
      <c r="N11" s="16">
        <f>'UAE-L'!K9</f>
        <v>0</v>
      </c>
      <c r="O11" s="16">
        <f>'UAE-L'!L9</f>
        <v>0</v>
      </c>
      <c r="P11" s="16">
        <f>SUM(Q11:Q11)</f>
        <v>0</v>
      </c>
      <c r="Q11" s="16">
        <f>'UAE-L'!M9</f>
        <v>0</v>
      </c>
      <c r="R11" s="16">
        <f>SUM(S11:S11)</f>
        <v>0</v>
      </c>
      <c r="S11" s="16">
        <v>0</v>
      </c>
      <c r="T11" s="17">
        <f>'UAE-L'!N9</f>
        <v>0</v>
      </c>
    </row>
    <row r="12" spans="1:20" s="11" customFormat="1">
      <c r="A12" s="10"/>
      <c r="H12" s="1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7"/>
    </row>
    <row r="13" spans="1:20" s="11" customFormat="1">
      <c r="A13" s="10"/>
      <c r="H13" s="15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7"/>
    </row>
    <row r="14" spans="1:20" s="11" customFormat="1">
      <c r="A14" s="10"/>
      <c r="H14" s="15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7"/>
    </row>
    <row r="15" spans="1:20" s="11" customFormat="1">
      <c r="A15" s="10"/>
      <c r="H15" s="15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7"/>
    </row>
    <row r="16" spans="1:20" s="11" customFormat="1">
      <c r="A16" s="10"/>
      <c r="H16" s="15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7"/>
    </row>
    <row r="17" spans="1:20" s="11" customFormat="1">
      <c r="A17" s="10"/>
      <c r="H17" s="15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7"/>
    </row>
    <row r="18" spans="1:20" s="11" customFormat="1" ht="13.5" thickBot="1">
      <c r="A18" s="10"/>
      <c r="H18" s="19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1"/>
    </row>
  </sheetData>
  <mergeCells count="10">
    <mergeCell ref="B3:B4"/>
    <mergeCell ref="C3:C4"/>
    <mergeCell ref="D3:D4"/>
    <mergeCell ref="E3:E4"/>
    <mergeCell ref="F3:G3"/>
    <mergeCell ref="P3:Q3"/>
    <mergeCell ref="R3:S3"/>
    <mergeCell ref="T3:T4"/>
    <mergeCell ref="H3:H4"/>
    <mergeCell ref="I3:O3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373B-4961-4139-AAAA-4D0437095036}">
  <dimension ref="A1:AC10"/>
  <sheetViews>
    <sheetView zoomScale="99" workbookViewId="0">
      <selection activeCell="K13" sqref="K13"/>
    </sheetView>
  </sheetViews>
  <sheetFormatPr defaultColWidth="8.81640625" defaultRowHeight="14.5"/>
  <cols>
    <col min="1" max="1" width="6.453125" bestFit="1" customWidth="1"/>
    <col min="2" max="2" width="18.453125" bestFit="1" customWidth="1"/>
    <col min="3" max="3" width="9.453125" bestFit="1" customWidth="1"/>
    <col min="4" max="4" width="13" bestFit="1" customWidth="1"/>
    <col min="5" max="5" width="10.81640625" bestFit="1" customWidth="1"/>
    <col min="6" max="6" width="7.453125" bestFit="1" customWidth="1"/>
    <col min="7" max="7" width="10.453125" bestFit="1" customWidth="1"/>
    <col min="8" max="8" width="9.453125" bestFit="1" customWidth="1"/>
    <col min="9" max="9" width="11.453125" bestFit="1" customWidth="1"/>
    <col min="10" max="10" width="10.1796875" bestFit="1" customWidth="1"/>
    <col min="11" max="11" width="13" bestFit="1" customWidth="1"/>
    <col min="12" max="12" width="10.54296875" bestFit="1" customWidth="1"/>
    <col min="13" max="13" width="9.453125" bestFit="1" customWidth="1"/>
    <col min="14" max="14" width="8.453125" bestFit="1" customWidth="1"/>
    <col min="15" max="15" width="12.54296875" bestFit="1" customWidth="1"/>
    <col min="16" max="16" width="14.453125" bestFit="1" customWidth="1"/>
    <col min="17" max="17" width="10.453125" customWidth="1"/>
    <col min="18" max="18" width="13.81640625" bestFit="1" customWidth="1"/>
    <col min="19" max="19" width="11.81640625" bestFit="1" customWidth="1"/>
    <col min="20" max="20" width="10.453125" bestFit="1" customWidth="1"/>
    <col min="22" max="22" width="9.453125" bestFit="1" customWidth="1"/>
  </cols>
  <sheetData>
    <row r="1" spans="1:29">
      <c r="A1" s="186" t="s">
        <v>5</v>
      </c>
      <c r="B1" s="186"/>
      <c r="C1" s="23" t="s">
        <v>69</v>
      </c>
    </row>
    <row r="2" spans="1:29">
      <c r="A2" s="186" t="s">
        <v>70</v>
      </c>
      <c r="B2" s="186"/>
      <c r="C2" s="36" t="s">
        <v>106</v>
      </c>
      <c r="D2" s="28" t="s">
        <v>71</v>
      </c>
      <c r="E2" s="36" t="s">
        <v>107</v>
      </c>
    </row>
    <row r="3" spans="1:29">
      <c r="A3" s="186" t="s">
        <v>72</v>
      </c>
      <c r="B3" s="186"/>
      <c r="C3" s="23" t="s">
        <v>49</v>
      </c>
    </row>
    <row r="7" spans="1:29" s="22" customFormat="1" ht="84">
      <c r="A7" s="55" t="s">
        <v>73</v>
      </c>
      <c r="B7" s="56" t="s">
        <v>74</v>
      </c>
      <c r="C7" s="56" t="s">
        <v>75</v>
      </c>
      <c r="D7" s="57" t="s">
        <v>62</v>
      </c>
      <c r="E7" s="57" t="s">
        <v>63</v>
      </c>
      <c r="F7" s="57" t="s">
        <v>76</v>
      </c>
      <c r="G7" s="55" t="s">
        <v>77</v>
      </c>
      <c r="H7" s="55" t="s">
        <v>78</v>
      </c>
      <c r="I7" s="55" t="s">
        <v>79</v>
      </c>
      <c r="J7" s="55" t="s">
        <v>80</v>
      </c>
      <c r="K7" s="55" t="s">
        <v>81</v>
      </c>
      <c r="L7" s="55" t="s">
        <v>82</v>
      </c>
      <c r="M7" s="55" t="s">
        <v>83</v>
      </c>
      <c r="N7" s="55" t="s">
        <v>84</v>
      </c>
      <c r="O7" s="57" t="s">
        <v>85</v>
      </c>
      <c r="P7" s="58" t="s">
        <v>86</v>
      </c>
      <c r="Q7" s="55" t="s">
        <v>46</v>
      </c>
      <c r="R7" s="58" t="s">
        <v>87</v>
      </c>
      <c r="S7" s="58" t="s">
        <v>88</v>
      </c>
      <c r="T7" s="104" t="s">
        <v>89</v>
      </c>
    </row>
    <row r="8" spans="1:29" ht="26.25" customHeight="1">
      <c r="A8" s="59">
        <v>2</v>
      </c>
      <c r="B8" s="60" t="s">
        <v>90</v>
      </c>
      <c r="C8" s="60" t="s">
        <v>69</v>
      </c>
      <c r="D8" s="61" t="str">
        <f>C2</f>
        <v>2026/3/1</v>
      </c>
      <c r="E8" s="62" t="str">
        <f>E2</f>
        <v>2026/3/31</v>
      </c>
      <c r="F8" s="63">
        <f>E8-D8+1</f>
        <v>31</v>
      </c>
      <c r="G8" s="64">
        <v>18418</v>
      </c>
      <c r="H8" s="64">
        <v>0</v>
      </c>
      <c r="I8" s="64">
        <v>0</v>
      </c>
      <c r="J8" s="64"/>
      <c r="K8" s="64">
        <v>0</v>
      </c>
      <c r="L8" s="64">
        <v>33189.83</v>
      </c>
      <c r="M8" s="64">
        <v>9007</v>
      </c>
      <c r="N8" s="65"/>
      <c r="O8" s="64">
        <f>SUM(G8:M8)</f>
        <v>60614.83</v>
      </c>
      <c r="P8" s="64"/>
      <c r="Q8" s="64">
        <v>662.96</v>
      </c>
      <c r="R8" s="64">
        <v>660</v>
      </c>
      <c r="S8" s="64">
        <f>SUM(O8:R8)</f>
        <v>61937.79</v>
      </c>
      <c r="T8" s="64">
        <f>O8+P8+R8+Q8</f>
        <v>61937.79</v>
      </c>
      <c r="U8" s="105"/>
      <c r="V8" s="105"/>
      <c r="W8" s="106"/>
      <c r="X8" s="106"/>
      <c r="Y8" s="106"/>
      <c r="Z8" s="106"/>
      <c r="AA8" s="106"/>
      <c r="AB8" s="106"/>
      <c r="AC8" s="106"/>
    </row>
    <row r="9" spans="1:29" ht="37">
      <c r="A9" s="59"/>
      <c r="B9" s="60" t="s">
        <v>91</v>
      </c>
      <c r="C9" s="60"/>
      <c r="D9" s="61" t="str">
        <f>C2</f>
        <v>2026/3/1</v>
      </c>
      <c r="E9" s="62" t="str">
        <f>E2</f>
        <v>2026/3/31</v>
      </c>
      <c r="F9" s="63">
        <f>E9-D9+1</f>
        <v>31</v>
      </c>
      <c r="G9" s="64">
        <f>7500</f>
        <v>7500</v>
      </c>
      <c r="H9" s="64">
        <v>0</v>
      </c>
      <c r="I9" s="64">
        <v>0</v>
      </c>
      <c r="J9" s="64"/>
      <c r="K9" s="64">
        <v>0</v>
      </c>
      <c r="L9" s="64"/>
      <c r="M9" s="64">
        <v>0</v>
      </c>
      <c r="N9" s="65"/>
      <c r="O9" s="64">
        <f>SUM(G9:M9)</f>
        <v>7500</v>
      </c>
      <c r="P9" s="64"/>
      <c r="Q9" s="64">
        <v>2466.7800000000002</v>
      </c>
      <c r="R9" s="64">
        <v>660</v>
      </c>
      <c r="S9" s="64">
        <f>SUM(O9:R9)</f>
        <v>10626.78</v>
      </c>
      <c r="T9" s="64">
        <f>O9+P9+R9+Q9</f>
        <v>10626.78</v>
      </c>
      <c r="V9" s="26"/>
    </row>
    <row r="10" spans="1:29" ht="15" thickBot="1">
      <c r="A10" s="24"/>
      <c r="B10" s="25"/>
      <c r="C10" s="52"/>
      <c r="D10" s="25"/>
      <c r="E10" s="25"/>
      <c r="F10" s="54"/>
      <c r="G10" s="54"/>
      <c r="H10" s="53"/>
      <c r="I10" s="25"/>
      <c r="J10" s="53"/>
      <c r="K10" s="53"/>
      <c r="L10" s="53"/>
      <c r="M10" s="53"/>
      <c r="N10" s="53"/>
      <c r="O10" s="53"/>
      <c r="P10" s="53"/>
      <c r="Q10" s="53"/>
      <c r="R10" s="53"/>
      <c r="S10" s="25"/>
      <c r="T10" s="44"/>
    </row>
  </sheetData>
  <mergeCells count="3">
    <mergeCell ref="A1:B1"/>
    <mergeCell ref="A2:B2"/>
    <mergeCell ref="A3:B3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4D75B-BB33-4FCE-B1E2-1EE28C6F5AD0}">
  <dimension ref="A1:K8"/>
  <sheetViews>
    <sheetView workbookViewId="0">
      <selection activeCell="D3" sqref="D3"/>
    </sheetView>
  </sheetViews>
  <sheetFormatPr defaultRowHeight="14.5"/>
  <cols>
    <col min="1" max="2" width="11.08984375" bestFit="1" customWidth="1"/>
    <col min="3" max="3" width="10.08984375" bestFit="1" customWidth="1"/>
    <col min="8" max="8" width="11.08984375" bestFit="1" customWidth="1"/>
  </cols>
  <sheetData>
    <row r="1" spans="1:11" s="32" customFormat="1" ht="43.5">
      <c r="A1" s="22" t="s">
        <v>92</v>
      </c>
      <c r="B1" s="22" t="s">
        <v>93</v>
      </c>
      <c r="C1" s="22" t="s">
        <v>94</v>
      </c>
      <c r="D1" s="22" t="s">
        <v>95</v>
      </c>
      <c r="E1" s="22" t="s">
        <v>96</v>
      </c>
      <c r="F1" s="132" t="s">
        <v>97</v>
      </c>
      <c r="G1" s="132" t="s">
        <v>98</v>
      </c>
      <c r="H1" s="22" t="s">
        <v>99</v>
      </c>
      <c r="I1" s="22" t="s">
        <v>100</v>
      </c>
      <c r="J1" s="132" t="s">
        <v>101</v>
      </c>
      <c r="K1" s="22" t="s">
        <v>102</v>
      </c>
    </row>
    <row r="2" spans="1:11" s="32" customFormat="1">
      <c r="A2" s="133">
        <f>PN!F15</f>
        <v>20370.002736976556</v>
      </c>
      <c r="B2" s="133">
        <f>PN!F35</f>
        <v>0</v>
      </c>
      <c r="C2" s="133">
        <f>PN!F21</f>
        <v>2246.6978588421889</v>
      </c>
      <c r="D2" s="133">
        <f>PN!F33</f>
        <v>24.032970040633575</v>
      </c>
      <c r="E2" s="133">
        <f>PN!F31</f>
        <v>0</v>
      </c>
      <c r="F2" s="32">
        <f>0</f>
        <v>0</v>
      </c>
      <c r="G2" s="32">
        <v>0</v>
      </c>
      <c r="H2" s="133">
        <f>PN!F30</f>
        <v>40.36</v>
      </c>
      <c r="I2" s="133">
        <f>PN!F31</f>
        <v>0</v>
      </c>
      <c r="J2" s="32">
        <v>0</v>
      </c>
      <c r="K2" s="32">
        <f>SUM(A2:J2)</f>
        <v>22681.093565859377</v>
      </c>
    </row>
    <row r="6" spans="1:11" s="32" customFormat="1">
      <c r="A6" s="32" t="s">
        <v>103</v>
      </c>
    </row>
    <row r="7" spans="1:11" s="32" customFormat="1">
      <c r="A7" s="32" t="s">
        <v>104</v>
      </c>
    </row>
    <row r="8" spans="1:11" s="32" customFormat="1">
      <c r="A8" s="32" t="s">
        <v>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55CC3C3BD834BA343262FD5D71E76" ma:contentTypeVersion="18" ma:contentTypeDescription="Create a new document." ma:contentTypeScope="" ma:versionID="6a3ac1b25229f7f744200c02d23e4089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465a83da5b0fc7f9619e44150761f9e9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A9B423-83D3-49E0-BE6D-5522DEF8F0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81C1AA-15EC-4ADB-A46F-B6AE36F878FA}">
  <ds:schemaRefs>
    <ds:schemaRef ds:uri="http://schemas.microsoft.com/office/2006/metadata/properties"/>
    <ds:schemaRef ds:uri="http://schemas.microsoft.com/office/infopath/2007/PartnerControls"/>
    <ds:schemaRef ds:uri="00ff829c-5328-4041-8e8f-a41155b380ee"/>
    <ds:schemaRef ds:uri="d627f54e-f962-403c-9056-fc9f08248a08"/>
  </ds:schemaRefs>
</ds:datastoreItem>
</file>

<file path=customXml/itemProps3.xml><?xml version="1.0" encoding="utf-8"?>
<ds:datastoreItem xmlns:ds="http://schemas.openxmlformats.org/officeDocument/2006/customXml" ds:itemID="{B4C5ED75-A6B3-4136-89CE-FF91F3DCB3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27f54e-f962-403c-9056-fc9f08248a08"/>
    <ds:schemaRef ds:uri="00ff829c-5328-4041-8e8f-a41155b38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PN</vt:lpstr>
      <vt:lpstr>UAE</vt:lpstr>
      <vt:lpstr>UAE EE</vt:lpstr>
      <vt:lpstr>UAE-L</vt:lpstr>
      <vt:lpstr>FI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>LIU, SiYu</cp:lastModifiedBy>
  <cp:revision/>
  <dcterms:created xsi:type="dcterms:W3CDTF">2019-04-02T09:07:35Z</dcterms:created>
  <dcterms:modified xsi:type="dcterms:W3CDTF">2026-03-06T08:40:13Z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a8ef3fbe-4e27-48f7-a0b1-3e7729cc8ae0</vt:lpwstr>
  </property>
  <property fmtid="{D5CDD505-2E9C-101B-9397-08002B2CF9AE}" pid="4" name="MediaServiceImageTags">
    <vt:lpwstr/>
  </property>
</Properties>
</file>