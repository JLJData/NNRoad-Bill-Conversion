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mari\Downloads\"/>
    </mc:Choice>
  </mc:AlternateContent>
  <xr:revisionPtr revIDLastSave="2" documentId="8_{E37A0656-2421-4299-8D9E-1FFBA1A41F70}" xr6:coauthVersionLast="47" xr6:coauthVersionMax="47" xr10:uidLastSave="{EB890C06-32E0-4D09-A159-249E6F7810A2}"/>
  <bookViews>
    <workbookView xWindow="-120" yWindow="-120" windowWidth="29040" windowHeight="15720" xr2:uid="{05E494F7-B41A-4FA4-BB3B-FF958D7CE78F}"/>
  </bookViews>
  <sheets>
    <sheet name="Payroll Details" sheetId="3" r:id="rId1"/>
  </sheets>
  <definedNames>
    <definedName name="_xlnm.Print_Are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3" i="3" l="1"/>
  <c r="BK3" i="3" s="1"/>
  <c r="BE3" i="3"/>
  <c r="AW3" i="3"/>
  <c r="AR3" i="3"/>
  <c r="BJ4" i="3"/>
  <c r="AO4" i="3"/>
  <c r="AR4" i="3"/>
  <c r="AW4" i="3"/>
  <c r="BE4" i="3"/>
  <c r="BF4" i="3"/>
  <c r="CQ4" i="3"/>
  <c r="CL4" i="3"/>
  <c r="CK4" i="3"/>
  <c r="CE4" i="3"/>
  <c r="CD4" i="3"/>
  <c r="BX4" i="3"/>
  <c r="BW4" i="3"/>
  <c r="BQ4" i="3"/>
  <c r="BP4" i="3"/>
  <c r="CP3" i="3"/>
  <c r="CP4" i="3" s="1"/>
  <c r="CO3" i="3"/>
  <c r="CO4" i="3" s="1"/>
  <c r="CN3" i="3"/>
  <c r="CM3" i="3"/>
  <c r="CJ3" i="3"/>
  <c r="CI3" i="3"/>
  <c r="CH3" i="3"/>
  <c r="CG3" i="3"/>
  <c r="CG4" i="3" s="1"/>
  <c r="CF3" i="3"/>
  <c r="CF4" i="3" s="1"/>
  <c r="CC3" i="3"/>
  <c r="CC4" i="3" s="1"/>
  <c r="CB3" i="3"/>
  <c r="CA3" i="3"/>
  <c r="BZ3" i="3"/>
  <c r="BY3" i="3"/>
  <c r="BV3" i="3"/>
  <c r="BU3" i="3"/>
  <c r="BU4" i="3" s="1"/>
  <c r="BT3" i="3"/>
  <c r="BS3" i="3"/>
  <c r="BS4" i="3" s="1"/>
  <c r="BR3" i="3"/>
  <c r="BO3" i="3"/>
  <c r="BN3" i="3"/>
  <c r="BM3" i="3"/>
  <c r="BM2" i="3"/>
  <c r="BN2" i="3" s="1"/>
  <c r="BO2" i="3" s="1"/>
  <c r="BP2" i="3" s="1"/>
  <c r="BQ2" i="3" s="1"/>
  <c r="BR2" i="3" s="1"/>
  <c r="BS2" i="3" s="1"/>
  <c r="BT2" i="3" s="1"/>
  <c r="BU2" i="3" s="1"/>
  <c r="BV2" i="3" s="1"/>
  <c r="BW2" i="3" s="1"/>
  <c r="BX2" i="3" s="1"/>
  <c r="BY2" i="3" s="1"/>
  <c r="BZ2" i="3" s="1"/>
  <c r="CA2" i="3" s="1"/>
  <c r="CB2" i="3" s="1"/>
  <c r="CC2" i="3" s="1"/>
  <c r="CD2" i="3" s="1"/>
  <c r="CE2" i="3" s="1"/>
  <c r="CF2" i="3" s="1"/>
  <c r="CG2" i="3" s="1"/>
  <c r="CH2" i="3" s="1"/>
  <c r="CI2" i="3" s="1"/>
  <c r="CJ2" i="3" s="1"/>
  <c r="CK2" i="3" s="1"/>
  <c r="CL2" i="3" s="1"/>
  <c r="CM2" i="3" s="1"/>
  <c r="CN2" i="3" s="1"/>
  <c r="CO2" i="3" s="1"/>
  <c r="CP2" i="3" s="1"/>
  <c r="CQ2" i="3" s="1"/>
  <c r="BI4" i="3" l="1"/>
  <c r="BH4" i="3"/>
  <c r="BG4" i="3"/>
  <c r="BN4" i="3"/>
  <c r="BZ4" i="3"/>
  <c r="CJ4" i="3"/>
  <c r="BO4" i="3"/>
  <c r="CM4" i="3"/>
  <c r="BR4" i="3"/>
  <c r="CB4" i="3"/>
  <c r="CN4" i="3"/>
  <c r="CA4" i="3"/>
  <c r="CH4" i="3"/>
  <c r="BY4" i="3"/>
  <c r="CI4" i="3"/>
  <c r="BT4" i="3"/>
  <c r="BV4" i="3"/>
  <c r="BM4" i="3"/>
  <c r="CR3" i="3"/>
  <c r="CR4" i="3" l="1"/>
  <c r="BK4" i="3" l="1"/>
</calcChain>
</file>

<file path=xl/sharedStrings.xml><?xml version="1.0" encoding="utf-8"?>
<sst xmlns="http://schemas.openxmlformats.org/spreadsheetml/2006/main" count="79" uniqueCount="75">
  <si>
    <t>Employee Details</t>
  </si>
  <si>
    <t>Standard Salary Rates</t>
  </si>
  <si>
    <t>HOURS AND DAYS WORKING</t>
  </si>
  <si>
    <t>SALARIES</t>
  </si>
  <si>
    <t>Installments</t>
  </si>
  <si>
    <t>Accruals</t>
  </si>
  <si>
    <t>Government Fees</t>
  </si>
  <si>
    <t>INVOICE VALUES</t>
  </si>
  <si>
    <t>OVERTIME 1</t>
  </si>
  <si>
    <t>Emp ID</t>
  </si>
  <si>
    <t>Employee Name</t>
  </si>
  <si>
    <t>Designation</t>
  </si>
  <si>
    <t>Payroll Currency</t>
  </si>
  <si>
    <t>Month Days</t>
  </si>
  <si>
    <t>From</t>
  </si>
  <si>
    <t>To</t>
  </si>
  <si>
    <t>Payroll Days</t>
  </si>
  <si>
    <t>EC - Basic Salary</t>
  </si>
  <si>
    <t>EC - Housing Allowance</t>
  </si>
  <si>
    <t>EC - Transport Allowance</t>
  </si>
  <si>
    <t>EC - School Allowance</t>
  </si>
  <si>
    <t>EC - Other allowance</t>
  </si>
  <si>
    <t>EC - Mobile Allowance</t>
  </si>
  <si>
    <t>EC - Food Allowance</t>
  </si>
  <si>
    <t>OT Eligible</t>
  </si>
  <si>
    <t>EC - Gross Salary</t>
  </si>
  <si>
    <t>EC - OT1</t>
  </si>
  <si>
    <t>EC - OT2</t>
  </si>
  <si>
    <t>EC - Workmen Comp</t>
  </si>
  <si>
    <t>EC - Localization</t>
  </si>
  <si>
    <t>EC - Gratuity Accrual</t>
  </si>
  <si>
    <t>EC - Health Insurance Installment</t>
  </si>
  <si>
    <t>EC - GOSI</t>
  </si>
  <si>
    <t>EC - Admin Fees</t>
  </si>
  <si>
    <t>Absence Days</t>
  </si>
  <si>
    <t>Days w/o Absence</t>
  </si>
  <si>
    <t>Overtime 1</t>
  </si>
  <si>
    <t>Overtime 2</t>
  </si>
  <si>
    <t>Basic Salary</t>
  </si>
  <si>
    <t>Housing Allowance</t>
  </si>
  <si>
    <t>Transport Allowance</t>
  </si>
  <si>
    <t>School Allowance</t>
  </si>
  <si>
    <t>Mobile Allowance</t>
  </si>
  <si>
    <t>Food Allowance</t>
  </si>
  <si>
    <t>Other Allowance</t>
  </si>
  <si>
    <t>OT1</t>
  </si>
  <si>
    <t>OT2</t>
  </si>
  <si>
    <t>Other Adjustments</t>
  </si>
  <si>
    <t>Deduction</t>
  </si>
  <si>
    <t>Total Pay</t>
  </si>
  <si>
    <t>Visa</t>
  </si>
  <si>
    <t>Medical Insurance</t>
  </si>
  <si>
    <t>Total Installments</t>
  </si>
  <si>
    <t>Gratuity</t>
  </si>
  <si>
    <t>Airfare</t>
  </si>
  <si>
    <t>Annual Leave</t>
  </si>
  <si>
    <t>Other Accruals</t>
  </si>
  <si>
    <t>Total Accruals</t>
  </si>
  <si>
    <t>Ajeer</t>
  </si>
  <si>
    <t>LMRA</t>
  </si>
  <si>
    <t>Localization</t>
  </si>
  <si>
    <t>GOSI</t>
  </si>
  <si>
    <t>Workmen Comp</t>
  </si>
  <si>
    <t>Zakat</t>
  </si>
  <si>
    <t>Family Visa Levy</t>
  </si>
  <si>
    <t>Total Government Fees</t>
  </si>
  <si>
    <t>Employee payout</t>
  </si>
  <si>
    <t>Admin Fees</t>
  </si>
  <si>
    <t>Invoice total</t>
  </si>
  <si>
    <t>Total</t>
  </si>
  <si>
    <t>AX01669</t>
  </si>
  <si>
    <t>KUTAY SAMIM GOKSU</t>
  </si>
  <si>
    <t>Sales Manager</t>
  </si>
  <si>
    <t>AED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</si>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</sst>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[$-1010000]d/m/yyyy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BDDE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/>
    <xf numFmtId="43" fontId="3" fillId="0" borderId="0" xfId="1" applyFont="1"/>
    <xf numFmtId="43" fontId="3" fillId="0" borderId="0" xfId="0" applyNumberFormat="1" applyFont="1"/>
    <xf numFmtId="0" fontId="3" fillId="0" borderId="1" xfId="0" applyFont="1" applyBorder="1"/>
    <xf numFmtId="43" fontId="3" fillId="4" borderId="1" xfId="1" applyFont="1" applyFill="1" applyBorder="1"/>
    <xf numFmtId="43" fontId="4" fillId="4" borderId="1" xfId="1" applyFont="1" applyFill="1" applyBorder="1"/>
    <xf numFmtId="43" fontId="3" fillId="3" borderId="1" xfId="1" applyFont="1" applyFill="1" applyBorder="1"/>
    <xf numFmtId="43" fontId="4" fillId="3" borderId="1" xfId="1" applyFont="1" applyFill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6" fillId="0" borderId="0" xfId="0" applyNumberFormat="1" applyFont="1"/>
    <xf numFmtId="0" fontId="3" fillId="0" borderId="0" xfId="0" applyFont="1" applyAlignment="1">
      <alignment horizontal="center" vertical="center" wrapText="1"/>
    </xf>
    <xf numFmtId="165" fontId="3" fillId="4" borderId="1" xfId="1" applyNumberFormat="1" applyFont="1" applyFill="1" applyBorder="1" applyAlignment="1">
      <alignment horizontal="center" vertical="center" wrapText="1"/>
    </xf>
    <xf numFmtId="165" fontId="3" fillId="3" borderId="1" xfId="1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/>
    <xf numFmtId="43" fontId="3" fillId="4" borderId="10" xfId="1" applyFont="1" applyFill="1" applyBorder="1" applyAlignment="1">
      <alignment horizontal="left"/>
    </xf>
    <xf numFmtId="43" fontId="3" fillId="3" borderId="10" xfId="1" applyFont="1" applyFill="1" applyBorder="1" applyAlignment="1">
      <alignment horizontal="left"/>
    </xf>
    <xf numFmtId="43" fontId="8" fillId="5" borderId="10" xfId="1" applyFont="1" applyFill="1" applyBorder="1" applyAlignment="1">
      <alignment horizontal="left"/>
    </xf>
    <xf numFmtId="43" fontId="3" fillId="2" borderId="10" xfId="1" applyFont="1" applyFill="1" applyBorder="1" applyAlignment="1">
      <alignment horizontal="left"/>
    </xf>
    <xf numFmtId="43" fontId="3" fillId="6" borderId="6" xfId="0" applyNumberFormat="1" applyFont="1" applyFill="1" applyBorder="1" applyAlignment="1">
      <alignment horizontal="left"/>
    </xf>
    <xf numFmtId="43" fontId="3" fillId="4" borderId="6" xfId="0" applyNumberFormat="1" applyFont="1" applyFill="1" applyBorder="1" applyAlignment="1">
      <alignment horizontal="left"/>
    </xf>
    <xf numFmtId="43" fontId="3" fillId="3" borderId="6" xfId="0" applyNumberFormat="1" applyFont="1" applyFill="1" applyBorder="1" applyAlignment="1">
      <alignment horizontal="left"/>
    </xf>
    <xf numFmtId="43" fontId="8" fillId="5" borderId="6" xfId="0" applyNumberFormat="1" applyFont="1" applyFill="1" applyBorder="1" applyAlignment="1">
      <alignment horizontal="left"/>
    </xf>
    <xf numFmtId="43" fontId="3" fillId="2" borderId="6" xfId="0" applyNumberFormat="1" applyFont="1" applyFill="1" applyBorder="1" applyAlignment="1">
      <alignment horizontal="left"/>
    </xf>
    <xf numFmtId="2" fontId="4" fillId="7" borderId="1" xfId="0" applyNumberFormat="1" applyFont="1" applyFill="1" applyBorder="1" applyAlignment="1">
      <alignment horizontal="center" vertical="center" wrapText="1"/>
    </xf>
    <xf numFmtId="43" fontId="3" fillId="7" borderId="6" xfId="0" applyNumberFormat="1" applyFont="1" applyFill="1" applyBorder="1" applyAlignment="1">
      <alignment horizontal="left"/>
    </xf>
    <xf numFmtId="43" fontId="3" fillId="7" borderId="10" xfId="1" applyFont="1" applyFill="1" applyBorder="1" applyAlignment="1">
      <alignment horizontal="left"/>
    </xf>
    <xf numFmtId="164" fontId="4" fillId="7" borderId="1" xfId="4" applyFont="1" applyFill="1" applyBorder="1" applyAlignment="1">
      <alignment horizontal="center" vertical="center" wrapText="1"/>
    </xf>
    <xf numFmtId="0" fontId="0" fillId="7" borderId="0" xfId="0" applyFill="1"/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4" fillId="8" borderId="5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2" fontId="4" fillId="9" borderId="1" xfId="0" applyNumberFormat="1" applyFont="1" applyFill="1" applyBorder="1" applyAlignment="1">
      <alignment horizontal="center" vertical="center" wrapText="1"/>
    </xf>
    <xf numFmtId="43" fontId="3" fillId="9" borderId="10" xfId="1" applyFont="1" applyFill="1" applyBorder="1" applyAlignment="1">
      <alignment horizontal="left"/>
    </xf>
    <xf numFmtId="43" fontId="3" fillId="9" borderId="6" xfId="0" applyNumberFormat="1" applyFont="1" applyFill="1" applyBorder="1" applyAlignment="1">
      <alignment horizontal="left"/>
    </xf>
    <xf numFmtId="2" fontId="10" fillId="10" borderId="1" xfId="0" applyNumberFormat="1" applyFont="1" applyFill="1" applyBorder="1" applyAlignment="1">
      <alignment horizontal="center" vertical="center" wrapText="1"/>
    </xf>
    <xf numFmtId="2" fontId="10" fillId="10" borderId="2" xfId="0" applyNumberFormat="1" applyFont="1" applyFill="1" applyBorder="1" applyAlignment="1">
      <alignment horizontal="center" vertical="center" wrapText="1"/>
    </xf>
    <xf numFmtId="43" fontId="11" fillId="10" borderId="10" xfId="1" applyFont="1" applyFill="1" applyBorder="1" applyAlignment="1">
      <alignment horizontal="left"/>
    </xf>
    <xf numFmtId="43" fontId="11" fillId="10" borderId="11" xfId="0" applyNumberFormat="1" applyFont="1" applyFill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165" fontId="3" fillId="0" borderId="10" xfId="1" applyNumberFormat="1" applyFont="1" applyFill="1" applyBorder="1" applyAlignment="1">
      <alignment horizontal="center"/>
    </xf>
    <xf numFmtId="166" fontId="3" fillId="0" borderId="10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43" fontId="3" fillId="6" borderId="10" xfId="1" applyFont="1" applyFill="1" applyBorder="1" applyAlignment="1">
      <alignment horizontal="left"/>
    </xf>
    <xf numFmtId="43" fontId="11" fillId="10" borderId="8" xfId="1" applyFont="1" applyFill="1" applyBorder="1" applyAlignment="1">
      <alignment horizontal="left"/>
    </xf>
    <xf numFmtId="43" fontId="4" fillId="4" borderId="1" xfId="1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/>
    </xf>
    <xf numFmtId="2" fontId="4" fillId="3" borderId="3" xfId="0" applyNumberFormat="1" applyFont="1" applyFill="1" applyBorder="1" applyAlignment="1">
      <alignment horizontal="center"/>
    </xf>
    <xf numFmtId="2" fontId="4" fillId="3" borderId="4" xfId="0" applyNumberFormat="1" applyFont="1" applyFill="1" applyBorder="1" applyAlignment="1">
      <alignment horizontal="center"/>
    </xf>
    <xf numFmtId="2" fontId="4" fillId="2" borderId="3" xfId="0" applyNumberFormat="1" applyFont="1" applyFill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2" fontId="4" fillId="9" borderId="2" xfId="0" applyNumberFormat="1" applyFont="1" applyFill="1" applyBorder="1" applyAlignment="1">
      <alignment horizontal="center"/>
    </xf>
    <xf numFmtId="2" fontId="4" fillId="9" borderId="3" xfId="0" applyNumberFormat="1" applyFont="1" applyFill="1" applyBorder="1" applyAlignment="1">
      <alignment horizontal="center"/>
    </xf>
    <xf numFmtId="2" fontId="4" fillId="9" borderId="4" xfId="0" applyNumberFormat="1" applyFont="1" applyFill="1" applyBorder="1" applyAlignment="1">
      <alignment horizontal="center"/>
    </xf>
    <xf numFmtId="2" fontId="10" fillId="10" borderId="2" xfId="0" applyNumberFormat="1" applyFont="1" applyFill="1" applyBorder="1" applyAlignment="1">
      <alignment horizontal="center"/>
    </xf>
    <xf numFmtId="2" fontId="10" fillId="10" borderId="3" xfId="0" applyNumberFormat="1" applyFont="1" applyFill="1" applyBorder="1" applyAlignment="1">
      <alignment horizontal="center"/>
    </xf>
    <xf numFmtId="2" fontId="10" fillId="10" borderId="4" xfId="0" applyNumberFormat="1" applyFont="1" applyFill="1" applyBorder="1" applyAlignment="1">
      <alignment horizontal="center"/>
    </xf>
  </cellXfs>
  <cellStyles count="7">
    <cellStyle name="Comma" xfId="1" builtinId="3"/>
    <cellStyle name="Comma 2" xfId="3" xr:uid="{4C9D407C-1343-4C11-AFCE-B81D38F3989E}"/>
    <cellStyle name="Comma 2 2" xfId="5" xr:uid="{4F8CE8F0-06F1-4658-83E3-D36E31E0BB97}"/>
    <cellStyle name="Comma 3" xfId="4" xr:uid="{8CFDE4BA-B8B9-4A9F-A757-AED2611E64BF}"/>
    <cellStyle name="Comma 3 2" xfId="6" xr:uid="{A40A06B1-3E23-41B6-80A3-54CB7BF10851}"/>
    <cellStyle name="Normal" xfId="0" builtinId="0"/>
    <cellStyle name="Normal 2" xfId="2" xr:uid="{DA0204BC-4F33-4D05-824C-110242873382}"/>
  </cellStyles>
  <dxfs count="1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rgb="FF96969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969696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96969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969696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1010000]d/m/yyyy;@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1010000]d/m/yyyy;@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BDDED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BAFEB5-A726-45B0-9A88-AFBEBC188511}" name="Table1" displayName="Table1" ref="A2:BK4" totalsRowCount="1" headerRowDxfId="128" dataDxfId="127" tableBorderDxfId="126" dataCellStyle="Comma">
  <autoFilter ref="A2:BK3" xr:uid="{0ABAFEB5-A726-45B0-9A88-AFBEBC188511}"/>
  <tableColumns count="63">
    <tableColumn id="1" xr3:uid="{A706C7FD-B7E0-4B88-8BC4-1A93DCA0115E}" name="Emp ID" totalsRowLabel="Total" dataDxfId="124" totalsRowDxfId="125"/>
    <tableColumn id="2" xr3:uid="{FA8830A4-4DF0-4A2F-936E-30731CF0E147}" name="Employee Name" dataDxfId="122" totalsRowDxfId="123"/>
    <tableColumn id="3" xr3:uid="{69D3BACC-FE5D-4374-B948-A9777ED4071D}" name="Designation" dataDxfId="120" totalsRowDxfId="121"/>
    <tableColumn id="4" xr3:uid="{67F39663-0258-48F2-8BA1-676926557058}" name="Payroll Currency" dataDxfId="118" totalsRowDxfId="119"/>
    <tableColumn id="5" xr3:uid="{F459D623-C84C-491A-A219-8472D45D29FF}" name="Month Days" dataDxfId="116" totalsRowDxfId="117" dataCellStyle="Comma"/>
    <tableColumn id="6" xr3:uid="{7C65E5E1-D656-44F2-9500-5784863BA231}" name="From" dataDxfId="114" totalsRowDxfId="115"/>
    <tableColumn id="7" xr3:uid="{41221790-D9AB-498B-8DC2-B4B1BCAC82A7}" name="To" dataDxfId="112" totalsRowDxfId="113"/>
    <tableColumn id="8" xr3:uid="{7F9DDD96-3785-438E-A94D-3663924CBAD5}" name="Payroll Days" dataDxfId="110" totalsRowDxfId="111"/>
    <tableColumn id="9" xr3:uid="{A1FA12A3-FBDB-464C-95E8-8E67151EEF55}" name="EC - Basic Salary" dataDxfId="108" totalsRowDxfId="109" dataCellStyle="Comma"/>
    <tableColumn id="30" xr3:uid="{8E61ED13-752F-46FA-A455-CAF80FD12B08}" name="EC - Housing Allowance" dataDxfId="106" totalsRowDxfId="107" dataCellStyle="Comma"/>
    <tableColumn id="34" xr3:uid="{1763AD4A-F232-42D4-A79C-42526C7DA070}" name="EC - Transport Allowance" dataDxfId="104" totalsRowDxfId="105" dataCellStyle="Comma"/>
    <tableColumn id="35" xr3:uid="{BA1079CF-5E48-4E1E-8B10-5B6D624C34F3}" name="EC - School Allowance" dataDxfId="102" totalsRowDxfId="103" dataCellStyle="Comma"/>
    <tableColumn id="36" xr3:uid="{85528247-2388-4A51-AA0B-0B71155D86F5}" name="EC - Other allowance" dataDxfId="100" totalsRowDxfId="101" dataCellStyle="Comma"/>
    <tableColumn id="37" xr3:uid="{14203060-85DF-43E5-9779-C08EE8FCE876}" name="EC - Mobile Allowance" dataDxfId="98" totalsRowDxfId="99" dataCellStyle="Comma"/>
    <tableColumn id="38" xr3:uid="{9451AC4B-BA50-41FA-B831-822B371F11E8}" name="EC - Food Allowance" dataDxfId="96" totalsRowDxfId="97" dataCellStyle="Comma"/>
    <tableColumn id="40" xr3:uid="{552D319D-404D-4310-89A3-827E60F3E26B}" name="OT Eligible" dataDxfId="94" totalsRowDxfId="95" dataCellStyle="Comma"/>
    <tableColumn id="41" xr3:uid="{14C5C6CA-8BEB-46B9-8DB0-EA8FC7244F0F}" name="EC - Gross Salary" dataDxfId="92" totalsRowDxfId="93" dataCellStyle="Comma"/>
    <tableColumn id="42" xr3:uid="{C7FEC906-A887-4691-86E8-D6ADC7D0D2D7}" name="EC - OT1" dataDxfId="90" totalsRowDxfId="91" dataCellStyle="Comma"/>
    <tableColumn id="43" xr3:uid="{0887EE44-3041-47E3-8B5E-A62CB94BEC37}" name="EC - OT2" dataDxfId="88" totalsRowDxfId="89" dataCellStyle="Comma"/>
    <tableColumn id="45" xr3:uid="{F00E49C4-FA45-4077-9C10-755F4FDAF34F}" name="EC - Workmen Comp" dataDxfId="86" totalsRowDxfId="87" dataCellStyle="Comma"/>
    <tableColumn id="46" xr3:uid="{5D037225-BF0A-4051-A405-5FC5A9DC9E0A}" name="EC - Localization" dataDxfId="84" totalsRowDxfId="85" dataCellStyle="Comma"/>
    <tableColumn id="47" xr3:uid="{72214BBD-B81A-481C-8B13-CC84975976A4}" name="EC - Gratuity Accrual" dataDxfId="82" totalsRowDxfId="83" dataCellStyle="Comma"/>
    <tableColumn id="48" xr3:uid="{B7A16EDE-793E-416C-8549-0C14F79E1B03}" name="EC - Health Insurance Installment" dataDxfId="80" totalsRowDxfId="81" dataCellStyle="Comma"/>
    <tableColumn id="51" xr3:uid="{98EBD4CC-5105-44E7-8E77-AE4FDF6AED4A}" name="EC - GOSI" dataDxfId="78" totalsRowDxfId="79" dataCellStyle="Comma"/>
    <tableColumn id="49" xr3:uid="{1DB1D8D9-C5BF-4422-9D4F-30B2BF0A8932}" name="EC - Admin Fees" dataDxfId="76" totalsRowDxfId="77" dataCellStyle="Comma"/>
    <tableColumn id="10" xr3:uid="{7281F5A8-DA84-4EB9-A0B4-CCE46302425F}" name="Absence Days" dataDxfId="74" totalsRowDxfId="75" dataCellStyle="Comma"/>
    <tableColumn id="11" xr3:uid="{01F1E10E-F9E8-4D9C-88A5-D7C4257246D0}" name="Days w/o Absence" dataDxfId="72" totalsRowDxfId="73" dataCellStyle="Comma"/>
    <tableColumn id="12" xr3:uid="{61C28094-AF7B-4F8B-8A19-2E8E4B8749B8}" name="Overtime 1" dataDxfId="70" totalsRowDxfId="71" dataCellStyle="Comma"/>
    <tableColumn id="13" xr3:uid="{C5BF7597-BB21-42A5-AAB5-B3E04AA873A7}" name="Overtime 2" dataDxfId="68" totalsRowDxfId="69" dataCellStyle="Comma"/>
    <tableColumn id="14" xr3:uid="{36A8EF52-7ECF-4DC8-A623-71D18BB8DDCA}" name="Basic Salary" dataDxfId="66" totalsRowDxfId="67" dataCellStyle="Comma"/>
    <tableColumn id="15" xr3:uid="{D47E9D99-7F49-4814-8577-A356BC862ABE}" name="Housing Allowance" dataDxfId="64" totalsRowDxfId="65" dataCellStyle="Comma"/>
    <tableColumn id="16" xr3:uid="{2EFE461B-0FDB-4AB6-9550-D7610C571805}" name="Transport Allowance" dataDxfId="62" totalsRowDxfId="63" dataCellStyle="Comma"/>
    <tableColumn id="17" xr3:uid="{A2D081CF-1C72-428E-9CE5-205DE4F7D108}" name="School Allowance" dataDxfId="60" totalsRowDxfId="61" dataCellStyle="Comma"/>
    <tableColumn id="19" xr3:uid="{20F8E23C-A45F-441F-B8C5-80CEB5A228BB}" name="Mobile Allowance" dataDxfId="58" totalsRowDxfId="59" dataCellStyle="Comma"/>
    <tableColumn id="20" xr3:uid="{012F0F1B-8010-46D3-90EB-E2AB236A5128}" name="Food Allowance" dataDxfId="56" totalsRowDxfId="57" dataCellStyle="Comma"/>
    <tableColumn id="66" xr3:uid="{02D59005-65CF-4E41-A66C-4CAD017DAB80}" name="Other Allowance" dataDxfId="54" totalsRowDxfId="55" dataCellStyle="Comma"/>
    <tableColumn id="21" xr3:uid="{83EA4266-09DF-4C08-8EC2-D03C67D32364}" name="OT1" dataDxfId="52" totalsRowDxfId="53" dataCellStyle="Comma"/>
    <tableColumn id="22" xr3:uid="{003CDC5A-CDA2-4D04-80B6-28B031B85BC6}" name="OT2" dataDxfId="50" totalsRowDxfId="51" dataCellStyle="Comma"/>
    <tableColumn id="23" xr3:uid="{1264D245-AB07-47E8-9201-190417FAEB3B}" name="Other Adjustments" dataDxfId="48" totalsRowDxfId="49" dataCellStyle="Comma"/>
    <tableColumn id="18" xr3:uid="{083CCAA0-0E1E-4C85-BF84-BC96D23CFE9F}" name="Deduction" dataDxfId="46" totalsRowDxfId="47" dataCellStyle="Comma"/>
    <tableColumn id="24" xr3:uid="{A8E6F17F-3E3C-494D-AC46-833CAC67026D}" name="Total Pay" totalsRowFunction="sum" dataDxfId="44" totalsRowDxfId="45" dataCellStyle="Comma">
      <calculatedColumnFormula>SUM(Table1[[#This Row],[Basic Salary]:[Deduction]])</calculatedColumnFormula>
    </tableColumn>
    <tableColumn id="53" xr3:uid="{5FBEE396-37F7-4873-B980-5D3D94030B96}" name="Visa" dataDxfId="42" totalsRowDxfId="43" dataCellStyle="Comma"/>
    <tableColumn id="54" xr3:uid="{984702B9-9EBC-44D0-9B88-2F024E9A012E}" name="Medical Insurance" dataDxfId="40" totalsRowDxfId="41" dataCellStyle="Comma"/>
    <tableColumn id="55" xr3:uid="{9C9E0EFF-196A-40DD-8A40-EF785828C20F}" name="Total Installments" totalsRowFunction="sum" dataDxfId="38" totalsRowDxfId="39" dataCellStyle="Comma">
      <calculatedColumnFormula>SUM(Table1[[#This Row],[Visa]:[Medical Insurance]])</calculatedColumnFormula>
    </tableColumn>
    <tableColumn id="39" xr3:uid="{20070D1D-3FF1-4ABB-A886-8B6961C1A8F2}" name="Gratuity" dataDxfId="36" totalsRowDxfId="37" dataCellStyle="Comma"/>
    <tableColumn id="44" xr3:uid="{DAA9D525-7B44-46CA-B53A-45C8F08770F2}" name="Airfare" dataDxfId="34" totalsRowDxfId="35" dataCellStyle="Comma"/>
    <tableColumn id="50" xr3:uid="{B5A9DEAB-7ABE-4147-91C4-55140B5A4088}" name="Annual Leave" dataDxfId="32" totalsRowDxfId="33" dataCellStyle="Comma"/>
    <tableColumn id="56" xr3:uid="{CA995CDB-8DF6-4D7D-874C-D09F7615F561}" name="Other Accruals" dataDxfId="30" totalsRowDxfId="31" dataCellStyle="Comma"/>
    <tableColumn id="52" xr3:uid="{D548AED8-AC74-4CF0-889F-5364E1C565C5}" name="Total Accruals" totalsRowFunction="sum" dataDxfId="28" totalsRowDxfId="29" dataCellStyle="Comma">
      <calculatedColumnFormula>SUM(Table1[[#This Row],[Gratuity]:[Other Accruals]])</calculatedColumnFormula>
    </tableColumn>
    <tableColumn id="26" xr3:uid="{999CF7E3-1F8C-484F-850B-4DADC7B88F9F}" name="Ajeer" dataDxfId="26" totalsRowDxfId="27" dataCellStyle="Comma"/>
    <tableColumn id="27" xr3:uid="{4C16DD34-5F5C-41D6-84E0-1FE566062C02}" name="LMRA" dataDxfId="24" totalsRowDxfId="25" dataCellStyle="Comma"/>
    <tableColumn id="60" xr3:uid="{A11E0DE7-BA8A-4928-A04F-933B1C331E7B}" name="Localization" dataDxfId="22" totalsRowDxfId="23" dataCellStyle="Comma"/>
    <tableColumn id="29" xr3:uid="{9B085813-863A-4C0D-A81B-FDFE119671D5}" name="GOSI" dataDxfId="20" totalsRowDxfId="21" dataCellStyle="Comma"/>
    <tableColumn id="31" xr3:uid="{A4A62F33-7D45-40F3-AA4C-9131ABB2786C}" name="Workmen Comp" dataDxfId="18" totalsRowDxfId="19" dataCellStyle="Comma"/>
    <tableColumn id="59" xr3:uid="{3D7D2417-305C-43AF-9013-9212B1C6F636}" name="Zakat" dataDxfId="16" totalsRowDxfId="17" dataCellStyle="Comma"/>
    <tableColumn id="28" xr3:uid="{2E078906-0EF0-4D46-A7AA-81B41FCFADC7}" name="Family Visa Levy" dataDxfId="14" totalsRowDxfId="15" dataCellStyle="Comma"/>
    <tableColumn id="62" xr3:uid="{7CE8DA62-0555-4CC4-8F2E-AA62DCA3164B}" name="Total Government Fees" totalsRowFunction="sum" dataDxfId="12" totalsRowDxfId="13" dataCellStyle="Comma">
      <calculatedColumnFormula>SUM(Table1[[#This Row],[Ajeer]:[Family Visa Levy]])</calculatedColumnFormula>
    </tableColumn>
    <tableColumn id="25" xr3:uid="{E4675C23-3AF5-4A65-9D2D-38F04287B92C}" name="Employee payout" totalsRowFunction="custom" dataDxfId="10" totalsRowDxfId="11" dataCellStyle="Comma">
      <calculatedColumnFormula>+AO3</calculatedColumnFormula>
      <totalsRowFormula>SUBTOTAL(109,Table1[Employee payout])</totalsRowFormula>
    </tableColumn>
    <tableColumn id="64" xr3:uid="{2A701D2B-B811-4056-AA97-5D9C4FAC8A08}" name="Installments" totalsRowFunction="custom" dataDxfId="8" totalsRowDxfId="9" dataCellStyle="Comma">
      <calculatedColumnFormula>Table1[[#This Row],[Total Installments]]</calculatedColumnFormula>
      <totalsRowFormula>SUBTOTAL(109,Table1[Installments])</totalsRowFormula>
    </tableColumn>
    <tableColumn id="63" xr3:uid="{9241B687-2035-4B4E-9821-06819BC0C8A6}" name="Accruals" totalsRowFunction="custom" dataDxfId="6" totalsRowDxfId="7" dataCellStyle="Comma">
      <calculatedColumnFormula>Table1[[#This Row],[Total Accruals]]</calculatedColumnFormula>
      <totalsRowFormula>SUBTOTAL(109,Table1[Accruals])</totalsRowFormula>
    </tableColumn>
    <tableColumn id="65" xr3:uid="{AC681B8D-6B4E-45BD-A9FD-4589DFAE8D99}" name="Government Fees" totalsRowFunction="custom" dataDxfId="4" totalsRowDxfId="5" dataCellStyle="Comma">
      <calculatedColumnFormula>Table1[[#This Row],[Total Government Fees]]</calculatedColumnFormula>
      <totalsRowFormula>SUBTOTAL(109,Table1[Government Fees])</totalsRowFormula>
    </tableColumn>
    <tableColumn id="32" xr3:uid="{2D141AB2-BCED-4301-9068-6F9884DC48E6}" name="Admin Fees" totalsRowFunction="custom" dataDxfId="2" totalsRowDxfId="3" dataCellStyle="Comma">
      <totalsRowFormula>SUBTOTAL(109,Table1[Admin Fees])</totalsRowFormula>
    </tableColumn>
    <tableColumn id="33" xr3:uid="{6BB54948-4509-4543-9F2B-91A67813FF6B}" name="Invoice total" totalsRowFunction="sum" dataDxfId="0" totalsRowDxfId="1" dataCellStyle="Comma">
      <calculatedColumnFormula>SUM(Table1[[#This Row],[Employee payout]:[Admin Fees]])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788F-E336-48A3-84F6-76F9CEBB13E5}">
  <dimension ref="A1:CR5"/>
  <sheetViews>
    <sheetView tabSelected="1" zoomScale="130" zoomScaleNormal="130" workbookViewId="0">
      <pane xSplit="2" ySplit="2" topLeftCell="AS3" activePane="bottomRight" state="frozen"/>
      <selection pane="bottomRight" activeCell="BK16" sqref="BK16"/>
      <selection pane="bottomLeft"/>
      <selection pane="topRight"/>
    </sheetView>
  </sheetViews>
  <sheetFormatPr defaultColWidth="11.42578125" defaultRowHeight="12" customHeight="1"/>
  <cols>
    <col min="1" max="1" width="20" style="1" customWidth="1"/>
    <col min="2" max="2" width="15" style="1" customWidth="1"/>
    <col min="3" max="4" width="26.5703125" style="1" customWidth="1"/>
    <col min="5" max="5" width="11.7109375" style="9" hidden="1" customWidth="1"/>
    <col min="6" max="6" width="10.42578125" style="9" customWidth="1"/>
    <col min="7" max="7" width="9.5703125" style="10" customWidth="1"/>
    <col min="8" max="8" width="12.28515625" style="9" customWidth="1"/>
    <col min="9" max="11" width="12" style="1" customWidth="1"/>
    <col min="12" max="12" width="12" style="1" hidden="1" customWidth="1"/>
    <col min="13" max="13" width="12" style="1" customWidth="1"/>
    <col min="14" max="16" width="12" style="1" hidden="1" customWidth="1"/>
    <col min="17" max="17" width="12" style="1" customWidth="1"/>
    <col min="18" max="20" width="12" style="1" hidden="1" customWidth="1"/>
    <col min="21" max="22" width="12" style="1" customWidth="1"/>
    <col min="23" max="24" width="12" style="1" hidden="1" customWidth="1"/>
    <col min="25" max="25" width="15.7109375" style="1" customWidth="1"/>
    <col min="26" max="26" width="15.7109375" style="20" hidden="1" customWidth="1"/>
    <col min="27" max="27" width="15.7109375" style="20" customWidth="1"/>
    <col min="28" max="29" width="15.7109375" style="20" hidden="1" customWidth="1"/>
    <col min="30" max="30" width="15.7109375" style="20" customWidth="1"/>
    <col min="31" max="31" width="16.5703125" style="20" customWidth="1"/>
    <col min="32" max="32" width="17.5703125" style="20" customWidth="1"/>
    <col min="33" max="33" width="15.42578125" style="20" hidden="1" customWidth="1"/>
    <col min="34" max="34" width="15.7109375" style="20" hidden="1" customWidth="1"/>
    <col min="35" max="35" width="14.28515625" style="20" hidden="1" customWidth="1"/>
    <col min="36" max="36" width="14.28515625" style="20" customWidth="1"/>
    <col min="37" max="38" width="10.5703125" style="20" hidden="1" customWidth="1"/>
    <col min="39" max="39" width="16.42578125" style="20" customWidth="1"/>
    <col min="40" max="40" width="16.42578125" style="20" hidden="1" customWidth="1"/>
    <col min="41" max="41" width="21.5703125" style="20" customWidth="1"/>
    <col min="42" max="44" width="10.5703125" style="20" hidden="1" customWidth="1"/>
    <col min="45" max="45" width="10.5703125" style="20" customWidth="1"/>
    <col min="46" max="46" width="10.5703125" style="20" hidden="1" customWidth="1"/>
    <col min="47" max="47" width="19.42578125" style="20" hidden="1" customWidth="1"/>
    <col min="48" max="48" width="10.5703125" style="20" hidden="1" customWidth="1"/>
    <col min="49" max="49" width="10.5703125" style="20" customWidth="1"/>
    <col min="50" max="50" width="19" style="20" hidden="1" customWidth="1"/>
    <col min="51" max="51" width="15.85546875" style="20" hidden="1" customWidth="1"/>
    <col min="52" max="52" width="15.85546875" style="20" customWidth="1"/>
    <col min="53" max="53" width="23.42578125" style="20" hidden="1" customWidth="1"/>
    <col min="54" max="54" width="11.140625" style="20" hidden="1" customWidth="1"/>
    <col min="55" max="55" width="15.85546875" style="20" hidden="1" customWidth="1"/>
    <col min="56" max="56" width="11.140625" style="20" hidden="1" customWidth="1"/>
    <col min="57" max="57" width="11.140625" style="20" customWidth="1"/>
    <col min="58" max="58" width="15.42578125" style="20" customWidth="1"/>
    <col min="59" max="59" width="15.42578125" style="20" hidden="1" customWidth="1"/>
    <col min="60" max="61" width="15.42578125" style="20" customWidth="1"/>
    <col min="62" max="62" width="12.42578125" style="20" customWidth="1"/>
    <col min="63" max="63" width="11.85546875" style="20" customWidth="1"/>
    <col min="64" max="64" width="4.28515625" style="1" customWidth="1"/>
    <col min="65" max="95" width="6" style="2" hidden="1" customWidth="1"/>
    <col min="96" max="96" width="7.140625" style="2" hidden="1" customWidth="1"/>
    <col min="97" max="16384" width="11.42578125" style="1"/>
  </cols>
  <sheetData>
    <row r="1" spans="1:96">
      <c r="A1" s="55" t="s">
        <v>0</v>
      </c>
      <c r="B1" s="56"/>
      <c r="C1" s="56"/>
      <c r="D1" s="56"/>
      <c r="E1" s="56"/>
      <c r="F1" s="56"/>
      <c r="G1" s="56"/>
      <c r="H1" s="57"/>
      <c r="I1" s="66" t="s">
        <v>1</v>
      </c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8"/>
      <c r="Z1" s="58" t="s">
        <v>2</v>
      </c>
      <c r="AA1" s="59"/>
      <c r="AB1" s="59"/>
      <c r="AC1" s="60"/>
      <c r="AD1" s="61" t="s">
        <v>3</v>
      </c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  <c r="AP1" s="71" t="s">
        <v>4</v>
      </c>
      <c r="AQ1" s="72"/>
      <c r="AR1" s="73"/>
      <c r="AS1" s="69" t="s">
        <v>5</v>
      </c>
      <c r="AT1" s="70"/>
      <c r="AU1" s="70"/>
      <c r="AV1" s="70"/>
      <c r="AW1" s="70"/>
      <c r="AX1" s="64" t="s">
        <v>6</v>
      </c>
      <c r="AY1" s="64"/>
      <c r="AZ1" s="64"/>
      <c r="BA1" s="64"/>
      <c r="BB1" s="64"/>
      <c r="BC1" s="64"/>
      <c r="BD1" s="64"/>
      <c r="BE1" s="65"/>
      <c r="BF1" s="74" t="s">
        <v>7</v>
      </c>
      <c r="BG1" s="75"/>
      <c r="BH1" s="75"/>
      <c r="BI1" s="75"/>
      <c r="BJ1" s="75"/>
      <c r="BK1" s="76"/>
      <c r="BM1" s="54" t="s">
        <v>8</v>
      </c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</row>
    <row r="2" spans="1:96" s="12" customFormat="1" ht="39.75" customHeight="1">
      <c r="A2" s="38" t="s">
        <v>9</v>
      </c>
      <c r="B2" s="38" t="s">
        <v>10</v>
      </c>
      <c r="C2" s="38" t="s">
        <v>11</v>
      </c>
      <c r="D2" s="38" t="s">
        <v>12</v>
      </c>
      <c r="E2" s="38" t="s">
        <v>13</v>
      </c>
      <c r="F2" s="38" t="s">
        <v>14</v>
      </c>
      <c r="G2" s="38" t="s">
        <v>15</v>
      </c>
      <c r="H2" s="39" t="s">
        <v>16</v>
      </c>
      <c r="I2" s="30" t="s">
        <v>17</v>
      </c>
      <c r="J2" s="30" t="s">
        <v>18</v>
      </c>
      <c r="K2" s="30" t="s">
        <v>19</v>
      </c>
      <c r="L2" s="30" t="s">
        <v>20</v>
      </c>
      <c r="M2" s="30" t="s">
        <v>21</v>
      </c>
      <c r="N2" s="30" t="s">
        <v>22</v>
      </c>
      <c r="O2" s="30" t="s">
        <v>23</v>
      </c>
      <c r="P2" s="33" t="s">
        <v>24</v>
      </c>
      <c r="Q2" s="30" t="s">
        <v>25</v>
      </c>
      <c r="R2" s="30" t="s">
        <v>26</v>
      </c>
      <c r="S2" s="30" t="s">
        <v>27</v>
      </c>
      <c r="T2" s="30" t="s">
        <v>28</v>
      </c>
      <c r="U2" s="30" t="s">
        <v>29</v>
      </c>
      <c r="V2" s="30" t="s">
        <v>30</v>
      </c>
      <c r="W2" s="30" t="s">
        <v>31</v>
      </c>
      <c r="X2" s="30" t="s">
        <v>32</v>
      </c>
      <c r="Y2" s="30" t="s">
        <v>33</v>
      </c>
      <c r="Z2" s="15" t="s">
        <v>34</v>
      </c>
      <c r="AA2" s="15" t="s">
        <v>35</v>
      </c>
      <c r="AB2" s="16" t="s">
        <v>36</v>
      </c>
      <c r="AC2" s="16" t="s">
        <v>37</v>
      </c>
      <c r="AD2" s="17" t="s">
        <v>38</v>
      </c>
      <c r="AE2" s="17" t="s">
        <v>39</v>
      </c>
      <c r="AF2" s="17" t="s">
        <v>40</v>
      </c>
      <c r="AG2" s="17" t="s">
        <v>41</v>
      </c>
      <c r="AH2" s="17" t="s">
        <v>42</v>
      </c>
      <c r="AI2" s="17" t="s">
        <v>43</v>
      </c>
      <c r="AJ2" s="17" t="s">
        <v>44</v>
      </c>
      <c r="AK2" s="17" t="s">
        <v>45</v>
      </c>
      <c r="AL2" s="17" t="s">
        <v>46</v>
      </c>
      <c r="AM2" s="18" t="s">
        <v>47</v>
      </c>
      <c r="AN2" s="18" t="s">
        <v>48</v>
      </c>
      <c r="AO2" s="17" t="s">
        <v>49</v>
      </c>
      <c r="AP2" s="40" t="s">
        <v>50</v>
      </c>
      <c r="AQ2" s="40" t="s">
        <v>51</v>
      </c>
      <c r="AR2" s="40" t="s">
        <v>52</v>
      </c>
      <c r="AS2" s="15" t="s">
        <v>53</v>
      </c>
      <c r="AT2" s="15" t="s">
        <v>54</v>
      </c>
      <c r="AU2" s="15" t="s">
        <v>55</v>
      </c>
      <c r="AV2" s="15" t="s">
        <v>56</v>
      </c>
      <c r="AW2" s="15" t="s">
        <v>57</v>
      </c>
      <c r="AX2" s="19" t="s">
        <v>58</v>
      </c>
      <c r="AY2" s="19" t="s">
        <v>59</v>
      </c>
      <c r="AZ2" s="19" t="s">
        <v>60</v>
      </c>
      <c r="BA2" s="19" t="s">
        <v>61</v>
      </c>
      <c r="BB2" s="19" t="s">
        <v>62</v>
      </c>
      <c r="BC2" s="19" t="s">
        <v>63</v>
      </c>
      <c r="BD2" s="19" t="s">
        <v>64</v>
      </c>
      <c r="BE2" s="19" t="s">
        <v>65</v>
      </c>
      <c r="BF2" s="43" t="s">
        <v>66</v>
      </c>
      <c r="BG2" s="43" t="s">
        <v>4</v>
      </c>
      <c r="BH2" s="43" t="s">
        <v>5</v>
      </c>
      <c r="BI2" s="43" t="s">
        <v>6</v>
      </c>
      <c r="BJ2" s="43" t="s">
        <v>67</v>
      </c>
      <c r="BK2" s="44" t="s">
        <v>68</v>
      </c>
      <c r="BM2" s="13">
        <f t="shared" ref="BM2:CQ2" si="0">+BL2+1</f>
        <v>1</v>
      </c>
      <c r="BN2" s="13">
        <f t="shared" si="0"/>
        <v>2</v>
      </c>
      <c r="BO2" s="13">
        <f t="shared" si="0"/>
        <v>3</v>
      </c>
      <c r="BP2" s="14">
        <f t="shared" si="0"/>
        <v>4</v>
      </c>
      <c r="BQ2" s="14">
        <f t="shared" si="0"/>
        <v>5</v>
      </c>
      <c r="BR2" s="13">
        <f t="shared" si="0"/>
        <v>6</v>
      </c>
      <c r="BS2" s="13">
        <f t="shared" si="0"/>
        <v>7</v>
      </c>
      <c r="BT2" s="13">
        <f t="shared" si="0"/>
        <v>8</v>
      </c>
      <c r="BU2" s="13">
        <f t="shared" si="0"/>
        <v>9</v>
      </c>
      <c r="BV2" s="13">
        <f t="shared" si="0"/>
        <v>10</v>
      </c>
      <c r="BW2" s="14">
        <f t="shared" si="0"/>
        <v>11</v>
      </c>
      <c r="BX2" s="14">
        <f t="shared" si="0"/>
        <v>12</v>
      </c>
      <c r="BY2" s="13">
        <f t="shared" si="0"/>
        <v>13</v>
      </c>
      <c r="BZ2" s="13">
        <f t="shared" si="0"/>
        <v>14</v>
      </c>
      <c r="CA2" s="13">
        <f t="shared" si="0"/>
        <v>15</v>
      </c>
      <c r="CB2" s="13">
        <f t="shared" si="0"/>
        <v>16</v>
      </c>
      <c r="CC2" s="13">
        <f t="shared" si="0"/>
        <v>17</v>
      </c>
      <c r="CD2" s="14">
        <f t="shared" si="0"/>
        <v>18</v>
      </c>
      <c r="CE2" s="14">
        <f t="shared" si="0"/>
        <v>19</v>
      </c>
      <c r="CF2" s="13">
        <f t="shared" si="0"/>
        <v>20</v>
      </c>
      <c r="CG2" s="13">
        <f t="shared" si="0"/>
        <v>21</v>
      </c>
      <c r="CH2" s="13">
        <f t="shared" si="0"/>
        <v>22</v>
      </c>
      <c r="CI2" s="13">
        <f t="shared" si="0"/>
        <v>23</v>
      </c>
      <c r="CJ2" s="13">
        <f t="shared" si="0"/>
        <v>24</v>
      </c>
      <c r="CK2" s="14">
        <f t="shared" si="0"/>
        <v>25</v>
      </c>
      <c r="CL2" s="14">
        <f t="shared" si="0"/>
        <v>26</v>
      </c>
      <c r="CM2" s="13">
        <f t="shared" si="0"/>
        <v>27</v>
      </c>
      <c r="CN2" s="13">
        <f t="shared" si="0"/>
        <v>28</v>
      </c>
      <c r="CO2" s="13">
        <f t="shared" si="0"/>
        <v>29</v>
      </c>
      <c r="CP2" s="13">
        <f t="shared" si="0"/>
        <v>30</v>
      </c>
      <c r="CQ2" s="14">
        <f t="shared" si="0"/>
        <v>31</v>
      </c>
      <c r="CR2" s="13" t="s">
        <v>69</v>
      </c>
    </row>
    <row r="3" spans="1:96">
      <c r="A3" s="47" t="s">
        <v>70</v>
      </c>
      <c r="B3" s="48" t="s">
        <v>71</v>
      </c>
      <c r="C3" s="47" t="s">
        <v>72</v>
      </c>
      <c r="D3" s="47" t="s">
        <v>73</v>
      </c>
      <c r="E3" s="49">
        <v>22</v>
      </c>
      <c r="F3" s="50">
        <v>46082</v>
      </c>
      <c r="G3" s="50">
        <v>46112</v>
      </c>
      <c r="H3" s="51">
        <v>22</v>
      </c>
      <c r="I3" s="32">
        <v>19635</v>
      </c>
      <c r="J3" s="32">
        <v>9817.5</v>
      </c>
      <c r="K3" s="32">
        <v>3272.5</v>
      </c>
      <c r="L3" s="32">
        <v>0</v>
      </c>
      <c r="M3" s="32">
        <v>2913</v>
      </c>
      <c r="N3" s="32">
        <v>0</v>
      </c>
      <c r="O3" s="32">
        <v>0</v>
      </c>
      <c r="P3" s="32" t="s">
        <v>74</v>
      </c>
      <c r="Q3" s="32">
        <v>32725</v>
      </c>
      <c r="R3" s="32"/>
      <c r="S3" s="32"/>
      <c r="T3" s="32">
        <v>0</v>
      </c>
      <c r="U3" s="32">
        <v>500</v>
      </c>
      <c r="V3" s="32">
        <v>1130</v>
      </c>
      <c r="W3" s="32">
        <v>0</v>
      </c>
      <c r="X3" s="32">
        <v>0</v>
      </c>
      <c r="Y3" s="32">
        <v>1250</v>
      </c>
      <c r="Z3" s="21">
        <v>0</v>
      </c>
      <c r="AA3" s="21">
        <v>22</v>
      </c>
      <c r="AB3" s="52">
        <v>0</v>
      </c>
      <c r="AC3" s="52">
        <v>0</v>
      </c>
      <c r="AD3" s="22">
        <v>19635</v>
      </c>
      <c r="AE3" s="22">
        <v>9817.5</v>
      </c>
      <c r="AF3" s="22">
        <v>3272.5</v>
      </c>
      <c r="AG3" s="22"/>
      <c r="AH3" s="22"/>
      <c r="AI3" s="22"/>
      <c r="AJ3" s="22">
        <v>2913</v>
      </c>
      <c r="AK3" s="22"/>
      <c r="AL3" s="22"/>
      <c r="AM3" s="23">
        <v>5755.67</v>
      </c>
      <c r="AN3" s="23">
        <v>0</v>
      </c>
      <c r="AO3" s="22">
        <v>41393.67</v>
      </c>
      <c r="AP3" s="41"/>
      <c r="AQ3" s="41"/>
      <c r="AR3" s="41">
        <f>SUM(Table1[[#This Row],[Visa]:[Medical Insurance]])</f>
        <v>0</v>
      </c>
      <c r="AS3" s="21">
        <v>1130</v>
      </c>
      <c r="AT3" s="21"/>
      <c r="AU3" s="21"/>
      <c r="AV3" s="21"/>
      <c r="AW3" s="21">
        <f>SUM(Table1[[#This Row],[Gratuity]:[Other Accruals]])</f>
        <v>1130</v>
      </c>
      <c r="AX3" s="24"/>
      <c r="AY3" s="24"/>
      <c r="AZ3" s="24">
        <v>500</v>
      </c>
      <c r="BA3" s="24"/>
      <c r="BB3" s="24"/>
      <c r="BC3" s="24"/>
      <c r="BD3" s="24"/>
      <c r="BE3" s="24">
        <f>SUM(Table1[[#This Row],[Ajeer]:[Family Visa Levy]])</f>
        <v>500</v>
      </c>
      <c r="BF3" s="45">
        <f>+AO3</f>
        <v>41393.67</v>
      </c>
      <c r="BG3" s="45">
        <v>0</v>
      </c>
      <c r="BH3" s="45">
        <v>1130</v>
      </c>
      <c r="BI3" s="45">
        <v>500</v>
      </c>
      <c r="BJ3" s="45">
        <v>1250</v>
      </c>
      <c r="BK3" s="53">
        <f>SUM(Table1[[#This Row],[Employee payout]:[Admin Fees]])</f>
        <v>44273.67</v>
      </c>
      <c r="BL3" s="11"/>
      <c r="BM3" s="5">
        <f>IFERROR(IF(#REF!&lt;8,0,#REF!-8),0)</f>
        <v>0</v>
      </c>
      <c r="BN3" s="5">
        <f>IFERROR(IF(#REF!&lt;8,0,#REF!-8),0)</f>
        <v>0</v>
      </c>
      <c r="BO3" s="5">
        <f>IFERROR(IF(#REF!&lt;8,0,#REF!-8),0)</f>
        <v>0</v>
      </c>
      <c r="BP3" s="7"/>
      <c r="BQ3" s="7"/>
      <c r="BR3" s="5">
        <f>IFERROR(IF(#REF!&lt;8,0,#REF!-8),0)</f>
        <v>0</v>
      </c>
      <c r="BS3" s="5">
        <f>IFERROR(IF(#REF!&lt;8,0,#REF!-8),0)</f>
        <v>0</v>
      </c>
      <c r="BT3" s="5">
        <f>IFERROR(IF(#REF!&lt;8,0,#REF!-8),0)</f>
        <v>0</v>
      </c>
      <c r="BU3" s="5">
        <f>IFERROR(IF(#REF!&lt;8,0,#REF!-8),0)</f>
        <v>0</v>
      </c>
      <c r="BV3" s="5">
        <f>IFERROR(IF(#REF!&lt;8,0,#REF!-8),0)</f>
        <v>0</v>
      </c>
      <c r="BW3" s="7"/>
      <c r="BX3" s="7"/>
      <c r="BY3" s="5">
        <f>IFERROR(IF(#REF!&lt;8,0,#REF!-8),0)</f>
        <v>0</v>
      </c>
      <c r="BZ3" s="5">
        <f>IFERROR(IF(#REF!&lt;8,0,#REF!-8),0)</f>
        <v>0</v>
      </c>
      <c r="CA3" s="5">
        <f>IFERROR(IF(#REF!&lt;8,0,#REF!-8),0)</f>
        <v>0</v>
      </c>
      <c r="CB3" s="5">
        <f>IFERROR(IF(#REF!&lt;8,0,#REF!-8),0)</f>
        <v>0</v>
      </c>
      <c r="CC3" s="5">
        <f>IFERROR(IF(#REF!&lt;8,0,#REF!-8),0)</f>
        <v>0</v>
      </c>
      <c r="CD3" s="7"/>
      <c r="CE3" s="7"/>
      <c r="CF3" s="5">
        <f>IFERROR(IF(#REF!&lt;8,0,#REF!-8),0)</f>
        <v>0</v>
      </c>
      <c r="CG3" s="5">
        <f>IFERROR(IF(#REF!&lt;8,0,#REF!-8),0)</f>
        <v>0</v>
      </c>
      <c r="CH3" s="5">
        <f>IFERROR(IF(#REF!&lt;8,0,#REF!-8),0)</f>
        <v>0</v>
      </c>
      <c r="CI3" s="5">
        <f>IFERROR(IF(#REF!&lt;8,0,#REF!-8),0)</f>
        <v>0</v>
      </c>
      <c r="CJ3" s="5">
        <f>IFERROR(IF(#REF!&lt;8,0,#REF!-8),0)</f>
        <v>0</v>
      </c>
      <c r="CK3" s="7"/>
      <c r="CL3" s="7"/>
      <c r="CM3" s="5">
        <f>IFERROR(IF(#REF!&lt;8,0,#REF!-8),0)</f>
        <v>0</v>
      </c>
      <c r="CN3" s="5">
        <f>IFERROR(IF(#REF!&lt;8,0,#REF!-8),0)</f>
        <v>0</v>
      </c>
      <c r="CO3" s="5">
        <f>IFERROR(IF(#REF!&lt;8,0,#REF!-8),0)</f>
        <v>0</v>
      </c>
      <c r="CP3" s="5">
        <f>IFERROR(IF(#REF!&lt;8,0,#REF!-8),0)</f>
        <v>0</v>
      </c>
      <c r="CQ3" s="7"/>
      <c r="CR3" s="5">
        <f>SUM(BM3:CQ3)</f>
        <v>0</v>
      </c>
    </row>
    <row r="4" spans="1:96" ht="15">
      <c r="A4" s="35" t="s">
        <v>69</v>
      </c>
      <c r="B4" s="36"/>
      <c r="C4" s="35"/>
      <c r="D4" s="35"/>
      <c r="E4" s="35"/>
      <c r="F4" s="35"/>
      <c r="G4" s="35"/>
      <c r="H4" s="37"/>
      <c r="I4" s="31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26"/>
      <c r="AA4" s="26"/>
      <c r="AB4" s="25"/>
      <c r="AC4" s="25"/>
      <c r="AD4" s="27"/>
      <c r="AE4" s="27"/>
      <c r="AF4" s="27"/>
      <c r="AG4" s="27"/>
      <c r="AH4" s="27"/>
      <c r="AI4" s="27"/>
      <c r="AJ4" s="27"/>
      <c r="AK4" s="27"/>
      <c r="AL4" s="27"/>
      <c r="AM4" s="28"/>
      <c r="AN4" s="28"/>
      <c r="AO4" s="27">
        <f>SUBTOTAL(109,Table1[Total Pay])</f>
        <v>41393.67</v>
      </c>
      <c r="AP4" s="42"/>
      <c r="AQ4" s="42"/>
      <c r="AR4" s="42">
        <f>SUBTOTAL(109,Table1[Total Installments])</f>
        <v>0</v>
      </c>
      <c r="AS4" s="26"/>
      <c r="AT4" s="26"/>
      <c r="AU4" s="26"/>
      <c r="AV4" s="26"/>
      <c r="AW4" s="26">
        <f>SUBTOTAL(109,Table1[Total Accruals])</f>
        <v>1130</v>
      </c>
      <c r="AX4" s="29"/>
      <c r="AY4" s="29"/>
      <c r="AZ4" s="29"/>
      <c r="BA4" s="29"/>
      <c r="BB4" s="29"/>
      <c r="BC4" s="29"/>
      <c r="BD4" s="29"/>
      <c r="BE4" s="29">
        <f>SUBTOTAL(109,Table1[Total Government Fees])</f>
        <v>500</v>
      </c>
      <c r="BF4" s="46">
        <f>SUBTOTAL(109,Table1[Employee payout])</f>
        <v>41393.67</v>
      </c>
      <c r="BG4" s="46">
        <f>SUBTOTAL(109,Table1[Installments])</f>
        <v>0</v>
      </c>
      <c r="BH4" s="46">
        <f>SUBTOTAL(109,Table1[Accruals])</f>
        <v>1130</v>
      </c>
      <c r="BI4" s="46">
        <f>SUBTOTAL(109,Table1[Government Fees])</f>
        <v>500</v>
      </c>
      <c r="BJ4" s="46">
        <f>SUBTOTAL(109,Table1[Admin Fees])</f>
        <v>1250</v>
      </c>
      <c r="BK4" s="46">
        <f>SUBTOTAL(109,Table1[Invoice total])</f>
        <v>44273.67</v>
      </c>
      <c r="BL4" s="3"/>
      <c r="BM4" s="6">
        <f t="shared" ref="BM4:CR4" si="1">SUM(BM3:BM3)</f>
        <v>0</v>
      </c>
      <c r="BN4" s="6">
        <f t="shared" si="1"/>
        <v>0</v>
      </c>
      <c r="BO4" s="6">
        <f t="shared" si="1"/>
        <v>0</v>
      </c>
      <c r="BP4" s="8">
        <f t="shared" si="1"/>
        <v>0</v>
      </c>
      <c r="BQ4" s="8">
        <f t="shared" si="1"/>
        <v>0</v>
      </c>
      <c r="BR4" s="6">
        <f t="shared" si="1"/>
        <v>0</v>
      </c>
      <c r="BS4" s="6">
        <f t="shared" si="1"/>
        <v>0</v>
      </c>
      <c r="BT4" s="6">
        <f t="shared" si="1"/>
        <v>0</v>
      </c>
      <c r="BU4" s="6">
        <f t="shared" si="1"/>
        <v>0</v>
      </c>
      <c r="BV4" s="6">
        <f t="shared" si="1"/>
        <v>0</v>
      </c>
      <c r="BW4" s="8">
        <f t="shared" si="1"/>
        <v>0</v>
      </c>
      <c r="BX4" s="8">
        <f t="shared" si="1"/>
        <v>0</v>
      </c>
      <c r="BY4" s="6">
        <f t="shared" si="1"/>
        <v>0</v>
      </c>
      <c r="BZ4" s="6">
        <f t="shared" si="1"/>
        <v>0</v>
      </c>
      <c r="CA4" s="6">
        <f t="shared" si="1"/>
        <v>0</v>
      </c>
      <c r="CB4" s="6">
        <f t="shared" si="1"/>
        <v>0</v>
      </c>
      <c r="CC4" s="6">
        <f t="shared" si="1"/>
        <v>0</v>
      </c>
      <c r="CD4" s="8">
        <f t="shared" si="1"/>
        <v>0</v>
      </c>
      <c r="CE4" s="8">
        <f t="shared" si="1"/>
        <v>0</v>
      </c>
      <c r="CF4" s="6">
        <f t="shared" si="1"/>
        <v>0</v>
      </c>
      <c r="CG4" s="6">
        <f t="shared" si="1"/>
        <v>0</v>
      </c>
      <c r="CH4" s="6">
        <f t="shared" si="1"/>
        <v>0</v>
      </c>
      <c r="CI4" s="6">
        <f t="shared" si="1"/>
        <v>0</v>
      </c>
      <c r="CJ4" s="6">
        <f t="shared" si="1"/>
        <v>0</v>
      </c>
      <c r="CK4" s="8">
        <f t="shared" si="1"/>
        <v>0</v>
      </c>
      <c r="CL4" s="8">
        <f t="shared" si="1"/>
        <v>0</v>
      </c>
      <c r="CM4" s="6">
        <f t="shared" si="1"/>
        <v>0</v>
      </c>
      <c r="CN4" s="6">
        <f t="shared" si="1"/>
        <v>0</v>
      </c>
      <c r="CO4" s="6">
        <f t="shared" si="1"/>
        <v>0</v>
      </c>
      <c r="CP4" s="6">
        <f t="shared" si="1"/>
        <v>0</v>
      </c>
      <c r="CQ4" s="8">
        <f t="shared" si="1"/>
        <v>0</v>
      </c>
      <c r="CR4" s="6">
        <f t="shared" si="1"/>
        <v>0</v>
      </c>
    </row>
    <row r="5" spans="1:96">
      <c r="G5" s="9"/>
      <c r="I5" s="4"/>
    </row>
  </sheetData>
  <mergeCells count="9">
    <mergeCell ref="BM1:CR1"/>
    <mergeCell ref="A1:H1"/>
    <mergeCell ref="Z1:AC1"/>
    <mergeCell ref="AD1:AO1"/>
    <mergeCell ref="AX1:BE1"/>
    <mergeCell ref="I1:Y1"/>
    <mergeCell ref="AS1:AW1"/>
    <mergeCell ref="AP1:AR1"/>
    <mergeCell ref="BF1:BK1"/>
  </mergeCells>
  <phoneticPr fontId="9" type="noConversion"/>
  <conditionalFormatting sqref="A3">
    <cfRule type="duplicateValues" dxfId="129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e176b99f4290556bde1598ff6b6ed8e0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bab490ee63bce1f9e8e60e07f4f4e94a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4AABAB-B58B-4294-9C32-2A4BB4B7CF37}"/>
</file>

<file path=customXml/itemProps2.xml><?xml version="1.0" encoding="utf-8"?>
<ds:datastoreItem xmlns:ds="http://schemas.openxmlformats.org/officeDocument/2006/customXml" ds:itemID="{906A4A6B-67EE-401A-9026-CFE67B4BDF0B}"/>
</file>

<file path=customXml/itemProps3.xml><?xml version="1.0" encoding="utf-8"?>
<ds:datastoreItem xmlns:ds="http://schemas.openxmlformats.org/officeDocument/2006/customXml" ds:itemID="{DAC19CEF-9F79-4A7A-8468-7D66D96B02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Meena Iyer</dc:creator>
  <cp:keywords/>
  <dc:description/>
  <cp:lastModifiedBy>LIU, SiYu</cp:lastModifiedBy>
  <cp:revision/>
  <dcterms:created xsi:type="dcterms:W3CDTF">2021-01-28T08:24:34Z</dcterms:created>
  <dcterms:modified xsi:type="dcterms:W3CDTF">2026-03-05T05:38:47Z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lcf76f155ced4ddcb4097134ff3c332f">
    <vt:lpwstr/>
  </property>
  <property fmtid="{D5CDD505-2E9C-101B-9397-08002B2CF9AE}" pid="6" name="MSIP_Label_80a6f05f-20f3-4905-8a11-c668142d9267_Enabled">
    <vt:lpwstr>true</vt:lpwstr>
  </property>
  <property fmtid="{D5CDD505-2E9C-101B-9397-08002B2CF9AE}" pid="7" name="MSIP_Label_80a6f05f-20f3-4905-8a11-c668142d9267_SetDate">
    <vt:lpwstr>2023-09-12T13:26:21Z</vt:lpwstr>
  </property>
  <property fmtid="{D5CDD505-2E9C-101B-9397-08002B2CF9AE}" pid="8" name="MSIP_Label_80a6f05f-20f3-4905-8a11-c668142d9267_Method">
    <vt:lpwstr>Standard</vt:lpwstr>
  </property>
  <property fmtid="{D5CDD505-2E9C-101B-9397-08002B2CF9AE}" pid="9" name="MSIP_Label_80a6f05f-20f3-4905-8a11-c668142d9267_Name">
    <vt:lpwstr>Internal</vt:lpwstr>
  </property>
  <property fmtid="{D5CDD505-2E9C-101B-9397-08002B2CF9AE}" pid="10" name="MSIP_Label_80a6f05f-20f3-4905-8a11-c668142d9267_SiteId">
    <vt:lpwstr>d1c315e3-bb06-4826-8ed5-e3a00d6f6636</vt:lpwstr>
  </property>
  <property fmtid="{D5CDD505-2E9C-101B-9397-08002B2CF9AE}" pid="11" name="MSIP_Label_80a6f05f-20f3-4905-8a11-c668142d9267_ActionId">
    <vt:lpwstr>57666ffa-5b35-4360-84bd-cf3071619045</vt:lpwstr>
  </property>
  <property fmtid="{D5CDD505-2E9C-101B-9397-08002B2CF9AE}" pid="12" name="MSIP_Label_80a6f05f-20f3-4905-8a11-c668142d9267_ContentBits">
    <vt:lpwstr>0</vt:lpwstr>
  </property>
</Properties>
</file>