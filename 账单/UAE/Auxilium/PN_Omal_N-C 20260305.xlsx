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6727EC54-580E-48CF-850D-9CB7D739EE4F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1" r:id="rId1"/>
    <sheet name="UAE" sheetId="2" r:id="rId2"/>
    <sheet name="UAE EE" sheetId="5" r:id="rId3"/>
    <sheet name="UAE-L" sheetId="3" r:id="rId4"/>
    <sheet name="FI Repor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2" l="1" a="1"/>
  <c r="AF9" i="2" s="1"/>
  <c r="U10" i="5" a="1"/>
  <c r="U10" i="5" s="1"/>
  <c r="Z9" i="2" l="1" a="1"/>
  <c r="Z9" i="2" s="1"/>
  <c r="Z6" i="2" s="1"/>
  <c r="H9" i="2"/>
  <c r="E25" i="2"/>
  <c r="C2" i="2" a="1"/>
  <c r="C2" i="2" s="1"/>
  <c r="B2" i="2" a="1"/>
  <c r="B2" i="2" s="1"/>
  <c r="B9" i="2" a="1"/>
  <c r="B9" i="2" s="1"/>
  <c r="G10" i="5" a="1"/>
  <c r="G10" i="5" s="1"/>
  <c r="F10" i="5" a="1"/>
  <c r="F10" i="5" s="1"/>
  <c r="E10" i="5" a="1"/>
  <c r="E10" i="5" s="1"/>
  <c r="C10" i="5"/>
  <c r="U6" i="2"/>
  <c r="Y6" i="2"/>
  <c r="AC6" i="2"/>
  <c r="Y9" i="2" a="1"/>
  <c r="Y9" i="2" s="1"/>
  <c r="AA9" i="2" a="1"/>
  <c r="AA9" i="2" s="1"/>
  <c r="AA6" i="2" s="1"/>
  <c r="AB9" i="2" a="1"/>
  <c r="AB9" i="2"/>
  <c r="AB6" i="2" s="1"/>
  <c r="AC9" i="2" a="1"/>
  <c r="AC9" i="2" s="1"/>
  <c r="AD9" i="2" a="1"/>
  <c r="AD9" i="2" s="1"/>
  <c r="AD6" i="2" s="1"/>
  <c r="X9" i="2" a="1"/>
  <c r="X9" i="2" s="1"/>
  <c r="X6" i="2" s="1"/>
  <c r="U9" i="2" a="1"/>
  <c r="U9" i="2" s="1"/>
  <c r="V9" i="2" a="1"/>
  <c r="V9" i="2" s="1"/>
  <c r="V6" i="2" s="1"/>
  <c r="W9" i="2" a="1"/>
  <c r="W9" i="2" s="1"/>
  <c r="W6" i="2" s="1"/>
  <c r="T9" i="2" a="1"/>
  <c r="T9" i="2" s="1"/>
  <c r="Y4" i="2"/>
  <c r="Z4" i="2"/>
  <c r="AA4" i="2"/>
  <c r="AB4" i="2"/>
  <c r="AC4" i="2"/>
  <c r="AD4" i="2"/>
  <c r="X4" i="2"/>
  <c r="U4" i="2"/>
  <c r="V4" i="2"/>
  <c r="W4" i="2"/>
  <c r="T4" i="2"/>
  <c r="R9" i="2" a="1"/>
  <c r="R9" i="2" s="1"/>
  <c r="Q9" i="2" a="1"/>
  <c r="Q9" i="2" s="1"/>
  <c r="K9" i="2" a="1"/>
  <c r="K9" i="2" s="1"/>
  <c r="L9" i="2" a="1"/>
  <c r="L9" i="2" s="1"/>
  <c r="M9" i="2" a="1"/>
  <c r="M9" i="2" s="1"/>
  <c r="N9" i="2" a="1"/>
  <c r="N9" i="2" s="1"/>
  <c r="N6" i="2" s="1"/>
  <c r="O9" i="2" a="1"/>
  <c r="O9" i="2" s="1"/>
  <c r="O6" i="2" s="1"/>
  <c r="P9" i="2" a="1"/>
  <c r="P9" i="2" s="1"/>
  <c r="P6" i="2" s="1"/>
  <c r="J9" i="2" a="1"/>
  <c r="J9" i="2" s="1"/>
  <c r="X10" i="5" a="1"/>
  <c r="X10" i="5" s="1"/>
  <c r="K10" i="5" a="1"/>
  <c r="K10" i="5" s="1"/>
  <c r="L10" i="5" a="1"/>
  <c r="L10" i="5"/>
  <c r="M10" i="5" a="1"/>
  <c r="M10" i="5"/>
  <c r="N10" i="5" a="1"/>
  <c r="N10" i="5" s="1"/>
  <c r="O10" i="5" a="1"/>
  <c r="O10" i="5" s="1"/>
  <c r="P10" i="5" a="1"/>
  <c r="P10" i="5"/>
  <c r="Q10" i="5" a="1"/>
  <c r="Q10" i="5" s="1"/>
  <c r="R10" i="5" a="1"/>
  <c r="R10" i="5"/>
  <c r="J10" i="5" a="1"/>
  <c r="J10" i="5" s="1"/>
  <c r="I10" i="5" s="1"/>
  <c r="CQ4" i="3"/>
  <c r="CL4" i="3"/>
  <c r="CK4" i="3"/>
  <c r="CF4" i="3"/>
  <c r="CE4" i="3"/>
  <c r="CD4" i="3"/>
  <c r="BX4" i="3"/>
  <c r="BW4" i="3"/>
  <c r="BU4" i="3"/>
  <c r="BQ4" i="3"/>
  <c r="BP4" i="3"/>
  <c r="BJ4" i="3"/>
  <c r="BI4" i="3"/>
  <c r="BH4" i="3"/>
  <c r="BG4" i="3"/>
  <c r="BF4" i="3"/>
  <c r="AO4" i="3"/>
  <c r="CP3" i="3"/>
  <c r="CP4" i="3" s="1"/>
  <c r="CO3" i="3"/>
  <c r="CO4" i="3" s="1"/>
  <c r="CN3" i="3"/>
  <c r="CN4" i="3" s="1"/>
  <c r="CM3" i="3"/>
  <c r="CM4" i="3" s="1"/>
  <c r="CJ3" i="3"/>
  <c r="CJ4" i="3" s="1"/>
  <c r="CI3" i="3"/>
  <c r="CI4" i="3" s="1"/>
  <c r="CH3" i="3"/>
  <c r="CH4" i="3" s="1"/>
  <c r="CG3" i="3"/>
  <c r="CG4" i="3" s="1"/>
  <c r="CF3" i="3"/>
  <c r="CC3" i="3"/>
  <c r="CC4" i="3" s="1"/>
  <c r="CB3" i="3"/>
  <c r="CB4" i="3" s="1"/>
  <c r="CA3" i="3"/>
  <c r="CA4" i="3" s="1"/>
  <c r="BZ3" i="3"/>
  <c r="BZ4" i="3" s="1"/>
  <c r="BY3" i="3"/>
  <c r="BY4" i="3" s="1"/>
  <c r="BV3" i="3"/>
  <c r="BV4" i="3" s="1"/>
  <c r="BU3" i="3"/>
  <c r="BT3" i="3"/>
  <c r="BT4" i="3" s="1"/>
  <c r="BS3" i="3"/>
  <c r="BS4" i="3" s="1"/>
  <c r="BR3" i="3"/>
  <c r="BR4" i="3" s="1"/>
  <c r="BO3" i="3"/>
  <c r="BO4" i="3" s="1"/>
  <c r="BN3" i="3"/>
  <c r="BN4" i="3" s="1"/>
  <c r="BM3" i="3"/>
  <c r="CR3" i="3" s="1"/>
  <c r="CR4" i="3" s="1"/>
  <c r="BK4" i="3"/>
  <c r="BE4" i="3"/>
  <c r="AW4" i="3"/>
  <c r="AR4" i="3"/>
  <c r="BM2" i="3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P2" i="3" s="1"/>
  <c r="CQ2" i="3" s="1"/>
  <c r="I9" i="2" l="1"/>
  <c r="S9" i="2"/>
  <c r="S6" i="2" s="1"/>
  <c r="T6" i="2"/>
  <c r="BM4" i="3"/>
  <c r="F10" i="1" l="1"/>
  <c r="F2" i="4"/>
  <c r="A28" i="1" l="1"/>
  <c r="E14" i="1"/>
  <c r="F29" i="1"/>
  <c r="H2" i="4" s="1"/>
  <c r="F30" i="1"/>
  <c r="I2" i="4" s="1"/>
  <c r="F31" i="1"/>
  <c r="E2" i="4" s="1"/>
  <c r="F32" i="1"/>
  <c r="D2" i="4" s="1"/>
  <c r="B28" i="1"/>
  <c r="L6" i="2" l="1"/>
  <c r="E21" i="2"/>
  <c r="C9" i="2"/>
  <c r="V10" i="5"/>
  <c r="T10" i="5"/>
  <c r="H10" i="5" s="1"/>
  <c r="K6" i="2" l="1"/>
  <c r="M6" i="2"/>
  <c r="R6" i="2"/>
  <c r="Q6" i="2"/>
  <c r="AF6" i="2"/>
  <c r="J6" i="2"/>
  <c r="G9" i="2" l="1"/>
  <c r="E16" i="1"/>
  <c r="I6" i="2"/>
  <c r="H6" i="2" l="1"/>
  <c r="F16" i="1"/>
  <c r="E21" i="1"/>
  <c r="G6" i="2" l="1"/>
  <c r="E20" i="1"/>
  <c r="F21" i="1"/>
  <c r="F20" i="1" s="1"/>
  <c r="C2" i="4" s="1"/>
  <c r="A1" i="5"/>
  <c r="A21" i="1" l="1"/>
  <c r="F6" i="2" l="1"/>
  <c r="F34" i="1" s="1"/>
  <c r="B2" i="4" s="1"/>
  <c r="AE9" i="2" l="1"/>
  <c r="E9" i="2" s="1"/>
  <c r="A1" i="2"/>
  <c r="A17" i="1" l="1"/>
  <c r="A16" i="1"/>
  <c r="E17" i="1"/>
  <c r="F17" i="1" s="1"/>
  <c r="F15" i="1" s="1"/>
  <c r="AE6" i="2"/>
  <c r="E15" i="1" l="1"/>
  <c r="E25" i="1" s="1"/>
  <c r="F25" i="1"/>
  <c r="F28" i="1" s="1"/>
  <c r="F33" i="1" s="1"/>
  <c r="F35" i="1" s="1"/>
  <c r="A2" i="4"/>
  <c r="E6" i="2"/>
  <c r="K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<sst xmlns="http://schemas.openxmlformats.org/spreadsheetml/2006/main" count="194" uniqueCount="154">
  <si>
    <t>USA: +1 (669) 377-5080 | www.NNRoad.com</t>
    <phoneticPr fontId="7" type="noConversion"/>
  </si>
  <si>
    <t>Sum</t>
    <phoneticPr fontId="0" type="noConversion"/>
  </si>
  <si>
    <t>ER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</si>
  <si>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</si>
  <si>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</si>
  <si>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</si>
  <si>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Mandatory Contribution</t>
    <phoneticPr fontId="0" type="noConversion"/>
  </si>
  <si>
    <t>Expense Claim</t>
    <phoneticPr fontId="0" type="noConversion"/>
  </si>
  <si>
    <t>Subtotal</t>
    <phoneticPr fontId="0" type="noConversion"/>
  </si>
  <si>
    <t>Recurring
Fee</t>
    <phoneticPr fontId="0" type="noConversion"/>
  </si>
  <si>
    <t>Expense
Claim</t>
    <phoneticPr fontId="0" type="noConversion"/>
  </si>
  <si>
    <t>Pay Period</t>
    <phoneticPr fontId="0" type="noConversion"/>
  </si>
  <si>
    <t>Other Fee</t>
    <phoneticPr fontId="6" type="noConversion"/>
  </si>
  <si>
    <t>EE</t>
    <phoneticPr fontId="0" type="noConversion"/>
  </si>
  <si>
    <t>Client Code</t>
  </si>
  <si>
    <t>Client Name</t>
  </si>
  <si>
    <t>EE Code</t>
  </si>
  <si>
    <t>EE Name</t>
  </si>
  <si>
    <t>Pay Period</t>
  </si>
  <si>
    <t>Net
Income</t>
    <phoneticPr fontId="0" type="noConversion"/>
  </si>
  <si>
    <t>Deduction</t>
    <phoneticPr fontId="0" type="noConversion"/>
  </si>
  <si>
    <t>From</t>
  </si>
  <si>
    <t>To</t>
  </si>
  <si>
    <t>EOR/PEO(AED)</t>
  </si>
  <si>
    <t>Company name:</t>
  </si>
  <si>
    <t>AED</t>
  </si>
  <si>
    <t>Deposit</t>
  </si>
  <si>
    <t>333 W San Carlos St., Suite 600, San Jose, CA 95113, USA</t>
    <phoneticPr fontId="7" type="noConversion"/>
  </si>
  <si>
    <t xml:space="preserve">Outstanding payment </t>
  </si>
  <si>
    <t xml:space="preserve">FX difference </t>
  </si>
  <si>
    <t>Interests of delay</t>
  </si>
  <si>
    <t>Bank Charges</t>
  </si>
  <si>
    <t xml:space="preserve">Invoice adjustment </t>
  </si>
  <si>
    <t>Direct Cost</t>
    <phoneticPr fontId="4" type="noConversion"/>
  </si>
  <si>
    <t>Business Tax</t>
    <phoneticPr fontId="4" type="noConversion"/>
  </si>
  <si>
    <t>Service Fee</t>
    <phoneticPr fontId="4" type="noConversion"/>
  </si>
  <si>
    <t xml:space="preserve">Bank Fee * </t>
    <phoneticPr fontId="4" type="noConversion"/>
  </si>
  <si>
    <t>Late Pay Fine</t>
    <phoneticPr fontId="4" type="noConversion"/>
  </si>
  <si>
    <t>Advance Payment</t>
    <phoneticPr fontId="4" type="noConversion"/>
  </si>
  <si>
    <t>Outstanding payment **</t>
    <phoneticPr fontId="6" type="noConversion"/>
  </si>
  <si>
    <t>Invoice adjustment ***</t>
    <phoneticPr fontId="6" type="noConversion"/>
  </si>
  <si>
    <t>total</t>
    <phoneticPr fontId="4" type="noConversion"/>
  </si>
  <si>
    <t>* NNRoad USD 10 + vendor bank in Vendor's invoice</t>
    <phoneticPr fontId="6" type="noConversion"/>
  </si>
  <si>
    <t>** the differnece between NNRoad PN and the amount we actually received</t>
    <phoneticPr fontId="6" type="noConversion"/>
  </si>
  <si>
    <t>*** PN adjustment with pre-payment or PN revisal</t>
    <phoneticPr fontId="6" type="noConversion"/>
  </si>
  <si>
    <t>Basic Salary</t>
  </si>
  <si>
    <t>Housing Allowance</t>
  </si>
  <si>
    <t>Deduction</t>
  </si>
  <si>
    <t>Other</t>
    <phoneticPr fontId="3" type="noConversion"/>
  </si>
  <si>
    <t>Bill to:</t>
  </si>
  <si>
    <t>INVOICE</t>
  </si>
  <si>
    <t>Invoice number</t>
  </si>
  <si>
    <t>Address:</t>
  </si>
  <si>
    <t>Due date</t>
  </si>
  <si>
    <t>Invoice date</t>
  </si>
  <si>
    <t>Description</t>
  </si>
  <si>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</si>
  <si>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Beneficiary: NNROAD, INC.
Bank Name: Chase Bank
Bank Account: 132827913
Bank Add.: 690 River Oaks Parkway Ste A, San Jose, CA 95134, USA</t>
  </si>
  <si>
    <t>EOR/PEO Cost</t>
  </si>
  <si>
    <t>Service Fee</t>
  </si>
  <si>
    <t>Approx. In USD*</t>
  </si>
  <si>
    <t xml:space="preserve">
SWIFT BIC (international transfer): CHASUS33XXX
Routing Number (domestic wire transfer): 021000021
Routing Number (domestic ACH and direct deposit): 322271627</t>
  </si>
  <si>
    <t>USD</t>
  </si>
  <si>
    <t>Currency</t>
  </si>
  <si>
    <t xml:space="preserve">Total		</t>
  </si>
  <si>
    <t>Notes:</t>
  </si>
  <si>
    <t>2. This document becomes a Tax Invoice/Receipt upon payment. Please retain a copy for your records.</t>
  </si>
  <si>
    <t>1. Please ensure that you include the Invoice Number when making your payment. This will help us accurately process and allocate your payment .</t>
  </si>
  <si>
    <t xml:space="preserve">EOR/PEO Service Cost		</t>
  </si>
  <si>
    <t xml:space="preserve">Please pay the Invoice in FULL AMOUNT </t>
  </si>
  <si>
    <t>Client ID:</t>
  </si>
  <si>
    <t>3. This is a computer generated document.  No Signature required.</t>
  </si>
  <si>
    <t xml:space="preserve">Interests of delay </t>
  </si>
  <si>
    <t xml:space="preserve">Bank Charges </t>
  </si>
  <si>
    <t>EOR/PEO Service Cost</t>
  </si>
  <si>
    <t>Tax</t>
  </si>
  <si>
    <t xml:space="preserve">Sub Total (Excluding Tax)		</t>
  </si>
  <si>
    <t xml:space="preserve"> FX difference  	</t>
  </si>
  <si>
    <t>Omal Spa SB</t>
  </si>
  <si>
    <t>Ponte Nuovo 11/1, Rodengo Saiano (BS) Italy</t>
  </si>
  <si>
    <t>c</t>
  </si>
  <si>
    <t>Standard Salary Rates</t>
  </si>
  <si>
    <t>HOURS AND DAYS WORKING</t>
  </si>
  <si>
    <t>SALARIES</t>
  </si>
  <si>
    <t>Installments</t>
  </si>
  <si>
    <t>Accruals</t>
  </si>
  <si>
    <t>Government Fees</t>
  </si>
  <si>
    <t>INVOICE VALUES</t>
  </si>
  <si>
    <t>OVERTIME 1</t>
  </si>
  <si>
    <t>Emp ID</t>
  </si>
  <si>
    <t>Employee Name</t>
  </si>
  <si>
    <t>Designation</t>
  </si>
  <si>
    <t>Payroll Currency</t>
  </si>
  <si>
    <t>Month Days</t>
  </si>
  <si>
    <t>Payroll Days</t>
  </si>
  <si>
    <t>EC - Basic Salary</t>
  </si>
  <si>
    <t>EC - Housing Allowance</t>
  </si>
  <si>
    <t>EC - Transport Allowance</t>
  </si>
  <si>
    <t>EC - School Allowance</t>
  </si>
  <si>
    <t>EC - Other allowance</t>
  </si>
  <si>
    <t>EC - Mobile Allowance</t>
  </si>
  <si>
    <t>EC - Food Allowance</t>
  </si>
  <si>
    <t>OT Eligible</t>
  </si>
  <si>
    <t>EC - Gross Salary</t>
  </si>
  <si>
    <t>EC - OT1</t>
  </si>
  <si>
    <t>EC - OT2</t>
  </si>
  <si>
    <t>EC - Workmen Comp</t>
  </si>
  <si>
    <t>EC - Localization</t>
  </si>
  <si>
    <t>EC - Gratuity Accrual</t>
  </si>
  <si>
    <t>EC - Health Insurance Installment</t>
  </si>
  <si>
    <t>EC - GOSI</t>
  </si>
  <si>
    <t>EC - Admin Fees</t>
  </si>
  <si>
    <t>Absence Days</t>
  </si>
  <si>
    <t>Days w/o Absence</t>
  </si>
  <si>
    <t>Overtime 1</t>
  </si>
  <si>
    <t>Overtime 2</t>
  </si>
  <si>
    <t>Transport Allowance</t>
  </si>
  <si>
    <t>School Allowance</t>
  </si>
  <si>
    <t>Mobile Allowance</t>
  </si>
  <si>
    <t>Food Allowance</t>
  </si>
  <si>
    <t>Other Allowance</t>
  </si>
  <si>
    <t>OT1</t>
  </si>
  <si>
    <t>OT2</t>
  </si>
  <si>
    <t>Other Adjustments</t>
  </si>
  <si>
    <t>Total Payout</t>
  </si>
  <si>
    <t>Visa</t>
  </si>
  <si>
    <t>Medical Insurance</t>
  </si>
  <si>
    <t>Total Installments</t>
  </si>
  <si>
    <t>Gratuity</t>
  </si>
  <si>
    <t>Airfare</t>
  </si>
  <si>
    <t>Annual Leave</t>
  </si>
  <si>
    <t>Other Accruals</t>
  </si>
  <si>
    <t>Total Accruals</t>
  </si>
  <si>
    <t>Ajeer</t>
  </si>
  <si>
    <t>LMRA</t>
  </si>
  <si>
    <t>Localization</t>
  </si>
  <si>
    <t>GOSI</t>
  </si>
  <si>
    <t>Workmen Comp</t>
  </si>
  <si>
    <t>Zakat</t>
  </si>
  <si>
    <t>Family Visa Levy</t>
  </si>
  <si>
    <t>Total Government Fees</t>
  </si>
  <si>
    <t>Employee payout</t>
  </si>
  <si>
    <t>Admin Fees</t>
  </si>
  <si>
    <t>Invoice total</t>
  </si>
  <si>
    <t>Total</t>
  </si>
  <si>
    <t>AX01669</t>
  </si>
  <si>
    <t>KUTAY SAMIM GOKSU</t>
  </si>
  <si>
    <t>Sales Manager</t>
  </si>
  <si>
    <t>No</t>
  </si>
  <si>
    <t>VAT number</t>
  </si>
  <si>
    <t>IT00645720988</t>
  </si>
  <si>
    <t>CNUS2025001</t>
  </si>
  <si>
    <t>CNUS2025001-0001</t>
  </si>
  <si>
    <t>PN-CNUS2025001-030520261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</si>
</sst>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_(* #,##0_);_(* \(#,##0\);_(* &quot;-&quot;??_);_(@_)"/>
    <numFmt numFmtId="168" formatCode="0.0000"/>
    <numFmt numFmtId="169" formatCode="_-* #,##0.00_-;\-* #,##0.00_-;_-* &quot;-&quot;??_-;_-@_-"/>
    <numFmt numFmtId="170" formatCode="[$-1010000]d/m/yyyy;@"/>
  </numFmts>
  <fonts count="42">
    <font>
      <sz val="11"/>
      <color theme="1"/>
      <name val="Calibri"/>
      <family val="2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color rgb="FFFA7D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DD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/>
      <right/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0" borderId="0">
      <alignment vertical="center"/>
    </xf>
    <xf numFmtId="165" fontId="11" fillId="0" borderId="0" applyFont="0" applyFill="0" applyBorder="0" applyAlignment="0" applyProtection="0"/>
    <xf numFmtId="169" fontId="11" fillId="0" borderId="0" applyFont="0" applyFill="0" applyBorder="0" applyAlignment="0" applyProtection="0"/>
  </cellStyleXfs>
  <cellXfs count="2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40" fontId="2" fillId="2" borderId="7" xfId="0" applyNumberFormat="1" applyFont="1" applyFill="1" applyBorder="1" applyAlignment="1">
      <alignment vertical="center"/>
    </xf>
    <xf numFmtId="40" fontId="2" fillId="2" borderId="16" xfId="0" applyNumberFormat="1" applyFont="1" applyFill="1" applyBorder="1" applyAlignment="1">
      <alignment vertical="center"/>
    </xf>
    <xf numFmtId="40" fontId="2" fillId="2" borderId="8" xfId="0" applyNumberFormat="1" applyFont="1" applyFill="1" applyBorder="1" applyAlignment="1">
      <alignment vertical="center"/>
    </xf>
    <xf numFmtId="40" fontId="2" fillId="2" borderId="9" xfId="0" applyNumberFormat="1" applyFont="1" applyFill="1" applyBorder="1" applyAlignment="1">
      <alignment vertical="center"/>
    </xf>
    <xf numFmtId="40" fontId="2" fillId="2" borderId="17" xfId="0" applyNumberFormat="1" applyFont="1" applyFill="1" applyBorder="1" applyAlignment="1">
      <alignment vertical="center"/>
    </xf>
    <xf numFmtId="40" fontId="2" fillId="2" borderId="1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40" fontId="2" fillId="2" borderId="11" xfId="0" applyNumberFormat="1" applyFont="1" applyFill="1" applyBorder="1" applyAlignment="1">
      <alignment vertical="center"/>
    </xf>
    <xf numFmtId="40" fontId="2" fillId="2" borderId="18" xfId="0" applyNumberFormat="1" applyFont="1" applyFill="1" applyBorder="1" applyAlignment="1">
      <alignment vertical="center"/>
    </xf>
    <xf numFmtId="40" fontId="2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vertical="center"/>
    </xf>
    <xf numFmtId="0" fontId="4" fillId="0" borderId="0" xfId="1">
      <alignment vertical="center"/>
    </xf>
    <xf numFmtId="40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40" fontId="10" fillId="0" borderId="24" xfId="0" applyNumberFormat="1" applyFont="1" applyBorder="1" applyAlignment="1">
      <alignment vertical="center"/>
    </xf>
    <xf numFmtId="40" fontId="10" fillId="0" borderId="25" xfId="0" applyNumberFormat="1" applyFont="1" applyBorder="1" applyAlignment="1">
      <alignment vertical="center"/>
    </xf>
    <xf numFmtId="40" fontId="10" fillId="0" borderId="26" xfId="0" applyNumberFormat="1" applyFont="1" applyBorder="1" applyAlignment="1">
      <alignment vertical="center"/>
    </xf>
    <xf numFmtId="40" fontId="10" fillId="0" borderId="27" xfId="0" applyNumberFormat="1" applyFont="1" applyBorder="1" applyAlignment="1">
      <alignment vertical="center"/>
    </xf>
    <xf numFmtId="40" fontId="10" fillId="0" borderId="28" xfId="0" applyNumberFormat="1" applyFont="1" applyBorder="1" applyAlignment="1">
      <alignment vertical="center"/>
    </xf>
    <xf numFmtId="40" fontId="10" fillId="0" borderId="29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166" fontId="15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14" fontId="21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40" fontId="25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65" fontId="25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14" fontId="29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/>
    </xf>
    <xf numFmtId="166" fontId="32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/>
    </xf>
    <xf numFmtId="166" fontId="26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top" wrapText="1"/>
    </xf>
    <xf numFmtId="164" fontId="15" fillId="0" borderId="0" xfId="0" applyNumberFormat="1" applyFont="1" applyAlignment="1">
      <alignment vertical="center"/>
    </xf>
    <xf numFmtId="164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5" borderId="34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/>
    </xf>
    <xf numFmtId="0" fontId="1" fillId="0" borderId="40" xfId="0" applyFont="1" applyBorder="1" applyAlignment="1">
      <alignment vertical="center"/>
    </xf>
    <xf numFmtId="0" fontId="33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3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2"/>
    </xf>
    <xf numFmtId="165" fontId="18" fillId="0" borderId="0" xfId="0" applyNumberFormat="1" applyFont="1" applyAlignment="1">
      <alignment horizontal="left" vertical="center" indent="1"/>
    </xf>
    <xf numFmtId="165" fontId="33" fillId="0" borderId="0" xfId="0" applyNumberFormat="1" applyFont="1" applyAlignment="1">
      <alignment horizontal="left" vertical="center"/>
    </xf>
    <xf numFmtId="164" fontId="34" fillId="0" borderId="33" xfId="0" applyNumberFormat="1" applyFont="1" applyBorder="1" applyAlignment="1">
      <alignment horizontal="left" vertical="center"/>
    </xf>
    <xf numFmtId="164" fontId="18" fillId="0" borderId="33" xfId="0" applyNumberFormat="1" applyFont="1" applyBorder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164" fontId="33" fillId="0" borderId="33" xfId="0" applyNumberFormat="1" applyFont="1" applyBorder="1" applyAlignment="1">
      <alignment horizontal="left" vertical="center"/>
    </xf>
    <xf numFmtId="165" fontId="15" fillId="0" borderId="0" xfId="0" applyNumberFormat="1" applyFont="1" applyAlignment="1">
      <alignment horizontal="left" vertical="center"/>
    </xf>
    <xf numFmtId="164" fontId="15" fillId="0" borderId="33" xfId="0" applyNumberFormat="1" applyFont="1" applyBorder="1" applyAlignment="1">
      <alignment horizontal="left" vertical="center"/>
    </xf>
    <xf numFmtId="165" fontId="25" fillId="0" borderId="38" xfId="0" applyNumberFormat="1" applyFont="1" applyBorder="1" applyAlignment="1">
      <alignment horizontal="left" vertical="center"/>
    </xf>
    <xf numFmtId="164" fontId="25" fillId="0" borderId="39" xfId="0" applyNumberFormat="1" applyFont="1" applyBorder="1" applyAlignment="1">
      <alignment horizontal="left" vertical="center"/>
    </xf>
    <xf numFmtId="168" fontId="27" fillId="0" borderId="0" xfId="0" applyNumberFormat="1" applyFont="1" applyAlignment="1">
      <alignment horizontal="left" vertical="center" indent="1"/>
    </xf>
    <xf numFmtId="164" fontId="35" fillId="0" borderId="44" xfId="0" applyNumberFormat="1" applyFont="1" applyBorder="1" applyAlignment="1">
      <alignment horizontal="right" vertical="center"/>
    </xf>
    <xf numFmtId="164" fontId="35" fillId="0" borderId="46" xfId="0" applyNumberFormat="1" applyFont="1" applyBorder="1" applyAlignment="1">
      <alignment horizontal="right" vertical="center"/>
    </xf>
    <xf numFmtId="164" fontId="35" fillId="0" borderId="48" xfId="0" applyNumberFormat="1" applyFont="1" applyBorder="1" applyAlignment="1">
      <alignment horizontal="right" vertical="center"/>
    </xf>
    <xf numFmtId="164" fontId="20" fillId="0" borderId="46" xfId="0" applyNumberFormat="1" applyFont="1" applyBorder="1" applyAlignment="1">
      <alignment horizontal="right" vertical="center"/>
    </xf>
    <xf numFmtId="164" fontId="20" fillId="0" borderId="51" xfId="0" applyNumberFormat="1" applyFont="1" applyBorder="1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6" borderId="0" xfId="0" applyFill="1" applyAlignment="1">
      <alignment vertical="center" wrapText="1"/>
    </xf>
    <xf numFmtId="0" fontId="38" fillId="0" borderId="0" xfId="0" applyFont="1"/>
    <xf numFmtId="0" fontId="36" fillId="7" borderId="59" xfId="0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center" vertical="center" wrapText="1"/>
    </xf>
    <xf numFmtId="2" fontId="36" fillId="8" borderId="58" xfId="0" applyNumberFormat="1" applyFont="1" applyFill="1" applyBorder="1" applyAlignment="1">
      <alignment horizontal="center" vertical="center" wrapText="1"/>
    </xf>
    <xf numFmtId="169" fontId="36" fillId="8" borderId="58" xfId="3" applyFont="1" applyFill="1" applyBorder="1" applyAlignment="1">
      <alignment horizontal="center" vertical="center" wrapText="1"/>
    </xf>
    <xf numFmtId="2" fontId="36" fillId="9" borderId="58" xfId="0" applyNumberFormat="1" applyFont="1" applyFill="1" applyBorder="1" applyAlignment="1">
      <alignment horizontal="center" vertical="center" wrapText="1"/>
    </xf>
    <xf numFmtId="2" fontId="36" fillId="13" borderId="58" xfId="0" applyNumberFormat="1" applyFont="1" applyFill="1" applyBorder="1" applyAlignment="1">
      <alignment horizontal="center" vertical="center" wrapText="1"/>
    </xf>
    <xf numFmtId="2" fontId="36" fillId="10" borderId="58" xfId="0" applyNumberFormat="1" applyFont="1" applyFill="1" applyBorder="1" applyAlignment="1">
      <alignment horizontal="center" vertical="center" wrapText="1"/>
    </xf>
    <xf numFmtId="2" fontId="39" fillId="14" borderId="58" xfId="0" applyNumberFormat="1" applyFont="1" applyFill="1" applyBorder="1" applyAlignment="1">
      <alignment horizontal="center" vertical="center" wrapText="1"/>
    </xf>
    <xf numFmtId="2" fontId="36" fillId="2" borderId="58" xfId="0" applyNumberFormat="1" applyFont="1" applyFill="1" applyBorder="1" applyAlignment="1">
      <alignment horizontal="center" vertical="center" wrapText="1"/>
    </xf>
    <xf numFmtId="2" fontId="36" fillId="11" borderId="58" xfId="0" applyNumberFormat="1" applyFont="1" applyFill="1" applyBorder="1" applyAlignment="1">
      <alignment horizontal="center" vertical="center" wrapText="1"/>
    </xf>
    <xf numFmtId="2" fontId="37" fillId="12" borderId="58" xfId="0" applyNumberFormat="1" applyFont="1" applyFill="1" applyBorder="1" applyAlignment="1">
      <alignment horizontal="center" vertical="center" wrapText="1"/>
    </xf>
    <xf numFmtId="2" fontId="37" fillId="12" borderId="55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167" fontId="38" fillId="9" borderId="58" xfId="2" applyNumberFormat="1" applyFont="1" applyFill="1" applyBorder="1" applyAlignment="1">
      <alignment horizontal="center" vertical="center" wrapText="1"/>
    </xf>
    <xf numFmtId="167" fontId="38" fillId="10" borderId="58" xfId="2" applyNumberFormat="1" applyFont="1" applyFill="1" applyBorder="1" applyAlignment="1">
      <alignment horizontal="center" vertical="center" wrapText="1"/>
    </xf>
    <xf numFmtId="0" fontId="38" fillId="0" borderId="60" xfId="0" applyFont="1" applyBorder="1" applyAlignment="1">
      <alignment horizontal="center"/>
    </xf>
    <xf numFmtId="0" fontId="38" fillId="0" borderId="60" xfId="0" applyFont="1" applyBorder="1" applyAlignment="1">
      <alignment horizontal="left"/>
    </xf>
    <xf numFmtId="167" fontId="38" fillId="0" borderId="60" xfId="2" applyNumberFormat="1" applyFont="1" applyFill="1" applyBorder="1" applyAlignment="1">
      <alignment horizontal="center"/>
    </xf>
    <xf numFmtId="170" fontId="38" fillId="0" borderId="60" xfId="0" applyNumberFormat="1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5" fontId="38" fillId="8" borderId="60" xfId="2" applyFont="1" applyFill="1" applyBorder="1" applyAlignment="1">
      <alignment horizontal="left"/>
    </xf>
    <xf numFmtId="165" fontId="38" fillId="9" borderId="60" xfId="2" applyFont="1" applyFill="1" applyBorder="1" applyAlignment="1">
      <alignment horizontal="left"/>
    </xf>
    <xf numFmtId="165" fontId="38" fillId="13" borderId="60" xfId="2" applyFont="1" applyFill="1" applyBorder="1" applyAlignment="1">
      <alignment horizontal="left"/>
    </xf>
    <xf numFmtId="165" fontId="38" fillId="10" borderId="60" xfId="2" applyFont="1" applyFill="1" applyBorder="1" applyAlignment="1">
      <alignment horizontal="left"/>
    </xf>
    <xf numFmtId="165" fontId="40" fillId="14" borderId="60" xfId="2" applyFont="1" applyFill="1" applyBorder="1" applyAlignment="1">
      <alignment horizontal="left"/>
    </xf>
    <xf numFmtId="165" fontId="38" fillId="2" borderId="60" xfId="2" applyFont="1" applyFill="1" applyBorder="1" applyAlignment="1">
      <alignment horizontal="left"/>
    </xf>
    <xf numFmtId="165" fontId="38" fillId="11" borderId="60" xfId="2" applyFont="1" applyFill="1" applyBorder="1" applyAlignment="1">
      <alignment horizontal="left"/>
    </xf>
    <xf numFmtId="165" fontId="29" fillId="12" borderId="60" xfId="2" applyFont="1" applyFill="1" applyBorder="1" applyAlignment="1">
      <alignment horizontal="left"/>
    </xf>
    <xf numFmtId="165" fontId="29" fillId="12" borderId="52" xfId="2" applyFont="1" applyFill="1" applyBorder="1" applyAlignment="1">
      <alignment horizontal="left"/>
    </xf>
    <xf numFmtId="165" fontId="41" fillId="0" borderId="0" xfId="0" applyNumberFormat="1" applyFont="1"/>
    <xf numFmtId="165" fontId="38" fillId="9" borderId="58" xfId="2" applyFont="1" applyFill="1" applyBorder="1"/>
    <xf numFmtId="165" fontId="38" fillId="10" borderId="58" xfId="2" applyFont="1" applyFill="1" applyBorder="1"/>
    <xf numFmtId="0" fontId="38" fillId="0" borderId="61" xfId="0" applyFont="1" applyBorder="1" applyAlignment="1">
      <alignment horizontal="center"/>
    </xf>
    <xf numFmtId="0" fontId="38" fillId="0" borderId="61" xfId="0" applyFont="1" applyBorder="1" applyAlignment="1">
      <alignment horizontal="left"/>
    </xf>
    <xf numFmtId="0" fontId="38" fillId="0" borderId="62" xfId="0" applyFont="1" applyBorder="1" applyAlignment="1">
      <alignment horizontal="center"/>
    </xf>
    <xf numFmtId="165" fontId="38" fillId="8" borderId="61" xfId="0" applyNumberFormat="1" applyFont="1" applyFill="1" applyBorder="1" applyAlignment="1">
      <alignment horizontal="left"/>
    </xf>
    <xf numFmtId="0" fontId="0" fillId="8" borderId="0" xfId="0" applyFill="1"/>
    <xf numFmtId="165" fontId="38" fillId="9" borderId="61" xfId="0" applyNumberFormat="1" applyFont="1" applyFill="1" applyBorder="1" applyAlignment="1">
      <alignment horizontal="left"/>
    </xf>
    <xf numFmtId="165" fontId="38" fillId="13" borderId="61" xfId="0" applyNumberFormat="1" applyFont="1" applyFill="1" applyBorder="1" applyAlignment="1">
      <alignment horizontal="left"/>
    </xf>
    <xf numFmtId="165" fontId="38" fillId="10" borderId="61" xfId="0" applyNumberFormat="1" applyFont="1" applyFill="1" applyBorder="1" applyAlignment="1">
      <alignment horizontal="left"/>
    </xf>
    <xf numFmtId="165" fontId="40" fillId="14" borderId="61" xfId="0" applyNumberFormat="1" applyFont="1" applyFill="1" applyBorder="1" applyAlignment="1">
      <alignment horizontal="left"/>
    </xf>
    <xf numFmtId="165" fontId="38" fillId="2" borderId="61" xfId="0" applyNumberFormat="1" applyFont="1" applyFill="1" applyBorder="1" applyAlignment="1">
      <alignment horizontal="left"/>
    </xf>
    <xf numFmtId="165" fontId="38" fillId="11" borderId="61" xfId="0" applyNumberFormat="1" applyFont="1" applyFill="1" applyBorder="1" applyAlignment="1">
      <alignment horizontal="left"/>
    </xf>
    <xf numFmtId="165" fontId="29" fillId="12" borderId="62" xfId="0" applyNumberFormat="1" applyFont="1" applyFill="1" applyBorder="1" applyAlignment="1">
      <alignment horizontal="left"/>
    </xf>
    <xf numFmtId="165" fontId="38" fillId="0" borderId="0" xfId="0" applyNumberFormat="1" applyFont="1"/>
    <xf numFmtId="165" fontId="36" fillId="9" borderId="58" xfId="2" applyFont="1" applyFill="1" applyBorder="1"/>
    <xf numFmtId="165" fontId="36" fillId="10" borderId="58" xfId="2" applyFont="1" applyFill="1" applyBorder="1"/>
    <xf numFmtId="2" fontId="2" fillId="0" borderId="6" xfId="0" applyNumberFormat="1" applyFont="1" applyBorder="1" applyAlignment="1">
      <alignment horizontal="center" vertical="center"/>
    </xf>
    <xf numFmtId="14" fontId="0" fillId="2" borderId="0" xfId="0" applyNumberForma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20" fillId="0" borderId="32" xfId="0" applyFont="1" applyBorder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18" fillId="0" borderId="32" xfId="0" applyFont="1" applyBorder="1" applyAlignment="1">
      <alignment horizontal="left" vertical="center" indent="2"/>
    </xf>
    <xf numFmtId="0" fontId="18" fillId="0" borderId="0" xfId="0" applyFont="1" applyAlignment="1">
      <alignment horizontal="left" vertical="center" indent="2"/>
    </xf>
    <xf numFmtId="0" fontId="20" fillId="4" borderId="0" xfId="0" applyFont="1" applyFill="1" applyAlignment="1">
      <alignment horizontal="center"/>
    </xf>
    <xf numFmtId="0" fontId="29" fillId="0" borderId="0" xfId="0" applyFont="1" applyAlignment="1">
      <alignment horizontal="right" vertical="top" wrapText="1"/>
    </xf>
    <xf numFmtId="0" fontId="33" fillId="0" borderId="32" xfId="0" applyFont="1" applyBorder="1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18" fillId="0" borderId="3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2" xfId="0" applyFont="1" applyBorder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25" fillId="0" borderId="37" xfId="0" applyFont="1" applyBorder="1" applyAlignment="1">
      <alignment horizontal="left" vertical="center" indent="1"/>
    </xf>
    <xf numFmtId="0" fontId="25" fillId="0" borderId="38" xfId="0" applyFont="1" applyBorder="1" applyAlignment="1">
      <alignment horizontal="left" vertical="center" indent="1"/>
    </xf>
    <xf numFmtId="0" fontId="16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18" fillId="0" borderId="32" xfId="0" applyFont="1" applyBorder="1" applyAlignment="1">
      <alignment horizontal="left" vertical="center" indent="3"/>
    </xf>
    <xf numFmtId="0" fontId="18" fillId="0" borderId="0" xfId="0" applyFont="1" applyAlignment="1">
      <alignment horizontal="left" vertical="center" indent="3"/>
    </xf>
    <xf numFmtId="0" fontId="24" fillId="5" borderId="35" xfId="0" applyFont="1" applyFill="1" applyBorder="1" applyAlignment="1">
      <alignment horizontal="center" vertical="center"/>
    </xf>
    <xf numFmtId="0" fontId="24" fillId="5" borderId="34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 wrapText="1" indent="2"/>
    </xf>
    <xf numFmtId="166" fontId="15" fillId="3" borderId="30" xfId="0" applyNumberFormat="1" applyFont="1" applyFill="1" applyBorder="1" applyAlignment="1">
      <alignment horizontal="left" vertical="center" wrapText="1" indent="2"/>
    </xf>
    <xf numFmtId="166" fontId="15" fillId="3" borderId="31" xfId="0" applyNumberFormat="1" applyFont="1" applyFill="1" applyBorder="1" applyAlignment="1">
      <alignment horizontal="left" vertical="center" wrapText="1" indent="2"/>
    </xf>
    <xf numFmtId="165" fontId="35" fillId="0" borderId="42" xfId="0" applyNumberFormat="1" applyFont="1" applyBorder="1" applyAlignment="1">
      <alignment horizontal="right" vertical="center"/>
    </xf>
    <xf numFmtId="165" fontId="35" fillId="0" borderId="43" xfId="0" applyNumberFormat="1" applyFont="1" applyBorder="1" applyAlignment="1">
      <alignment horizontal="right" vertical="center"/>
    </xf>
    <xf numFmtId="165" fontId="35" fillId="0" borderId="45" xfId="0" applyNumberFormat="1" applyFont="1" applyBorder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40" fontId="35" fillId="0" borderId="47" xfId="0" applyNumberFormat="1" applyFont="1" applyBorder="1" applyAlignment="1">
      <alignment horizontal="right" vertical="center"/>
    </xf>
    <xf numFmtId="40" fontId="35" fillId="0" borderId="41" xfId="0" applyNumberFormat="1" applyFont="1" applyBorder="1" applyAlignment="1">
      <alignment horizontal="right" vertical="center"/>
    </xf>
    <xf numFmtId="165" fontId="20" fillId="0" borderId="45" xfId="0" applyNumberFormat="1" applyFont="1" applyBorder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5" fontId="20" fillId="0" borderId="45" xfId="0" applyNumberFormat="1" applyFont="1" applyBorder="1" applyAlignment="1">
      <alignment horizontal="right" vertical="center" indent="1"/>
    </xf>
    <xf numFmtId="165" fontId="20" fillId="0" borderId="0" xfId="0" applyNumberFormat="1" applyFont="1" applyAlignment="1">
      <alignment horizontal="right" vertical="center" indent="1"/>
    </xf>
    <xf numFmtId="165" fontId="20" fillId="0" borderId="49" xfId="0" applyNumberFormat="1" applyFont="1" applyBorder="1" applyAlignment="1">
      <alignment horizontal="right" vertical="center"/>
    </xf>
    <xf numFmtId="165" fontId="20" fillId="0" borderId="50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36" fillId="7" borderId="52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6" fillId="8" borderId="55" xfId="0" applyFont="1" applyFill="1" applyBorder="1" applyAlignment="1">
      <alignment horizontal="center" vertical="center"/>
    </xf>
    <xf numFmtId="0" fontId="36" fillId="8" borderId="56" xfId="0" applyFont="1" applyFill="1" applyBorder="1" applyAlignment="1">
      <alignment horizontal="center" vertical="center"/>
    </xf>
    <xf numFmtId="0" fontId="36" fillId="8" borderId="57" xfId="0" applyFont="1" applyFill="1" applyBorder="1" applyAlignment="1">
      <alignment horizontal="center" vertical="center"/>
    </xf>
    <xf numFmtId="2" fontId="37" fillId="12" borderId="55" xfId="0" applyNumberFormat="1" applyFont="1" applyFill="1" applyBorder="1" applyAlignment="1">
      <alignment horizontal="center"/>
    </xf>
    <xf numFmtId="2" fontId="37" fillId="12" borderId="56" xfId="0" applyNumberFormat="1" applyFont="1" applyFill="1" applyBorder="1" applyAlignment="1">
      <alignment horizontal="center"/>
    </xf>
    <xf numFmtId="2" fontId="37" fillId="12" borderId="57" xfId="0" applyNumberFormat="1" applyFont="1" applyFill="1" applyBorder="1" applyAlignment="1">
      <alignment horizontal="center"/>
    </xf>
    <xf numFmtId="165" fontId="36" fillId="9" borderId="58" xfId="2" applyFont="1" applyFill="1" applyBorder="1" applyAlignment="1">
      <alignment horizontal="center"/>
    </xf>
    <xf numFmtId="2" fontId="36" fillId="9" borderId="55" xfId="0" applyNumberFormat="1" applyFont="1" applyFill="1" applyBorder="1" applyAlignment="1">
      <alignment horizontal="center" vertical="center"/>
    </xf>
    <xf numFmtId="2" fontId="36" fillId="9" borderId="56" xfId="0" applyNumberFormat="1" applyFont="1" applyFill="1" applyBorder="1" applyAlignment="1">
      <alignment horizontal="center" vertical="center"/>
    </xf>
    <xf numFmtId="2" fontId="36" fillId="9" borderId="57" xfId="0" applyNumberFormat="1" applyFont="1" applyFill="1" applyBorder="1" applyAlignment="1">
      <alignment horizontal="center" vertical="center"/>
    </xf>
    <xf numFmtId="2" fontId="36" fillId="10" borderId="55" xfId="0" applyNumberFormat="1" applyFont="1" applyFill="1" applyBorder="1" applyAlignment="1">
      <alignment horizontal="center"/>
    </xf>
    <xf numFmtId="2" fontId="36" fillId="10" borderId="56" xfId="0" applyNumberFormat="1" applyFont="1" applyFill="1" applyBorder="1" applyAlignment="1">
      <alignment horizontal="center"/>
    </xf>
    <xf numFmtId="2" fontId="36" fillId="10" borderId="57" xfId="0" applyNumberFormat="1" applyFont="1" applyFill="1" applyBorder="1" applyAlignment="1">
      <alignment horizontal="center"/>
    </xf>
    <xf numFmtId="2" fontId="36" fillId="2" borderId="55" xfId="0" applyNumberFormat="1" applyFont="1" applyFill="1" applyBorder="1" applyAlignment="1">
      <alignment horizontal="center"/>
    </xf>
    <xf numFmtId="2" fontId="36" fillId="2" borderId="56" xfId="0" applyNumberFormat="1" applyFont="1" applyFill="1" applyBorder="1" applyAlignment="1">
      <alignment horizontal="center"/>
    </xf>
    <xf numFmtId="2" fontId="36" fillId="2" borderId="57" xfId="0" applyNumberFormat="1" applyFont="1" applyFill="1" applyBorder="1" applyAlignment="1">
      <alignment horizontal="center"/>
    </xf>
    <xf numFmtId="2" fontId="36" fillId="9" borderId="55" xfId="0" applyNumberFormat="1" applyFont="1" applyFill="1" applyBorder="1" applyAlignment="1">
      <alignment horizontal="center"/>
    </xf>
    <xf numFmtId="2" fontId="36" fillId="9" borderId="56" xfId="0" applyNumberFormat="1" applyFont="1" applyFill="1" applyBorder="1" applyAlignment="1">
      <alignment horizontal="center"/>
    </xf>
    <xf numFmtId="2" fontId="36" fillId="11" borderId="56" xfId="0" applyNumberFormat="1" applyFont="1" applyFill="1" applyBorder="1" applyAlignment="1">
      <alignment horizontal="center"/>
    </xf>
    <xf numFmtId="2" fontId="36" fillId="11" borderId="57" xfId="0" applyNumberFormat="1" applyFont="1" applyFill="1" applyBorder="1" applyAlignment="1">
      <alignment horizontal="center"/>
    </xf>
  </cellXfs>
  <cellStyles count="4">
    <cellStyle name="Comma" xfId="2" builtinId="3"/>
    <cellStyle name="Comma 3" xfId="3" xr:uid="{7C6C9A76-07F3-5243-A48A-F52A76F0299B}"/>
    <cellStyle name="Normal" xfId="0" builtinId="0"/>
    <cellStyle name="常规 2" xfId="1" xr:uid="{43AA1550-6345-4C45-AE3A-35D24DE6446E}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1010000]d/m/yyyy;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1010000]d/m/yyyy;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_(* #,##0_);_(* \(#,##0\);_(* &quot;-&quot;??_);_(@_)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BED8EE"/>
      <color rgb="FF9BC2E7"/>
      <color rgb="FFE2F0FF"/>
      <color rgb="FFEFF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EFD7F45-4822-4B5B-8168-B6799C295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67857" cy="5356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CA0F3-1056-9D49-BBBC-B4474FF6B258}" name="Table1" displayName="Table1" ref="A2:BK4" totalsRowCount="1" headerRowDxfId="129" dataDxfId="128" tableBorderDxfId="127" dataCellStyle="Comma">
  <autoFilter ref="A2:BK3" xr:uid="{49DCA0F3-1056-9D49-BBBC-B4474FF6B258}"/>
  <tableColumns count="63">
    <tableColumn id="1" xr3:uid="{C6BF4542-583E-8F49-866B-DFF33B8A7084}" name="Emp ID" totalsRowLabel="Total" dataDxfId="125" totalsRowDxfId="62"/>
    <tableColumn id="2" xr3:uid="{3ECC41E2-D03A-F84C-903D-09E7B80CFD9F}" name="Employee Name" dataDxfId="124" totalsRowDxfId="61"/>
    <tableColumn id="3" xr3:uid="{8F764D8C-4783-6C4A-BBB3-A1D099C5AF19}" name="Designation" dataDxfId="123" totalsRowDxfId="60"/>
    <tableColumn id="4" xr3:uid="{948CAB59-2B33-854A-ACDD-0541897255E2}" name="Payroll Currency" dataDxfId="122" totalsRowDxfId="59"/>
    <tableColumn id="5" xr3:uid="{117A8A2C-FED0-C741-8201-66D72F747E12}" name="Month Days" dataDxfId="121" totalsRowDxfId="58" dataCellStyle="Comma"/>
    <tableColumn id="6" xr3:uid="{91AB5910-2F1F-0349-8AD9-19ABEB8D7EC5}" name="From" dataDxfId="120" totalsRowDxfId="57"/>
    <tableColumn id="7" xr3:uid="{E9AA19EC-9304-284D-BEA4-103F965D8EB0}" name="To" dataDxfId="119" totalsRowDxfId="56"/>
    <tableColumn id="8" xr3:uid="{60611E9E-C381-6543-8A4A-B59D231BA0BB}" name="Payroll Days" dataDxfId="118" totalsRowDxfId="55"/>
    <tableColumn id="9" xr3:uid="{CC5BD4F7-A961-0044-AE72-B8B8554761F6}" name="EC - Basic Salary" dataDxfId="117" totalsRowDxfId="54" dataCellStyle="Comma"/>
    <tableColumn id="30" xr3:uid="{4E4A8C3B-F4F7-0347-9454-4074D4D22D62}" name="EC - Housing Allowance" dataDxfId="116" totalsRowDxfId="53" dataCellStyle="Comma"/>
    <tableColumn id="34" xr3:uid="{307F15D1-CCD9-2C4C-96E4-16BD8D4098B8}" name="EC - Transport Allowance" dataDxfId="115" totalsRowDxfId="52" dataCellStyle="Comma"/>
    <tableColumn id="35" xr3:uid="{3749B222-E63A-B747-937C-4BF60F650345}" name="EC - School Allowance" dataDxfId="114" totalsRowDxfId="51" dataCellStyle="Comma"/>
    <tableColumn id="36" xr3:uid="{0DD6DE2B-8C1D-9C4F-9AFB-D823C14B534D}" name="EC - Other allowance" dataDxfId="113" totalsRowDxfId="50" dataCellStyle="Comma"/>
    <tableColumn id="37" xr3:uid="{FD1E04DE-EA8D-C04E-8176-3EABC9B2DC70}" name="EC - Mobile Allowance" dataDxfId="112" totalsRowDxfId="49" dataCellStyle="Comma"/>
    <tableColumn id="38" xr3:uid="{7A54D591-D87A-E743-9DB1-97FAA4B3CFB1}" name="EC - Food Allowance" dataDxfId="111" totalsRowDxfId="48" dataCellStyle="Comma"/>
    <tableColumn id="40" xr3:uid="{9E09CC5F-5D12-634F-9A2A-E3AFB22747DA}" name="OT Eligible" dataDxfId="110" totalsRowDxfId="47" dataCellStyle="Comma"/>
    <tableColumn id="41" xr3:uid="{7B2A204C-0635-5B43-9242-CFF796CB6FE9}" name="EC - Gross Salary" dataDxfId="109" totalsRowDxfId="46" dataCellStyle="Comma"/>
    <tableColumn id="42" xr3:uid="{9096BFCF-66A6-0146-AF86-9FA998F204DF}" name="EC - OT1" dataDxfId="108" totalsRowDxfId="45" dataCellStyle="Comma"/>
    <tableColumn id="43" xr3:uid="{8DD00157-C04E-0540-901D-226B2CE8AC2D}" name="EC - OT2" dataDxfId="107" totalsRowDxfId="44" dataCellStyle="Comma"/>
    <tableColumn id="45" xr3:uid="{14F81F67-73F1-D947-BCB8-0BECF1C7A53A}" name="EC - Workmen Comp" dataDxfId="106" totalsRowDxfId="43" dataCellStyle="Comma"/>
    <tableColumn id="46" xr3:uid="{4D2646A8-AF9A-F845-A531-7BD94DBA6A61}" name="EC - Localization" dataDxfId="105" totalsRowDxfId="42" dataCellStyle="Comma"/>
    <tableColumn id="47" xr3:uid="{38BB4760-228E-534E-80DA-2CF0B6F7D8D7}" name="EC - Gratuity Accrual" dataDxfId="104" totalsRowDxfId="41" dataCellStyle="Comma"/>
    <tableColumn id="48" xr3:uid="{13071F2D-2EE9-0C47-912B-F28F0303B8D1}" name="EC - Health Insurance Installment" dataDxfId="103" totalsRowDxfId="40" dataCellStyle="Comma"/>
    <tableColumn id="51" xr3:uid="{A380CD67-0840-DC49-ABF0-8AD97B9AD61B}" name="EC - GOSI" dataDxfId="102" totalsRowDxfId="39" dataCellStyle="Comma"/>
    <tableColumn id="49" xr3:uid="{8A72F71E-3ACF-6A4F-95EE-A4635D96E5EB}" name="EC - Admin Fees" dataDxfId="101" totalsRowDxfId="38" dataCellStyle="Comma"/>
    <tableColumn id="10" xr3:uid="{F5242324-6C0A-FE43-83A6-3FE9CC435B10}" name="Absence Days" dataDxfId="100" totalsRowDxfId="37" dataCellStyle="Comma"/>
    <tableColumn id="11" xr3:uid="{D831B2AD-E770-0D4F-A73D-E86CF0B6050C}" name="Days w/o Absence" dataDxfId="99" totalsRowDxfId="36" dataCellStyle="Comma"/>
    <tableColumn id="12" xr3:uid="{4107AEA8-07FA-CF4C-A1F9-A969E7FE78AD}" name="Overtime 1" dataDxfId="98" totalsRowDxfId="35" dataCellStyle="Comma"/>
    <tableColumn id="13" xr3:uid="{2687F0F5-2D04-554E-AE02-D59A3A5C8D90}" name="Overtime 2" dataDxfId="97" totalsRowDxfId="34" dataCellStyle="Comma"/>
    <tableColumn id="14" xr3:uid="{96A147C1-F6D0-2D42-B061-C4749720A5FD}" name="Basic Salary" dataDxfId="96" totalsRowDxfId="33" dataCellStyle="Comma"/>
    <tableColumn id="15" xr3:uid="{91B0C05C-B4F8-4240-A058-3B72E343B533}" name="Housing Allowance" dataDxfId="95" totalsRowDxfId="32" dataCellStyle="Comma"/>
    <tableColumn id="16" xr3:uid="{6A701E4E-6241-9F4D-A6F2-2DAA9254A8C7}" name="Transport Allowance" dataDxfId="94" totalsRowDxfId="31" dataCellStyle="Comma"/>
    <tableColumn id="17" xr3:uid="{B44EA1C7-8D04-A54F-8F67-7D7AFD6ABF9E}" name="School Allowance" dataDxfId="93" totalsRowDxfId="30" dataCellStyle="Comma"/>
    <tableColumn id="19" xr3:uid="{C0735756-567A-2C4D-97D1-C52E01FDB779}" name="Mobile Allowance" dataDxfId="92" totalsRowDxfId="29" dataCellStyle="Comma"/>
    <tableColumn id="20" xr3:uid="{63A1DBE7-133A-9D40-A1C3-AC4865C3B1B8}" name="Food Allowance" dataDxfId="91" totalsRowDxfId="28" dataCellStyle="Comma"/>
    <tableColumn id="66" xr3:uid="{4FBC4712-3BC2-A74D-9BD5-8950D40DF232}" name="Other Allowance" dataDxfId="90" totalsRowDxfId="27" dataCellStyle="Comma"/>
    <tableColumn id="21" xr3:uid="{02F7E61C-5F56-804B-9562-DD9564DBA8ED}" name="OT1" dataDxfId="89" totalsRowDxfId="26" dataCellStyle="Comma"/>
    <tableColumn id="22" xr3:uid="{BB58CF0A-218E-934F-A0F8-8B9F5399BB9F}" name="OT2" dataDxfId="88" totalsRowDxfId="25" dataCellStyle="Comma"/>
    <tableColumn id="23" xr3:uid="{3443C343-F1AF-054D-BC00-6205C74F4B2A}" name="Other Adjustments" dataDxfId="87" totalsRowDxfId="24" dataCellStyle="Comma"/>
    <tableColumn id="18" xr3:uid="{28FD4357-78CA-2D4B-8317-7BD4A5FC00E9}" name="Deduction" dataDxfId="86" totalsRowDxfId="23" dataCellStyle="Comma"/>
    <tableColumn id="24" xr3:uid="{A4C93FAD-9D9C-7548-A73D-4221FD356B8C}" name="Total Payout" totalsRowFunction="sum" dataDxfId="85" totalsRowDxfId="22" dataCellStyle="Comma"/>
    <tableColumn id="53" xr3:uid="{DDCD0C4A-F4E8-F040-A337-D62F9A5E6E52}" name="Visa" dataDxfId="84" totalsRowDxfId="21" dataCellStyle="Comma"/>
    <tableColumn id="54" xr3:uid="{0606F979-C167-5A46-ACE3-935C95E58E62}" name="Medical Insurance" dataDxfId="83" totalsRowDxfId="20" dataCellStyle="Comma"/>
    <tableColumn id="55" xr3:uid="{E0029066-70CD-4C48-A8D4-A269937087CF}" name="Total Installments" totalsRowFunction="sum" dataDxfId="82" totalsRowDxfId="19" dataCellStyle="Comma"/>
    <tableColumn id="39" xr3:uid="{466CE49D-EB0B-064F-AA4E-7C350E020E83}" name="Gratuity" dataDxfId="81" totalsRowDxfId="18" dataCellStyle="Comma"/>
    <tableColumn id="44" xr3:uid="{12D32685-7A70-8748-9D93-0040A8268000}" name="Airfare" dataDxfId="80" totalsRowDxfId="17" dataCellStyle="Comma"/>
    <tableColumn id="50" xr3:uid="{23617F8B-6A94-3A40-894F-091F0E1F2824}" name="Annual Leave" dataDxfId="79" totalsRowDxfId="16" dataCellStyle="Comma"/>
    <tableColumn id="56" xr3:uid="{705DB2A1-6A26-A545-A977-CCE214213E87}" name="Other Accruals" dataDxfId="78" totalsRowDxfId="15" dataCellStyle="Comma"/>
    <tableColumn id="52" xr3:uid="{ED10903E-EC4E-EF4E-A132-39963988EDE5}" name="Total Accruals" totalsRowFunction="sum" dataDxfId="77" totalsRowDxfId="14" dataCellStyle="Comma"/>
    <tableColumn id="26" xr3:uid="{C812A0C8-7BEC-C54B-989E-5E1F66939646}" name="Ajeer" dataDxfId="76" totalsRowDxfId="13" dataCellStyle="Comma"/>
    <tableColumn id="27" xr3:uid="{8D77B625-482F-6E44-B581-9E3008AC1BF9}" name="LMRA" dataDxfId="75" totalsRowDxfId="12" dataCellStyle="Comma"/>
    <tableColumn id="60" xr3:uid="{C742BF4E-C85C-4043-8F34-3D5BC7AF27DA}" name="Localization" dataDxfId="74" totalsRowDxfId="11" dataCellStyle="Comma"/>
    <tableColumn id="29" xr3:uid="{AC255F88-C5BB-FB40-A0E6-15F99A9F99BB}" name="GOSI" dataDxfId="73" totalsRowDxfId="10" dataCellStyle="Comma"/>
    <tableColumn id="31" xr3:uid="{2DF8AA82-1175-D64D-98A5-33A5D29CA0C8}" name="Workmen Comp" dataDxfId="72" totalsRowDxfId="9" dataCellStyle="Comma"/>
    <tableColumn id="59" xr3:uid="{C7ACF6F7-5D85-5647-A247-0B276F7C3A0C}" name="Zakat" dataDxfId="71" totalsRowDxfId="8" dataCellStyle="Comma"/>
    <tableColumn id="28" xr3:uid="{CDEC594B-753D-2641-AAD3-B55EFEF1F832}" name="Family Visa Levy" dataDxfId="70" totalsRowDxfId="7" dataCellStyle="Comma"/>
    <tableColumn id="62" xr3:uid="{64AB1978-DD76-EF41-B901-30141022B095}" name="Total Government Fees" totalsRowFunction="sum" dataDxfId="69" totalsRowDxfId="6" dataCellStyle="Comma"/>
    <tableColumn id="25" xr3:uid="{6256C832-EDFC-F949-AC3F-3AAF08ECFE7F}" name="Employee payout" totalsRowFunction="custom" dataDxfId="68" totalsRowDxfId="5" dataCellStyle="Comma">
      <totalsRowFormula>SUBTOTAL(109,Table1[Employee payout])</totalsRowFormula>
    </tableColumn>
    <tableColumn id="64" xr3:uid="{23565C02-CF05-8F48-BACE-127CB715E891}" name="Installments" totalsRowFunction="custom" dataDxfId="67" totalsRowDxfId="4" dataCellStyle="Comma">
      <totalsRowFormula>SUBTOTAL(109,Table1[Installments])</totalsRowFormula>
    </tableColumn>
    <tableColumn id="63" xr3:uid="{1EE1174B-525D-474C-A46E-C0558855C281}" name="Accruals" totalsRowFunction="custom" dataDxfId="66" totalsRowDxfId="3" dataCellStyle="Comma">
      <totalsRowFormula>SUBTOTAL(109,Table1[Accruals])</totalsRowFormula>
    </tableColumn>
    <tableColumn id="65" xr3:uid="{3ECDF7FC-3B8A-4446-8647-AE6263753117}" name="Government Fees" totalsRowFunction="custom" dataDxfId="65" totalsRowDxfId="2" dataCellStyle="Comma">
      <totalsRowFormula>SUBTOTAL(109,Table1[Government Fees])</totalsRowFormula>
    </tableColumn>
    <tableColumn id="32" xr3:uid="{254B14AA-61F3-BB49-BBB2-A89F02E1CF69}" name="Admin Fees" totalsRowFunction="custom" dataDxfId="64" totalsRowDxfId="1" dataCellStyle="Comma">
      <totalsRowFormula>SUBTOTAL(109,Table1[Admin Fees])</totalsRowFormula>
    </tableColumn>
    <tableColumn id="33" xr3:uid="{D933BADD-566F-5C49-B992-9791028A440B}" name="Invoice total" totalsRowFunction="sum" dataDxfId="63" totalsRow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62DF-866C-4494-8029-AC590EA3BE10}">
  <dimension ref="A1:H44"/>
  <sheetViews>
    <sheetView tabSelected="1" zoomScale="150" zoomScaleNormal="150" workbookViewId="0">
      <selection activeCell="I14" sqref="I14"/>
    </sheetView>
  </sheetViews>
  <sheetFormatPr defaultColWidth="9.1796875" defaultRowHeight="10.5"/>
  <cols>
    <col min="1" max="1" width="14.81640625" style="48" customWidth="1"/>
    <col min="2" max="2" width="23.453125" style="48" customWidth="1"/>
    <col min="3" max="3" width="5.453125" style="48" customWidth="1"/>
    <col min="4" max="4" width="15.1796875" style="48" customWidth="1"/>
    <col min="5" max="5" width="11.81640625" style="48" customWidth="1"/>
    <col min="6" max="6" width="14.36328125" style="50" customWidth="1"/>
    <col min="7" max="7" width="9.1796875" style="50"/>
    <col min="8" max="8" width="9.1796875" style="48"/>
    <col min="9" max="9" width="9.1796875" style="48" customWidth="1"/>
    <col min="10" max="16384" width="9.1796875" style="48"/>
  </cols>
  <sheetData>
    <row r="1" spans="1:8" ht="19" customHeight="1">
      <c r="B1" s="176" t="s">
        <v>56</v>
      </c>
      <c r="C1" s="176"/>
      <c r="D1" s="176"/>
      <c r="E1" s="176"/>
      <c r="F1" s="176"/>
      <c r="G1" s="49"/>
      <c r="H1" s="50"/>
    </row>
    <row r="2" spans="1:8" ht="14.25" customHeight="1">
      <c r="B2" s="177" t="s">
        <v>27</v>
      </c>
      <c r="C2" s="177"/>
      <c r="D2" s="177"/>
      <c r="E2" s="177"/>
      <c r="F2" s="177"/>
      <c r="G2" s="49"/>
      <c r="H2" s="50"/>
    </row>
    <row r="3" spans="1:8" s="51" customFormat="1" ht="18" customHeight="1">
      <c r="B3" s="177" t="s">
        <v>0</v>
      </c>
      <c r="C3" s="177"/>
      <c r="D3" s="177"/>
      <c r="E3" s="177"/>
      <c r="F3" s="177"/>
      <c r="G3" s="49"/>
      <c r="H3" s="49"/>
    </row>
    <row r="4" spans="1:8" s="51" customFormat="1" ht="14" customHeight="1">
      <c r="G4" s="49"/>
      <c r="H4" s="49"/>
    </row>
    <row r="5" spans="1:8" s="51" customFormat="1" ht="32" customHeight="1">
      <c r="A5" s="182" t="s">
        <v>50</v>
      </c>
      <c r="B5" s="182"/>
      <c r="C5" s="182"/>
      <c r="D5" s="182"/>
      <c r="E5" s="182"/>
      <c r="F5" s="182"/>
      <c r="G5" s="49"/>
      <c r="H5" s="49"/>
    </row>
    <row r="6" spans="1:8" s="51" customFormat="1" ht="12" customHeight="1">
      <c r="A6" s="46"/>
      <c r="B6" s="46"/>
      <c r="C6" s="46"/>
      <c r="D6" s="46"/>
      <c r="E6" s="46"/>
      <c r="F6" s="46"/>
      <c r="G6" s="49"/>
      <c r="H6" s="49"/>
    </row>
    <row r="7" spans="1:8" s="51" customFormat="1" ht="13" customHeight="1">
      <c r="A7" s="47" t="s">
        <v>49</v>
      </c>
      <c r="B7" s="47"/>
      <c r="C7" s="47"/>
      <c r="D7" s="47"/>
      <c r="E7" s="47"/>
      <c r="G7" s="49"/>
      <c r="H7" s="49"/>
    </row>
    <row r="8" spans="1:8" s="52" customFormat="1" ht="13" customHeight="1">
      <c r="A8" s="65" t="s">
        <v>24</v>
      </c>
      <c r="B8" s="66" t="s">
        <v>78</v>
      </c>
      <c r="C8" s="74"/>
      <c r="D8" s="65" t="s">
        <v>63</v>
      </c>
      <c r="E8" s="65"/>
      <c r="F8" s="66" t="s">
        <v>62</v>
      </c>
      <c r="G8" s="53"/>
    </row>
    <row r="9" spans="1:8" s="52" customFormat="1" ht="13" customHeight="1">
      <c r="A9" s="65" t="s">
        <v>70</v>
      </c>
      <c r="B9" s="66" t="s">
        <v>151</v>
      </c>
      <c r="C9" s="75"/>
      <c r="D9" s="65" t="s">
        <v>51</v>
      </c>
      <c r="E9" s="65"/>
      <c r="F9" s="66" t="s">
        <v>153</v>
      </c>
      <c r="G9" s="53"/>
    </row>
    <row r="10" spans="1:8" s="51" customFormat="1" ht="13" customHeight="1">
      <c r="A10" s="65" t="s">
        <v>52</v>
      </c>
      <c r="B10" s="167" t="s">
        <v>79</v>
      </c>
      <c r="C10" s="75"/>
      <c r="D10" s="65" t="s">
        <v>54</v>
      </c>
      <c r="E10" s="65"/>
      <c r="F10" s="67">
        <f ca="1">TODAY()</f>
        <v>46086</v>
      </c>
      <c r="G10" s="49"/>
    </row>
    <row r="11" spans="1:8" s="52" customFormat="1" ht="12" customHeight="1">
      <c r="A11" s="68"/>
      <c r="B11" s="167"/>
      <c r="D11" s="65" t="s">
        <v>53</v>
      </c>
      <c r="E11" s="65"/>
      <c r="F11" s="67">
        <v>46098</v>
      </c>
      <c r="G11" s="53"/>
    </row>
    <row r="12" spans="1:8" s="51" customFormat="1" ht="12" customHeight="1">
      <c r="A12" s="65" t="s">
        <v>149</v>
      </c>
      <c r="B12" s="66" t="s">
        <v>150</v>
      </c>
      <c r="C12" s="57"/>
      <c r="D12" s="57"/>
      <c r="E12" s="58"/>
      <c r="G12" s="49"/>
    </row>
    <row r="13" spans="1:8" ht="11" thickBot="1"/>
    <row r="14" spans="1:8" s="60" customFormat="1" ht="28" customHeight="1">
      <c r="A14" s="180" t="s">
        <v>55</v>
      </c>
      <c r="B14" s="181"/>
      <c r="C14" s="181"/>
      <c r="D14" s="80"/>
      <c r="E14" s="80" t="str">
        <f>"Amount "&amp;UAE!C6</f>
        <v>Amount AED</v>
      </c>
      <c r="F14" s="81" t="s">
        <v>60</v>
      </c>
      <c r="G14" s="59"/>
    </row>
    <row r="15" spans="1:8" s="63" customFormat="1" ht="16" customHeight="1">
      <c r="A15" s="168" t="s">
        <v>58</v>
      </c>
      <c r="B15" s="169"/>
      <c r="C15" s="169"/>
      <c r="D15" s="88"/>
      <c r="E15" s="94">
        <f>SUM(E16:E17)</f>
        <v>43273.67</v>
      </c>
      <c r="F15" s="95">
        <f>SUM(F16:F17)</f>
        <v>12147.591811527584</v>
      </c>
      <c r="G15" s="71"/>
    </row>
    <row r="16" spans="1:8" s="55" customFormat="1" ht="13">
      <c r="A16" s="178" t="str">
        <f>"- Labor cost for "&amp;UAE!B9&amp;"  -  "&amp;MONTH(UAE!B2) &amp;"-"&amp; YEAR(UAE!B2)</f>
        <v>- Labor cost for KUTAY SAMIM GOKSU  -  3-2026</v>
      </c>
      <c r="B16" s="179"/>
      <c r="C16" s="179"/>
      <c r="D16" s="89"/>
      <c r="E16" s="93">
        <f>UAE!I9+UAE!S9</f>
        <v>37518</v>
      </c>
      <c r="F16" s="96">
        <f>E16/$B$28</f>
        <v>10531.885776845178</v>
      </c>
      <c r="G16" s="54"/>
    </row>
    <row r="17" spans="1:7" ht="13">
      <c r="A17" s="178" t="str">
        <f>"- "&amp;+"Expense claim for "&amp;UAE!B9</f>
        <v>- Expense claim for KUTAY SAMIM GOKSU</v>
      </c>
      <c r="B17" s="179"/>
      <c r="C17" s="179"/>
      <c r="D17" s="89"/>
      <c r="E17" s="93">
        <f>UAE!AE9</f>
        <v>5755.67</v>
      </c>
      <c r="F17" s="96">
        <f>E17/$B$28</f>
        <v>1615.7060346824055</v>
      </c>
      <c r="G17" s="56"/>
    </row>
    <row r="18" spans="1:7" ht="13">
      <c r="A18" s="172"/>
      <c r="B18" s="173"/>
      <c r="C18" s="173"/>
      <c r="D18" s="90"/>
      <c r="E18" s="93"/>
      <c r="F18" s="96"/>
      <c r="G18" s="56"/>
    </row>
    <row r="19" spans="1:7" ht="13">
      <c r="A19" s="170"/>
      <c r="B19" s="171"/>
      <c r="C19" s="171"/>
      <c r="D19" s="91"/>
      <c r="E19" s="97"/>
      <c r="F19" s="96"/>
      <c r="G19" s="56"/>
    </row>
    <row r="20" spans="1:7" s="70" customFormat="1" ht="16" customHeight="1">
      <c r="A20" s="168" t="s">
        <v>59</v>
      </c>
      <c r="B20" s="169"/>
      <c r="C20" s="169"/>
      <c r="D20" s="88"/>
      <c r="E20" s="94">
        <f>SUM(E21:E22)</f>
        <v>1875</v>
      </c>
      <c r="F20" s="98">
        <f>SUM(F21:F22)</f>
        <v>526.34164485272959</v>
      </c>
      <c r="G20" s="69"/>
    </row>
    <row r="21" spans="1:7" ht="13">
      <c r="A21" s="164" t="str">
        <f>"- "&amp;+"Management Fee - "&amp;MONTH(UAE!B2) &amp;"-"&amp; YEAR(UAE!B2)</f>
        <v>- Management Fee - 3-2026</v>
      </c>
      <c r="B21" s="165"/>
      <c r="C21" s="165"/>
      <c r="D21" s="92"/>
      <c r="E21" s="97">
        <f>UAE!H9</f>
        <v>1875</v>
      </c>
      <c r="F21" s="96">
        <f>E21/$B$28</f>
        <v>526.34164485272959</v>
      </c>
      <c r="G21" s="56"/>
    </row>
    <row r="22" spans="1:7" ht="13">
      <c r="A22" s="164"/>
      <c r="B22" s="165"/>
      <c r="C22" s="165"/>
      <c r="D22" s="92"/>
      <c r="E22" s="97"/>
      <c r="F22" s="96"/>
      <c r="G22" s="56"/>
    </row>
    <row r="23" spans="1:7" ht="13">
      <c r="A23" s="164"/>
      <c r="B23" s="165"/>
      <c r="C23" s="165"/>
      <c r="D23" s="92"/>
      <c r="E23" s="97"/>
      <c r="F23" s="96"/>
      <c r="G23" s="56"/>
    </row>
    <row r="24" spans="1:7" ht="14.5">
      <c r="A24" s="162"/>
      <c r="B24" s="163"/>
      <c r="C24" s="163"/>
      <c r="D24" s="61"/>
      <c r="E24" s="99"/>
      <c r="F24" s="100"/>
      <c r="G24" s="56"/>
    </row>
    <row r="25" spans="1:7" s="63" customFormat="1" ht="15" thickBot="1">
      <c r="A25" s="174" t="s">
        <v>68</v>
      </c>
      <c r="B25" s="175"/>
      <c r="C25" s="175"/>
      <c r="D25" s="175"/>
      <c r="E25" s="101">
        <f>E15+E20</f>
        <v>45148.67</v>
      </c>
      <c r="F25" s="102">
        <f>F15+F20</f>
        <v>12673.933456380313</v>
      </c>
      <c r="G25" s="71"/>
    </row>
    <row r="26" spans="1:7" s="63" customFormat="1" ht="14.5">
      <c r="A26" s="78"/>
      <c r="B26" s="78"/>
      <c r="C26" s="79"/>
      <c r="D26" s="79"/>
      <c r="E26" s="64"/>
      <c r="F26" s="77"/>
      <c r="G26" s="71"/>
    </row>
    <row r="27" spans="1:7" s="63" customFormat="1" ht="15" thickBot="1">
      <c r="A27" s="73"/>
      <c r="B27" s="73"/>
      <c r="C27" s="73"/>
      <c r="D27" s="73"/>
      <c r="E27" s="64"/>
      <c r="F27" s="77"/>
      <c r="G27" s="71"/>
    </row>
    <row r="28" spans="1:7" ht="26">
      <c r="A28" s="83" t="str">
        <f>"*FX rate  USD:  "&amp;UAE!C6</f>
        <v>*FX rate  USD:  AED</v>
      </c>
      <c r="B28" s="103">
        <f>3.6725*0.97</f>
        <v>3.562325</v>
      </c>
      <c r="C28" s="64"/>
      <c r="D28" s="186" t="s">
        <v>74</v>
      </c>
      <c r="E28" s="187"/>
      <c r="F28" s="104">
        <f>F25</f>
        <v>12673.933456380313</v>
      </c>
      <c r="G28" s="56"/>
    </row>
    <row r="29" spans="1:7" s="55" customFormat="1" ht="16" customHeight="1">
      <c r="A29" s="82"/>
      <c r="B29" s="82"/>
      <c r="C29" s="64"/>
      <c r="D29" s="188" t="s">
        <v>28</v>
      </c>
      <c r="E29" s="189"/>
      <c r="F29" s="105">
        <f>UAE!E22</f>
        <v>0</v>
      </c>
      <c r="G29" s="54"/>
    </row>
    <row r="30" spans="1:7" s="55" customFormat="1" ht="14.5">
      <c r="A30" s="82"/>
      <c r="B30" s="82"/>
      <c r="C30" s="64"/>
      <c r="D30" s="188" t="s">
        <v>29</v>
      </c>
      <c r="E30" s="189"/>
      <c r="F30" s="105">
        <f>UAE!E23</f>
        <v>0</v>
      </c>
      <c r="G30" s="54"/>
    </row>
    <row r="31" spans="1:7" ht="14.5">
      <c r="A31" s="82"/>
      <c r="B31" s="82"/>
      <c r="C31" s="64"/>
      <c r="D31" s="188" t="s">
        <v>72</v>
      </c>
      <c r="E31" s="189"/>
      <c r="F31" s="105">
        <f>UAE!E24</f>
        <v>0</v>
      </c>
      <c r="G31" s="56"/>
    </row>
    <row r="32" spans="1:7" ht="15" thickBot="1">
      <c r="A32" s="82"/>
      <c r="B32" s="82"/>
      <c r="C32" s="62"/>
      <c r="D32" s="190" t="s">
        <v>73</v>
      </c>
      <c r="E32" s="191"/>
      <c r="F32" s="106">
        <f>UAE!E25</f>
        <v>24.03577719607279</v>
      </c>
      <c r="G32" s="56"/>
    </row>
    <row r="33" spans="1:8" ht="14.5">
      <c r="A33" s="82"/>
      <c r="B33" s="82"/>
      <c r="C33" s="64"/>
      <c r="D33" s="192" t="s">
        <v>76</v>
      </c>
      <c r="E33" s="193"/>
      <c r="F33" s="107">
        <f>SUM(F28:F32)</f>
        <v>12697.969233576387</v>
      </c>
      <c r="G33" s="56"/>
    </row>
    <row r="34" spans="1:8" ht="14.5">
      <c r="A34" s="82"/>
      <c r="B34" s="82"/>
      <c r="C34" s="64"/>
      <c r="D34" s="194" t="s">
        <v>75</v>
      </c>
      <c r="E34" s="195"/>
      <c r="F34" s="107">
        <f>UAE!F6/PN!B28</f>
        <v>24.562610093127383</v>
      </c>
      <c r="G34" s="56"/>
    </row>
    <row r="35" spans="1:8" ht="15" thickBot="1">
      <c r="A35" s="72"/>
      <c r="B35" s="72"/>
      <c r="C35" s="64"/>
      <c r="D35" s="196" t="s">
        <v>64</v>
      </c>
      <c r="E35" s="197"/>
      <c r="F35" s="108">
        <f>SUM(F33:F34)</f>
        <v>12722.531843669514</v>
      </c>
      <c r="G35" s="56"/>
      <c r="H35" s="76"/>
    </row>
    <row r="36" spans="1:8" ht="14.5">
      <c r="A36" s="61"/>
      <c r="B36" s="61"/>
      <c r="C36" s="61"/>
      <c r="D36" s="61"/>
      <c r="E36" s="62"/>
      <c r="F36" s="62"/>
      <c r="G36" s="56"/>
    </row>
    <row r="37" spans="1:8" ht="14.5">
      <c r="A37" s="61"/>
      <c r="B37" s="61"/>
      <c r="C37" s="61"/>
      <c r="D37" s="61"/>
      <c r="E37" s="62"/>
      <c r="F37" s="62"/>
      <c r="G37" s="56"/>
    </row>
    <row r="38" spans="1:8">
      <c r="G38" s="56"/>
    </row>
    <row r="39" spans="1:8" ht="19" customHeight="1">
      <c r="A39" s="166" t="s">
        <v>69</v>
      </c>
      <c r="B39" s="166"/>
      <c r="C39" s="166"/>
      <c r="D39" s="166"/>
      <c r="E39" s="166"/>
      <c r="F39" s="166"/>
    </row>
    <row r="40" spans="1:8" ht="61" customHeight="1">
      <c r="A40" s="183" t="s">
        <v>57</v>
      </c>
      <c r="B40" s="183"/>
      <c r="C40" s="184"/>
      <c r="D40" s="185" t="s">
        <v>61</v>
      </c>
      <c r="E40" s="183"/>
      <c r="F40" s="183"/>
    </row>
    <row r="41" spans="1:8">
      <c r="A41" s="48" t="s">
        <v>65</v>
      </c>
    </row>
    <row r="42" spans="1:8" ht="11" customHeight="1">
      <c r="A42" s="63" t="s">
        <v>67</v>
      </c>
      <c r="B42" s="63"/>
      <c r="C42" s="63"/>
      <c r="D42" s="63"/>
      <c r="E42" s="63"/>
      <c r="F42" s="63"/>
    </row>
    <row r="43" spans="1:8">
      <c r="A43" s="63" t="s">
        <v>66</v>
      </c>
    </row>
    <row r="44" spans="1:8">
      <c r="A44" s="63" t="s">
        <v>71</v>
      </c>
    </row>
  </sheetData>
  <mergeCells count="28">
    <mergeCell ref="A40:C40"/>
    <mergeCell ref="D40:F40"/>
    <mergeCell ref="D28:E28"/>
    <mergeCell ref="D29:E29"/>
    <mergeCell ref="D30:E30"/>
    <mergeCell ref="D31:E31"/>
    <mergeCell ref="D32:E32"/>
    <mergeCell ref="D33:E33"/>
    <mergeCell ref="D34:E34"/>
    <mergeCell ref="D35:E35"/>
    <mergeCell ref="B1:F1"/>
    <mergeCell ref="B2:F2"/>
    <mergeCell ref="B3:F3"/>
    <mergeCell ref="A17:C17"/>
    <mergeCell ref="A14:C14"/>
    <mergeCell ref="A16:C16"/>
    <mergeCell ref="A5:F5"/>
    <mergeCell ref="A15:C15"/>
    <mergeCell ref="A24:C24"/>
    <mergeCell ref="A23:C23"/>
    <mergeCell ref="A22:C22"/>
    <mergeCell ref="A39:F39"/>
    <mergeCell ref="B10:B11"/>
    <mergeCell ref="A20:C20"/>
    <mergeCell ref="A21:C21"/>
    <mergeCell ref="A19:C19"/>
    <mergeCell ref="A18:C18"/>
    <mergeCell ref="A25:D25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AF26"/>
  <sheetViews>
    <sheetView topLeftCell="A5" zoomScale="130" zoomScaleNormal="130" workbookViewId="0">
      <selection activeCell="J21" sqref="J21"/>
    </sheetView>
  </sheetViews>
  <sheetFormatPr defaultColWidth="9.1796875" defaultRowHeight="13"/>
  <cols>
    <col min="1" max="1" width="8.81640625" style="1" bestFit="1" customWidth="1"/>
    <col min="2" max="2" width="18" style="2" bestFit="1" customWidth="1"/>
    <col min="3" max="3" width="11" style="2" bestFit="1" customWidth="1"/>
    <col min="4" max="4" width="7.453125" style="2" customWidth="1"/>
    <col min="5" max="5" width="8.36328125" style="2" bestFit="1" customWidth="1"/>
    <col min="6" max="6" width="6.81640625" style="2" bestFit="1" customWidth="1"/>
    <col min="7" max="8" width="7.453125" style="2" bestFit="1" customWidth="1"/>
    <col min="9" max="10" width="8.36328125" style="2" bestFit="1" customWidth="1"/>
    <col min="11" max="11" width="8" style="2" bestFit="1" customWidth="1"/>
    <col min="12" max="12" width="7.453125" style="2" bestFit="1" customWidth="1"/>
    <col min="13" max="13" width="8.36328125" style="2" bestFit="1" customWidth="1"/>
    <col min="14" max="14" width="7.81640625" style="2" bestFit="1" customWidth="1"/>
    <col min="15" max="15" width="8.6328125" style="2" bestFit="1" customWidth="1"/>
    <col min="16" max="16" width="8" style="2" bestFit="1" customWidth="1"/>
    <col min="17" max="18" width="6.81640625" style="2" bestFit="1" customWidth="1"/>
    <col min="19" max="20" width="7.453125" style="2" bestFit="1" customWidth="1"/>
    <col min="21" max="21" width="5.6328125" style="2" bestFit="1" customWidth="1"/>
    <col min="22" max="22" width="10.1796875" style="2" bestFit="1" customWidth="1"/>
    <col min="23" max="23" width="10.81640625" style="2" bestFit="1" customWidth="1"/>
    <col min="24" max="24" width="4.6328125" style="2" bestFit="1" customWidth="1"/>
    <col min="25" max="25" width="5.1796875" style="2" bestFit="1" customWidth="1"/>
    <col min="26" max="26" width="8.81640625" style="2" bestFit="1" customWidth="1"/>
    <col min="27" max="27" width="4.6328125" style="2" bestFit="1" customWidth="1"/>
    <col min="28" max="28" width="12" style="2" bestFit="1" customWidth="1"/>
    <col min="29" max="29" width="5" style="2" bestFit="1" customWidth="1"/>
    <col min="30" max="30" width="12.36328125" style="2" bestFit="1" customWidth="1"/>
    <col min="31" max="32" width="7.453125" style="2" bestFit="1" customWidth="1"/>
    <col min="33" max="16384" width="9.1796875" style="2"/>
  </cols>
  <sheetData>
    <row r="1" spans="1:32" ht="13.5" thickBot="1">
      <c r="A1" s="1" t="str">
        <f ca="1">MID(CELL("filename",A1),FIND("]",CELL("filename",A1))+1,256)</f>
        <v>UAE</v>
      </c>
    </row>
    <row r="2" spans="1:32" ht="13.5" thickBot="1">
      <c r="A2" s="3" t="s">
        <v>11</v>
      </c>
      <c r="B2" s="161" cm="1">
        <f t="array" ref="B2">Table1[From]</f>
        <v>46082</v>
      </c>
      <c r="C2" s="161" cm="1">
        <f t="array" ref="C2">Table1[To]</f>
        <v>46112</v>
      </c>
      <c r="E2" s="87" t="s">
        <v>2</v>
      </c>
    </row>
    <row r="3" spans="1:32" s="5" customFormat="1" ht="14" customHeight="1">
      <c r="A3" s="3"/>
      <c r="B3" s="4"/>
      <c r="E3" s="200" t="s">
        <v>1</v>
      </c>
      <c r="F3" s="202" t="s">
        <v>3</v>
      </c>
      <c r="G3" s="204" t="s">
        <v>4</v>
      </c>
      <c r="H3" s="205"/>
      <c r="I3" s="206" t="s">
        <v>5</v>
      </c>
      <c r="J3" s="207"/>
      <c r="K3" s="207"/>
      <c r="L3" s="207"/>
      <c r="M3" s="207"/>
      <c r="N3" s="207"/>
      <c r="O3" s="207"/>
      <c r="P3" s="207"/>
      <c r="Q3" s="207"/>
      <c r="R3" s="207"/>
      <c r="S3" s="198" t="s">
        <v>6</v>
      </c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 t="s">
        <v>7</v>
      </c>
      <c r="AF3" s="199"/>
    </row>
    <row r="4" spans="1:32" s="5" customFormat="1" ht="65.5" thickBot="1">
      <c r="E4" s="201"/>
      <c r="F4" s="203"/>
      <c r="G4" s="23" t="s">
        <v>8</v>
      </c>
      <c r="H4" s="6" t="s">
        <v>9</v>
      </c>
      <c r="I4" s="23" t="s">
        <v>8</v>
      </c>
      <c r="J4" s="6" t="s">
        <v>95</v>
      </c>
      <c r="K4" s="6" t="s">
        <v>96</v>
      </c>
      <c r="L4" s="6" t="s">
        <v>97</v>
      </c>
      <c r="M4" s="6" t="s">
        <v>98</v>
      </c>
      <c r="N4" s="6" t="s">
        <v>99</v>
      </c>
      <c r="O4" s="6" t="s">
        <v>100</v>
      </c>
      <c r="P4" s="6" t="s">
        <v>101</v>
      </c>
      <c r="Q4" s="6" t="s">
        <v>104</v>
      </c>
      <c r="R4" s="6" t="s">
        <v>105</v>
      </c>
      <c r="S4" s="23" t="s">
        <v>8</v>
      </c>
      <c r="T4" s="159" t="str">
        <f>Table1[[#Headers],[Gratuity]]</f>
        <v>Gratuity</v>
      </c>
      <c r="U4" s="159" t="str">
        <f>Table1[[#Headers],[Airfare]]</f>
        <v>Airfare</v>
      </c>
      <c r="V4" s="159" t="str">
        <f>Table1[[#Headers],[Annual Leave]]</f>
        <v>Annual Leave</v>
      </c>
      <c r="W4" s="159" t="str">
        <f>Table1[[#Headers],[Other Accruals]]</f>
        <v>Other Accruals</v>
      </c>
      <c r="X4" s="159" t="str">
        <f>Table1[[#Headers],[Ajeer]]</f>
        <v>Ajeer</v>
      </c>
      <c r="Y4" s="159" t="str">
        <f>Table1[[#Headers],[LMRA]]</f>
        <v>LMRA</v>
      </c>
      <c r="Z4" s="159" t="str">
        <f>Table1[[#Headers],[Localization]]</f>
        <v>Localization</v>
      </c>
      <c r="AA4" s="159" t="str">
        <f>Table1[[#Headers],[GOSI]]</f>
        <v>GOSI</v>
      </c>
      <c r="AB4" s="159" t="str">
        <f>Table1[[#Headers],[Workmen Comp]]</f>
        <v>Workmen Comp</v>
      </c>
      <c r="AC4" s="159" t="str">
        <f>Table1[[#Headers],[Zakat]]</f>
        <v>Zakat</v>
      </c>
      <c r="AD4" s="159" t="str">
        <f>Table1[[#Headers],[Family Visa Levy]]</f>
        <v>Family Visa Levy</v>
      </c>
      <c r="AE4" s="23" t="s">
        <v>8</v>
      </c>
      <c r="AF4" s="86" t="s">
        <v>10</v>
      </c>
    </row>
    <row r="5" spans="1:32" s="5" customFormat="1" ht="13.5" thickBot="1">
      <c r="A5" s="1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9"/>
    </row>
    <row r="6" spans="1:32" s="11" customFormat="1">
      <c r="A6" s="10"/>
      <c r="B6" s="11" t="s">
        <v>1</v>
      </c>
      <c r="C6" s="11" t="s">
        <v>25</v>
      </c>
      <c r="E6" s="15">
        <f t="shared" ref="E6:AF6" si="0">SUM(E9:E17)</f>
        <v>45236.17</v>
      </c>
      <c r="F6" s="16">
        <f t="shared" si="0"/>
        <v>87.5</v>
      </c>
      <c r="G6" s="16">
        <f t="shared" si="0"/>
        <v>1875</v>
      </c>
      <c r="H6" s="16">
        <f t="shared" si="0"/>
        <v>1875</v>
      </c>
      <c r="I6" s="16">
        <f t="shared" si="0"/>
        <v>35638</v>
      </c>
      <c r="J6" s="16">
        <f t="shared" si="0"/>
        <v>19635</v>
      </c>
      <c r="K6" s="16">
        <f t="shared" si="0"/>
        <v>9817.5</v>
      </c>
      <c r="L6" s="16">
        <f t="shared" si="0"/>
        <v>3272.5</v>
      </c>
      <c r="M6" s="16">
        <f t="shared" si="0"/>
        <v>0</v>
      </c>
      <c r="N6" s="16">
        <f t="shared" si="0"/>
        <v>2913</v>
      </c>
      <c r="O6" s="16">
        <f t="shared" si="0"/>
        <v>0</v>
      </c>
      <c r="P6" s="16">
        <f t="shared" si="0"/>
        <v>0</v>
      </c>
      <c r="Q6" s="16">
        <f t="shared" si="0"/>
        <v>0</v>
      </c>
      <c r="R6" s="16">
        <f t="shared" si="0"/>
        <v>0</v>
      </c>
      <c r="S6" s="16">
        <f>SUM(S9:S17)</f>
        <v>1880</v>
      </c>
      <c r="T6" s="16">
        <f t="shared" ref="T6:AD6" si="1">SUM(T9:T17)</f>
        <v>1130</v>
      </c>
      <c r="U6" s="16">
        <f t="shared" si="1"/>
        <v>0</v>
      </c>
      <c r="V6" s="16">
        <f t="shared" si="1"/>
        <v>0</v>
      </c>
      <c r="W6" s="16">
        <f t="shared" si="1"/>
        <v>0</v>
      </c>
      <c r="X6" s="16">
        <f t="shared" si="1"/>
        <v>0</v>
      </c>
      <c r="Y6" s="16">
        <f t="shared" si="1"/>
        <v>0</v>
      </c>
      <c r="Z6" s="16">
        <f t="shared" si="1"/>
        <v>750</v>
      </c>
      <c r="AA6" s="16">
        <f t="shared" si="1"/>
        <v>0</v>
      </c>
      <c r="AB6" s="16">
        <f t="shared" si="1"/>
        <v>0</v>
      </c>
      <c r="AC6" s="16">
        <f t="shared" si="1"/>
        <v>0</v>
      </c>
      <c r="AD6" s="16">
        <f t="shared" si="1"/>
        <v>0</v>
      </c>
      <c r="AE6" s="16">
        <f t="shared" si="0"/>
        <v>5755.67</v>
      </c>
      <c r="AF6" s="17">
        <f t="shared" si="0"/>
        <v>5755.67</v>
      </c>
    </row>
    <row r="7" spans="1:32" s="11" customFormat="1"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</row>
    <row r="8" spans="1:32" s="11" customFormat="1">
      <c r="A8" s="18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</row>
    <row r="9" spans="1:32" s="11" customFormat="1">
      <c r="A9" s="10"/>
      <c r="B9" s="11" t="str" cm="1">
        <f t="array" ref="B9">Table1[Employee Name]</f>
        <v>KUTAY SAMIM GOKSU</v>
      </c>
      <c r="C9" s="11" t="str">
        <f>'UAE EE'!D10</f>
        <v>CNUS2025001-0001</v>
      </c>
      <c r="E9" s="15">
        <f>F9+G9+I9+S9+AE9</f>
        <v>45236.17</v>
      </c>
      <c r="F9" s="16">
        <v>87.5</v>
      </c>
      <c r="G9" s="16">
        <f>SUM(H9:H9)</f>
        <v>1875</v>
      </c>
      <c r="H9" s="16">
        <f>1875</f>
        <v>1875</v>
      </c>
      <c r="I9" s="16">
        <f>SUM(J9:R9)</f>
        <v>35638</v>
      </c>
      <c r="J9" s="16" cm="1">
        <f t="array" ref="J9">Table1[EC - Basic Salary]</f>
        <v>19635</v>
      </c>
      <c r="K9" s="16" cm="1">
        <f t="array" ref="K9">Table1[EC - Housing Allowance]</f>
        <v>9817.5</v>
      </c>
      <c r="L9" s="16" cm="1">
        <f t="array" ref="L9">Table1[EC - Transport Allowance]</f>
        <v>3272.5</v>
      </c>
      <c r="M9" s="16" cm="1">
        <f t="array" ref="M9">Table1[EC - School Allowance]</f>
        <v>0</v>
      </c>
      <c r="N9" s="16" cm="1">
        <f t="array" ref="N9">Table1[EC - Other allowance]</f>
        <v>2913</v>
      </c>
      <c r="O9" s="16" cm="1">
        <f t="array" ref="O9">Table1[EC - Mobile Allowance]</f>
        <v>0</v>
      </c>
      <c r="P9" s="16" cm="1">
        <f t="array" ref="P9">Table1[EC - Food Allowance]</f>
        <v>0</v>
      </c>
      <c r="Q9" s="16" cm="1">
        <f t="array" ref="Q9">Table1[EC - OT1]</f>
        <v>0</v>
      </c>
      <c r="R9" s="16" cm="1">
        <f t="array" ref="R9">Table1[EC - OT2]</f>
        <v>0</v>
      </c>
      <c r="S9" s="16">
        <f>SUM(T9:AD9)</f>
        <v>1880</v>
      </c>
      <c r="T9" s="16" cm="1">
        <f t="array" ref="T9">Table1[Gratuity]</f>
        <v>1130</v>
      </c>
      <c r="U9" s="16" cm="1">
        <f t="array" ref="U9">Table1[Airfare]</f>
        <v>0</v>
      </c>
      <c r="V9" s="16" cm="1">
        <f t="array" ref="V9">Table1[Annual Leave]</f>
        <v>0</v>
      </c>
      <c r="W9" s="16" cm="1">
        <f t="array" ref="W9">Table1[Other Accruals]</f>
        <v>0</v>
      </c>
      <c r="X9" s="16" cm="1">
        <f t="array" ref="X9">Table1[Ajeer]</f>
        <v>0</v>
      </c>
      <c r="Y9" s="16" cm="1">
        <f t="array" ref="Y9">Table1[LMRA]</f>
        <v>0</v>
      </c>
      <c r="Z9" s="16" cm="1">
        <f t="array" ref="Z9">Table1[Localization]*1.5</f>
        <v>750</v>
      </c>
      <c r="AA9" s="16" cm="1">
        <f t="array" ref="AA9">Table1[GOSI]</f>
        <v>0</v>
      </c>
      <c r="AB9" s="16" cm="1">
        <f t="array" ref="AB9">Table1[Workmen Comp]</f>
        <v>0</v>
      </c>
      <c r="AC9" s="16" cm="1">
        <f t="array" ref="AC9">Table1[Zakat]</f>
        <v>0</v>
      </c>
      <c r="AD9" s="16" cm="1">
        <f t="array" ref="AD9">Table1[Family Visa Levy]</f>
        <v>0</v>
      </c>
      <c r="AE9" s="16">
        <f>SUM(AF9:AF9)</f>
        <v>5755.67</v>
      </c>
      <c r="AF9" s="17" cm="1">
        <f t="array" ref="AF9">Table1[Other Adjustments]</f>
        <v>5755.67</v>
      </c>
    </row>
    <row r="10" spans="1:32" s="11" customFormat="1">
      <c r="A10" s="10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7"/>
    </row>
    <row r="11" spans="1:32" s="11" customFormat="1">
      <c r="A11" s="10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7"/>
    </row>
    <row r="12" spans="1:32" s="11" customFormat="1">
      <c r="A12" s="10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7"/>
    </row>
    <row r="13" spans="1:32" s="11" customFormat="1">
      <c r="A13" s="10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</row>
    <row r="14" spans="1:32" s="11" customFormat="1">
      <c r="A14" s="10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</row>
    <row r="15" spans="1:32" s="11" customFormat="1">
      <c r="A15" s="10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</row>
    <row r="16" spans="1:32" s="11" customFormat="1">
      <c r="A16" s="10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</row>
    <row r="17" spans="1:32" s="11" customFormat="1" ht="13.5" thickBot="1">
      <c r="A17" s="10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1"/>
    </row>
    <row r="18" spans="1:32">
      <c r="E18" s="32"/>
    </row>
    <row r="19" spans="1:32">
      <c r="J19" s="32"/>
    </row>
    <row r="20" spans="1:32" s="27" customFormat="1" ht="15" thickBot="1">
      <c r="A20" s="26"/>
    </row>
    <row r="21" spans="1:32" s="27" customFormat="1" ht="14.5">
      <c r="A21" s="26" t="s">
        <v>12</v>
      </c>
      <c r="B21" s="39"/>
      <c r="C21" s="39"/>
      <c r="D21" s="39"/>
      <c r="E21" s="40">
        <f>SUM(E22:E26)</f>
        <v>24.03577719607279</v>
      </c>
      <c r="F21" s="41">
        <v>0</v>
      </c>
      <c r="G21" s="30"/>
    </row>
    <row r="22" spans="1:32" s="27" customFormat="1" ht="14.5">
      <c r="A22" s="26"/>
      <c r="B22" s="39" t="s">
        <v>28</v>
      </c>
      <c r="C22" s="39"/>
      <c r="D22" s="39"/>
      <c r="E22" s="42">
        <v>0</v>
      </c>
      <c r="F22" s="43"/>
    </row>
    <row r="23" spans="1:32" s="27" customFormat="1" ht="14.5">
      <c r="A23" s="26"/>
      <c r="B23" s="39" t="s">
        <v>29</v>
      </c>
      <c r="C23" s="39"/>
      <c r="D23" s="39"/>
      <c r="E23" s="42"/>
      <c r="F23" s="43">
        <v>0</v>
      </c>
    </row>
    <row r="24" spans="1:32" s="27" customFormat="1" ht="14.5">
      <c r="A24" s="26"/>
      <c r="B24" s="39" t="s">
        <v>30</v>
      </c>
      <c r="C24" s="39"/>
      <c r="D24" s="39"/>
      <c r="E24" s="42"/>
      <c r="F24" s="43">
        <v>0</v>
      </c>
    </row>
    <row r="25" spans="1:32" s="27" customFormat="1" ht="14.5">
      <c r="A25" s="26"/>
      <c r="B25" s="39" t="s">
        <v>31</v>
      </c>
      <c r="C25" s="39"/>
      <c r="D25" s="39"/>
      <c r="E25" s="42">
        <f>10+50/PN!B28</f>
        <v>24.03577719607279</v>
      </c>
      <c r="F25" s="43"/>
    </row>
    <row r="26" spans="1:32" s="27" customFormat="1" ht="15" thickBot="1">
      <c r="A26" s="26"/>
      <c r="B26" s="39" t="s">
        <v>32</v>
      </c>
      <c r="C26" s="39"/>
      <c r="D26" s="39"/>
      <c r="E26" s="44">
        <v>0</v>
      </c>
      <c r="F26" s="45"/>
    </row>
  </sheetData>
  <mergeCells count="6">
    <mergeCell ref="AE3:AF3"/>
    <mergeCell ref="S3:AD3"/>
    <mergeCell ref="E3:E4"/>
    <mergeCell ref="F3:F4"/>
    <mergeCell ref="G3:H3"/>
    <mergeCell ref="I3:R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53E7-B544-3940-A3E2-E390BD553CFF}">
  <dimension ref="A1:X18"/>
  <sheetViews>
    <sheetView topLeftCell="C1" zoomScale="120" zoomScaleNormal="120" workbookViewId="0">
      <selection activeCell="P10" sqref="P10"/>
    </sheetView>
  </sheetViews>
  <sheetFormatPr defaultColWidth="9.1796875" defaultRowHeight="13"/>
  <cols>
    <col min="1" max="1" width="12.1796875" style="1" bestFit="1" customWidth="1"/>
    <col min="2" max="2" width="9.36328125" style="2" bestFit="1" customWidth="1"/>
    <col min="3" max="3" width="10.36328125" style="2" bestFit="1" customWidth="1"/>
    <col min="4" max="4" width="12.6328125" style="2" bestFit="1" customWidth="1"/>
    <col min="5" max="5" width="17.453125" style="2" bestFit="1" customWidth="1"/>
    <col min="6" max="6" width="8.453125" style="2" bestFit="1" customWidth="1"/>
    <col min="7" max="7" width="9.453125" style="2" bestFit="1" customWidth="1"/>
    <col min="8" max="9" width="8.36328125" style="2" bestFit="1" customWidth="1"/>
    <col min="10" max="10" width="9.1796875" style="2" bestFit="1" customWidth="1"/>
    <col min="11" max="11" width="8.1796875" style="2" bestFit="1" customWidth="1"/>
    <col min="12" max="12" width="7.453125" style="2" bestFit="1" customWidth="1"/>
    <col min="13" max="16" width="8.1796875" style="2" bestFit="1" customWidth="1"/>
    <col min="17" max="18" width="4.6328125" style="2" bestFit="1" customWidth="1"/>
    <col min="19" max="19" width="9.6328125" style="2" bestFit="1" customWidth="1"/>
    <col min="20" max="21" width="7.453125" style="2" bestFit="1" customWidth="1"/>
    <col min="22" max="22" width="6.6328125" style="2" bestFit="1" customWidth="1"/>
    <col min="23" max="23" width="5" style="2" bestFit="1" customWidth="1"/>
    <col min="24" max="24" width="7.81640625" style="2" bestFit="1" customWidth="1"/>
    <col min="25" max="16384" width="9.1796875" style="2"/>
  </cols>
  <sheetData>
    <row r="1" spans="1:24" ht="13.5" thickBot="1">
      <c r="A1" s="1" t="str">
        <f ca="1">MID(CELL("filename",A1),FIND("]",CELL("filename",A1))+1,256)</f>
        <v>UAE EE</v>
      </c>
      <c r="C1" s="4"/>
      <c r="D1" s="4"/>
      <c r="E1" s="4"/>
      <c r="F1" s="4"/>
      <c r="H1" s="25"/>
    </row>
    <row r="2" spans="1:24" ht="13.5" thickBot="1">
      <c r="A2" s="3"/>
      <c r="B2" s="4"/>
      <c r="C2" s="4"/>
      <c r="D2" s="4"/>
      <c r="E2" s="4"/>
      <c r="F2" s="4"/>
      <c r="H2" s="24" t="s">
        <v>13</v>
      </c>
    </row>
    <row r="3" spans="1:24" s="5" customFormat="1" ht="14" customHeight="1" thickBot="1">
      <c r="A3" s="33"/>
      <c r="B3" s="208" t="s">
        <v>14</v>
      </c>
      <c r="C3" s="208" t="s">
        <v>15</v>
      </c>
      <c r="D3" s="208" t="s">
        <v>16</v>
      </c>
      <c r="E3" s="208" t="s">
        <v>17</v>
      </c>
      <c r="F3" s="209" t="s">
        <v>18</v>
      </c>
      <c r="G3" s="209"/>
      <c r="H3" s="213" t="s">
        <v>19</v>
      </c>
      <c r="I3" s="214" t="s">
        <v>5</v>
      </c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0" t="s">
        <v>7</v>
      </c>
      <c r="U3" s="210"/>
      <c r="V3" s="210" t="s">
        <v>6</v>
      </c>
      <c r="W3" s="210"/>
      <c r="X3" s="211" t="s">
        <v>20</v>
      </c>
    </row>
    <row r="4" spans="1:24" s="5" customFormat="1" ht="52.5" thickBot="1">
      <c r="A4" s="33"/>
      <c r="B4" s="208"/>
      <c r="C4" s="208"/>
      <c r="D4" s="208"/>
      <c r="E4" s="208"/>
      <c r="F4" s="34" t="s">
        <v>21</v>
      </c>
      <c r="G4" s="34" t="s">
        <v>22</v>
      </c>
      <c r="H4" s="213"/>
      <c r="I4" s="84" t="s">
        <v>8</v>
      </c>
      <c r="J4" s="85" t="s">
        <v>45</v>
      </c>
      <c r="K4" s="85" t="s">
        <v>46</v>
      </c>
      <c r="L4" s="85" t="s">
        <v>116</v>
      </c>
      <c r="M4" s="85" t="s">
        <v>117</v>
      </c>
      <c r="N4" s="85" t="s">
        <v>118</v>
      </c>
      <c r="O4" s="85" t="s">
        <v>119</v>
      </c>
      <c r="P4" s="85" t="s">
        <v>120</v>
      </c>
      <c r="Q4" s="85" t="s">
        <v>121</v>
      </c>
      <c r="R4" s="85" t="s">
        <v>122</v>
      </c>
      <c r="S4" s="85" t="s">
        <v>123</v>
      </c>
      <c r="T4" s="84" t="s">
        <v>8</v>
      </c>
      <c r="U4" s="85" t="s">
        <v>10</v>
      </c>
      <c r="V4" s="84" t="s">
        <v>8</v>
      </c>
      <c r="W4" s="85" t="s">
        <v>48</v>
      </c>
      <c r="X4" s="212"/>
    </row>
    <row r="5" spans="1:24" s="5" customFormat="1" ht="15" thickBot="1">
      <c r="A5" s="26"/>
      <c r="B5" s="35"/>
      <c r="C5" s="35"/>
      <c r="D5" s="35"/>
      <c r="E5" s="35"/>
      <c r="F5" s="35"/>
      <c r="G5" s="35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</row>
    <row r="6" spans="1:24" s="11" customFormat="1" ht="14.5">
      <c r="A6" s="28" t="s">
        <v>23</v>
      </c>
      <c r="B6" s="36"/>
      <c r="C6" s="36"/>
      <c r="D6" s="36"/>
      <c r="E6" s="36"/>
      <c r="F6" s="36"/>
      <c r="G6" s="36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4" s="11" customFormat="1" ht="14.5">
      <c r="A7" s="28"/>
      <c r="B7" s="36"/>
      <c r="C7" s="36"/>
      <c r="D7" s="36"/>
      <c r="E7" s="36"/>
      <c r="F7" s="36"/>
      <c r="G7" s="36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7"/>
    </row>
    <row r="8" spans="1:24" s="11" customFormat="1" ht="14.5">
      <c r="A8" s="37"/>
      <c r="B8" s="38"/>
      <c r="C8" s="38"/>
      <c r="D8" s="38"/>
      <c r="E8" s="38"/>
      <c r="F8" s="38"/>
      <c r="G8" s="38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7"/>
    </row>
    <row r="9" spans="1:24" s="11" customFormat="1" ht="14.5">
      <c r="A9" s="37"/>
      <c r="B9" s="29"/>
      <c r="C9" s="29"/>
      <c r="D9" s="29"/>
      <c r="E9" s="29"/>
      <c r="F9" s="29"/>
      <c r="G9" s="29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7"/>
    </row>
    <row r="10" spans="1:24" s="11" customFormat="1" ht="14.5">
      <c r="A10" s="28"/>
      <c r="B10" s="29" t="s">
        <v>151</v>
      </c>
      <c r="C10" s="29" t="str">
        <f>PN!B8</f>
        <v>Omal Spa SB</v>
      </c>
      <c r="D10" s="29" t="s">
        <v>152</v>
      </c>
      <c r="E10" s="29" t="str" cm="1">
        <f t="array" ref="E10">Table1[Employee Name]</f>
        <v>KUTAY SAMIM GOKSU</v>
      </c>
      <c r="F10" s="160" cm="1">
        <f t="array" ref="F10">Table1[From]</f>
        <v>46082</v>
      </c>
      <c r="G10" s="160" cm="1">
        <f t="array" ref="G10">Table1[To]</f>
        <v>46112</v>
      </c>
      <c r="H10" s="15">
        <f>I10+T10-V10-X10</f>
        <v>41393.67</v>
      </c>
      <c r="I10" s="16">
        <f>SUM(J10:S10)</f>
        <v>35638</v>
      </c>
      <c r="J10" s="16" cm="1">
        <f t="array" ref="J10">Table1[Basic Salary]</f>
        <v>19635</v>
      </c>
      <c r="K10" s="16" cm="1">
        <f t="array" ref="K10">Table1[Housing Allowance]</f>
        <v>9817.5</v>
      </c>
      <c r="L10" s="16" cm="1">
        <f t="array" ref="L10">Table1[Transport Allowance]</f>
        <v>3272.5</v>
      </c>
      <c r="M10" s="16" cm="1">
        <f t="array" ref="M10">Table1[School Allowance]</f>
        <v>0</v>
      </c>
      <c r="N10" s="16" cm="1">
        <f t="array" ref="N10">Table1[Mobile Allowance]</f>
        <v>0</v>
      </c>
      <c r="O10" s="16" cm="1">
        <f t="array" ref="O10">Table1[Food Allowance]</f>
        <v>0</v>
      </c>
      <c r="P10" s="16" cm="1">
        <f t="array" ref="P10">Table1[Other Allowance]</f>
        <v>2913</v>
      </c>
      <c r="Q10" s="16" cm="1">
        <f t="array" ref="Q10">Table1[OT1]</f>
        <v>0</v>
      </c>
      <c r="R10" s="16" cm="1">
        <f t="array" ref="R10">Table1[OT2]</f>
        <v>0</v>
      </c>
      <c r="S10" s="16">
        <v>0</v>
      </c>
      <c r="T10" s="16">
        <f>SUM(U10:U10)</f>
        <v>5755.67</v>
      </c>
      <c r="U10" s="16" cm="1">
        <f t="array" ref="U10">Table1[Other Adjustments]</f>
        <v>5755.67</v>
      </c>
      <c r="V10" s="16">
        <f>SUM(W10:W10)</f>
        <v>0</v>
      </c>
      <c r="W10" s="16">
        <v>0</v>
      </c>
      <c r="X10" s="17" cm="1">
        <f t="array" ref="X10">Table1[Deduction]</f>
        <v>0</v>
      </c>
    </row>
    <row r="11" spans="1:24" s="11" customFormat="1">
      <c r="A11" s="10"/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7"/>
    </row>
    <row r="12" spans="1:24" s="11" customFormat="1">
      <c r="A12" s="10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7"/>
    </row>
    <row r="13" spans="1:24" s="11" customFormat="1">
      <c r="A13" s="10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7"/>
    </row>
    <row r="14" spans="1:24" s="11" customFormat="1">
      <c r="A14" s="10"/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7"/>
    </row>
    <row r="15" spans="1:24" s="11" customFormat="1">
      <c r="A15" s="10"/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7"/>
    </row>
    <row r="16" spans="1:24" s="11" customFormat="1">
      <c r="A16" s="10"/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7"/>
    </row>
    <row r="17" spans="1:24" s="11" customFormat="1">
      <c r="A17" s="10"/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7"/>
    </row>
    <row r="18" spans="1:24" s="11" customFormat="1" ht="13.5" thickBot="1">
      <c r="A18" s="10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1"/>
    </row>
  </sheetData>
  <mergeCells count="10">
    <mergeCell ref="T3:U3"/>
    <mergeCell ref="V3:W3"/>
    <mergeCell ref="X3:X4"/>
    <mergeCell ref="H3:H4"/>
    <mergeCell ref="I3:S3"/>
    <mergeCell ref="B3:B4"/>
    <mergeCell ref="C3:C4"/>
    <mergeCell ref="D3:D4"/>
    <mergeCell ref="E3:E4"/>
    <mergeCell ref="F3:G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CR4"/>
  <sheetViews>
    <sheetView topLeftCell="E1" zoomScale="130" zoomScaleNormal="130" workbookViewId="0">
      <selection activeCell="L14" sqref="L14"/>
    </sheetView>
  </sheetViews>
  <sheetFormatPr defaultColWidth="8.81640625" defaultRowHeight="14.5"/>
  <cols>
    <col min="1" max="1" width="6.453125" bestFit="1" customWidth="1"/>
    <col min="2" max="2" width="18.36328125" bestFit="1" customWidth="1"/>
    <col min="3" max="3" width="9.453125" bestFit="1" customWidth="1"/>
    <col min="4" max="4" width="11" bestFit="1" customWidth="1"/>
    <col min="5" max="5" width="10.81640625" bestFit="1" customWidth="1"/>
    <col min="6" max="6" width="7.453125" bestFit="1" customWidth="1"/>
    <col min="7" max="7" width="9.81640625" bestFit="1" customWidth="1"/>
    <col min="8" max="8" width="9.36328125" bestFit="1" customWidth="1"/>
    <col min="9" max="9" width="11.36328125" bestFit="1" customWidth="1"/>
    <col min="10" max="10" width="10.1796875" bestFit="1" customWidth="1"/>
    <col min="11" max="11" width="13" bestFit="1" customWidth="1"/>
    <col min="12" max="12" width="10.6328125" bestFit="1" customWidth="1"/>
    <col min="13" max="13" width="9.36328125" bestFit="1" customWidth="1"/>
    <col min="14" max="14" width="8.36328125" bestFit="1" customWidth="1"/>
    <col min="15" max="15" width="12.6328125" bestFit="1" customWidth="1"/>
    <col min="16" max="16" width="14.453125" bestFit="1" customWidth="1"/>
    <col min="17" max="17" width="13.81640625" bestFit="1" customWidth="1"/>
    <col min="18" max="18" width="11.81640625" bestFit="1" customWidth="1"/>
    <col min="19" max="19" width="10.453125" bestFit="1" customWidth="1"/>
    <col min="21" max="21" width="9.453125" bestFit="1" customWidth="1"/>
  </cols>
  <sheetData>
    <row r="1" spans="1:96" s="111" customFormat="1" ht="12">
      <c r="A1" s="216" t="s">
        <v>80</v>
      </c>
      <c r="B1" s="217"/>
      <c r="C1" s="217"/>
      <c r="D1" s="217"/>
      <c r="E1" s="217"/>
      <c r="F1" s="217"/>
      <c r="G1" s="217"/>
      <c r="H1" s="218"/>
      <c r="I1" s="219" t="s">
        <v>81</v>
      </c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1"/>
      <c r="Z1" s="226" t="s">
        <v>82</v>
      </c>
      <c r="AA1" s="227"/>
      <c r="AB1" s="227"/>
      <c r="AC1" s="228"/>
      <c r="AD1" s="229" t="s">
        <v>83</v>
      </c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32" t="s">
        <v>84</v>
      </c>
      <c r="AQ1" s="233"/>
      <c r="AR1" s="234"/>
      <c r="AS1" s="235" t="s">
        <v>85</v>
      </c>
      <c r="AT1" s="236"/>
      <c r="AU1" s="236"/>
      <c r="AV1" s="236"/>
      <c r="AW1" s="236"/>
      <c r="AX1" s="237" t="s">
        <v>86</v>
      </c>
      <c r="AY1" s="237"/>
      <c r="AZ1" s="237"/>
      <c r="BA1" s="237"/>
      <c r="BB1" s="237"/>
      <c r="BC1" s="237"/>
      <c r="BD1" s="237"/>
      <c r="BE1" s="238"/>
      <c r="BF1" s="222" t="s">
        <v>87</v>
      </c>
      <c r="BG1" s="223"/>
      <c r="BH1" s="223"/>
      <c r="BI1" s="223"/>
      <c r="BJ1" s="223"/>
      <c r="BK1" s="224"/>
      <c r="BM1" s="225" t="s">
        <v>88</v>
      </c>
      <c r="BN1" s="225"/>
      <c r="BO1" s="225"/>
      <c r="BP1" s="225"/>
      <c r="BQ1" s="225"/>
      <c r="BR1" s="225"/>
      <c r="BS1" s="225"/>
      <c r="BT1" s="225"/>
      <c r="BU1" s="225"/>
      <c r="BV1" s="225"/>
      <c r="BW1" s="225"/>
      <c r="BX1" s="225"/>
      <c r="BY1" s="225"/>
      <c r="BZ1" s="225"/>
      <c r="CA1" s="225"/>
      <c r="CB1" s="225"/>
      <c r="CC1" s="225"/>
      <c r="CD1" s="225"/>
      <c r="CE1" s="225"/>
      <c r="CF1" s="225"/>
      <c r="CG1" s="225"/>
      <c r="CH1" s="225"/>
      <c r="CI1" s="225"/>
      <c r="CJ1" s="225"/>
      <c r="CK1" s="225"/>
      <c r="CL1" s="225"/>
      <c r="CM1" s="225"/>
      <c r="CN1" s="225"/>
      <c r="CO1" s="225"/>
      <c r="CP1" s="225"/>
      <c r="CQ1" s="225"/>
      <c r="CR1" s="225"/>
    </row>
    <row r="2" spans="1:96" s="124" customFormat="1" ht="39.75" customHeight="1">
      <c r="A2" s="112" t="s">
        <v>89</v>
      </c>
      <c r="B2" s="112" t="s">
        <v>90</v>
      </c>
      <c r="C2" s="112" t="s">
        <v>91</v>
      </c>
      <c r="D2" s="112" t="s">
        <v>92</v>
      </c>
      <c r="E2" s="112" t="s">
        <v>93</v>
      </c>
      <c r="F2" s="112" t="s">
        <v>21</v>
      </c>
      <c r="G2" s="112" t="s">
        <v>22</v>
      </c>
      <c r="H2" s="113" t="s">
        <v>94</v>
      </c>
      <c r="I2" s="114" t="s">
        <v>95</v>
      </c>
      <c r="J2" s="114" t="s">
        <v>96</v>
      </c>
      <c r="K2" s="114" t="s">
        <v>97</v>
      </c>
      <c r="L2" s="114" t="s">
        <v>98</v>
      </c>
      <c r="M2" s="114" t="s">
        <v>99</v>
      </c>
      <c r="N2" s="114" t="s">
        <v>100</v>
      </c>
      <c r="O2" s="114" t="s">
        <v>101</v>
      </c>
      <c r="P2" s="115" t="s">
        <v>102</v>
      </c>
      <c r="Q2" s="114" t="s">
        <v>103</v>
      </c>
      <c r="R2" s="114" t="s">
        <v>104</v>
      </c>
      <c r="S2" s="114" t="s">
        <v>105</v>
      </c>
      <c r="T2" s="114" t="s">
        <v>106</v>
      </c>
      <c r="U2" s="114" t="s">
        <v>107</v>
      </c>
      <c r="V2" s="114" t="s">
        <v>108</v>
      </c>
      <c r="W2" s="114" t="s">
        <v>109</v>
      </c>
      <c r="X2" s="114" t="s">
        <v>110</v>
      </c>
      <c r="Y2" s="114" t="s">
        <v>111</v>
      </c>
      <c r="Z2" s="116" t="s">
        <v>112</v>
      </c>
      <c r="AA2" s="116" t="s">
        <v>113</v>
      </c>
      <c r="AB2" s="117" t="s">
        <v>114</v>
      </c>
      <c r="AC2" s="117" t="s">
        <v>115</v>
      </c>
      <c r="AD2" s="118" t="s">
        <v>45</v>
      </c>
      <c r="AE2" s="118" t="s">
        <v>46</v>
      </c>
      <c r="AF2" s="118" t="s">
        <v>116</v>
      </c>
      <c r="AG2" s="118" t="s">
        <v>117</v>
      </c>
      <c r="AH2" s="118" t="s">
        <v>118</v>
      </c>
      <c r="AI2" s="118" t="s">
        <v>119</v>
      </c>
      <c r="AJ2" s="118" t="s">
        <v>120</v>
      </c>
      <c r="AK2" s="118" t="s">
        <v>121</v>
      </c>
      <c r="AL2" s="118" t="s">
        <v>122</v>
      </c>
      <c r="AM2" s="119" t="s">
        <v>123</v>
      </c>
      <c r="AN2" s="119" t="s">
        <v>47</v>
      </c>
      <c r="AO2" s="118" t="s">
        <v>124</v>
      </c>
      <c r="AP2" s="120" t="s">
        <v>125</v>
      </c>
      <c r="AQ2" s="120" t="s">
        <v>126</v>
      </c>
      <c r="AR2" s="120" t="s">
        <v>127</v>
      </c>
      <c r="AS2" s="116" t="s">
        <v>128</v>
      </c>
      <c r="AT2" s="116" t="s">
        <v>129</v>
      </c>
      <c r="AU2" s="116" t="s">
        <v>130</v>
      </c>
      <c r="AV2" s="116" t="s">
        <v>131</v>
      </c>
      <c r="AW2" s="116" t="s">
        <v>132</v>
      </c>
      <c r="AX2" s="121" t="s">
        <v>133</v>
      </c>
      <c r="AY2" s="121" t="s">
        <v>134</v>
      </c>
      <c r="AZ2" s="121" t="s">
        <v>135</v>
      </c>
      <c r="BA2" s="121" t="s">
        <v>136</v>
      </c>
      <c r="BB2" s="121" t="s">
        <v>137</v>
      </c>
      <c r="BC2" s="121" t="s">
        <v>138</v>
      </c>
      <c r="BD2" s="121" t="s">
        <v>139</v>
      </c>
      <c r="BE2" s="121" t="s">
        <v>140</v>
      </c>
      <c r="BF2" s="122" t="s">
        <v>141</v>
      </c>
      <c r="BG2" s="122" t="s">
        <v>84</v>
      </c>
      <c r="BH2" s="122" t="s">
        <v>85</v>
      </c>
      <c r="BI2" s="122" t="s">
        <v>86</v>
      </c>
      <c r="BJ2" s="122" t="s">
        <v>142</v>
      </c>
      <c r="BK2" s="123" t="s">
        <v>143</v>
      </c>
      <c r="BM2" s="125">
        <f t="shared" ref="BM2:CQ2" si="0">+BL2+1</f>
        <v>1</v>
      </c>
      <c r="BN2" s="125">
        <f t="shared" si="0"/>
        <v>2</v>
      </c>
      <c r="BO2" s="125">
        <f t="shared" si="0"/>
        <v>3</v>
      </c>
      <c r="BP2" s="126">
        <f t="shared" si="0"/>
        <v>4</v>
      </c>
      <c r="BQ2" s="126">
        <f t="shared" si="0"/>
        <v>5</v>
      </c>
      <c r="BR2" s="125">
        <f t="shared" si="0"/>
        <v>6</v>
      </c>
      <c r="BS2" s="125">
        <f t="shared" si="0"/>
        <v>7</v>
      </c>
      <c r="BT2" s="125">
        <f t="shared" si="0"/>
        <v>8</v>
      </c>
      <c r="BU2" s="125">
        <f t="shared" si="0"/>
        <v>9</v>
      </c>
      <c r="BV2" s="125">
        <f t="shared" si="0"/>
        <v>10</v>
      </c>
      <c r="BW2" s="126">
        <f t="shared" si="0"/>
        <v>11</v>
      </c>
      <c r="BX2" s="126">
        <f t="shared" si="0"/>
        <v>12</v>
      </c>
      <c r="BY2" s="125">
        <f t="shared" si="0"/>
        <v>13</v>
      </c>
      <c r="BZ2" s="125">
        <f t="shared" si="0"/>
        <v>14</v>
      </c>
      <c r="CA2" s="125">
        <f t="shared" si="0"/>
        <v>15</v>
      </c>
      <c r="CB2" s="125">
        <f t="shared" si="0"/>
        <v>16</v>
      </c>
      <c r="CC2" s="125">
        <f t="shared" si="0"/>
        <v>17</v>
      </c>
      <c r="CD2" s="126">
        <f t="shared" si="0"/>
        <v>18</v>
      </c>
      <c r="CE2" s="126">
        <f t="shared" si="0"/>
        <v>19</v>
      </c>
      <c r="CF2" s="125">
        <f t="shared" si="0"/>
        <v>20</v>
      </c>
      <c r="CG2" s="125">
        <f t="shared" si="0"/>
        <v>21</v>
      </c>
      <c r="CH2" s="125">
        <f t="shared" si="0"/>
        <v>22</v>
      </c>
      <c r="CI2" s="125">
        <f t="shared" si="0"/>
        <v>23</v>
      </c>
      <c r="CJ2" s="125">
        <f t="shared" si="0"/>
        <v>24</v>
      </c>
      <c r="CK2" s="126">
        <f t="shared" si="0"/>
        <v>25</v>
      </c>
      <c r="CL2" s="126">
        <f t="shared" si="0"/>
        <v>26</v>
      </c>
      <c r="CM2" s="125">
        <f t="shared" si="0"/>
        <v>27</v>
      </c>
      <c r="CN2" s="125">
        <f t="shared" si="0"/>
        <v>28</v>
      </c>
      <c r="CO2" s="125">
        <f t="shared" si="0"/>
        <v>29</v>
      </c>
      <c r="CP2" s="125">
        <f t="shared" si="0"/>
        <v>30</v>
      </c>
      <c r="CQ2" s="126">
        <f t="shared" si="0"/>
        <v>31</v>
      </c>
      <c r="CR2" s="125" t="s">
        <v>144</v>
      </c>
    </row>
    <row r="3" spans="1:96" s="111" customFormat="1" ht="12">
      <c r="A3" s="127" t="s">
        <v>145</v>
      </c>
      <c r="B3" s="128" t="s">
        <v>146</v>
      </c>
      <c r="C3" s="127" t="s">
        <v>147</v>
      </c>
      <c r="D3" s="127" t="s">
        <v>25</v>
      </c>
      <c r="E3" s="129">
        <v>31</v>
      </c>
      <c r="F3" s="130">
        <v>46082</v>
      </c>
      <c r="G3" s="130">
        <v>46112</v>
      </c>
      <c r="H3" s="131">
        <v>22</v>
      </c>
      <c r="I3" s="132">
        <v>19635</v>
      </c>
      <c r="J3" s="132">
        <v>9817.5</v>
      </c>
      <c r="K3" s="132">
        <v>3272.5</v>
      </c>
      <c r="L3" s="132">
        <v>0</v>
      </c>
      <c r="M3" s="132">
        <v>2913</v>
      </c>
      <c r="N3" s="132">
        <v>0</v>
      </c>
      <c r="O3" s="132">
        <v>0</v>
      </c>
      <c r="P3" s="132" t="s">
        <v>148</v>
      </c>
      <c r="Q3" s="132">
        <v>32725</v>
      </c>
      <c r="R3" s="132"/>
      <c r="S3" s="132"/>
      <c r="T3" s="132">
        <v>0</v>
      </c>
      <c r="U3" s="132">
        <v>500</v>
      </c>
      <c r="V3" s="132">
        <v>1130</v>
      </c>
      <c r="W3" s="132">
        <v>0</v>
      </c>
      <c r="X3" s="132">
        <v>0</v>
      </c>
      <c r="Y3" s="132">
        <v>1250</v>
      </c>
      <c r="Z3" s="133">
        <v>0</v>
      </c>
      <c r="AA3" s="133">
        <v>22</v>
      </c>
      <c r="AB3" s="134">
        <v>0</v>
      </c>
      <c r="AC3" s="134">
        <v>0</v>
      </c>
      <c r="AD3" s="135">
        <v>19635</v>
      </c>
      <c r="AE3" s="135">
        <v>9817.5</v>
      </c>
      <c r="AF3" s="135">
        <v>3272.5</v>
      </c>
      <c r="AG3" s="135"/>
      <c r="AH3" s="135"/>
      <c r="AI3" s="135"/>
      <c r="AJ3" s="135">
        <v>2913</v>
      </c>
      <c r="AK3" s="135"/>
      <c r="AL3" s="135"/>
      <c r="AM3" s="136">
        <v>5755.67</v>
      </c>
      <c r="AN3" s="136">
        <v>0</v>
      </c>
      <c r="AO3" s="135">
        <v>41393.67</v>
      </c>
      <c r="AP3" s="137"/>
      <c r="AQ3" s="137"/>
      <c r="AR3" s="137">
        <v>0</v>
      </c>
      <c r="AS3" s="133">
        <v>1130</v>
      </c>
      <c r="AT3" s="133"/>
      <c r="AU3" s="133"/>
      <c r="AV3" s="133"/>
      <c r="AW3" s="133">
        <v>1130</v>
      </c>
      <c r="AX3" s="138"/>
      <c r="AY3" s="138"/>
      <c r="AZ3" s="138">
        <v>500</v>
      </c>
      <c r="BA3" s="138"/>
      <c r="BB3" s="138"/>
      <c r="BC3" s="138"/>
      <c r="BD3" s="138"/>
      <c r="BE3" s="138">
        <v>500</v>
      </c>
      <c r="BF3" s="139">
        <v>41393.67</v>
      </c>
      <c r="BG3" s="139">
        <v>0</v>
      </c>
      <c r="BH3" s="139">
        <v>1130</v>
      </c>
      <c r="BI3" s="139">
        <v>500</v>
      </c>
      <c r="BJ3" s="139">
        <v>1250</v>
      </c>
      <c r="BK3" s="140">
        <v>44273.67</v>
      </c>
      <c r="BL3" s="141"/>
      <c r="BM3" s="142">
        <f>IFERROR(IF(#REF!&lt;8,0,#REF!-8),0)</f>
        <v>0</v>
      </c>
      <c r="BN3" s="142">
        <f>IFERROR(IF(#REF!&lt;8,0,#REF!-8),0)</f>
        <v>0</v>
      </c>
      <c r="BO3" s="142">
        <f>IFERROR(IF(#REF!&lt;8,0,#REF!-8),0)</f>
        <v>0</v>
      </c>
      <c r="BP3" s="143"/>
      <c r="BQ3" s="143"/>
      <c r="BR3" s="142">
        <f>IFERROR(IF(#REF!&lt;8,0,#REF!-8),0)</f>
        <v>0</v>
      </c>
      <c r="BS3" s="142">
        <f>IFERROR(IF(#REF!&lt;8,0,#REF!-8),0)</f>
        <v>0</v>
      </c>
      <c r="BT3" s="142">
        <f>IFERROR(IF(#REF!&lt;8,0,#REF!-8),0)</f>
        <v>0</v>
      </c>
      <c r="BU3" s="142">
        <f>IFERROR(IF(#REF!&lt;8,0,#REF!-8),0)</f>
        <v>0</v>
      </c>
      <c r="BV3" s="142">
        <f>IFERROR(IF(#REF!&lt;8,0,#REF!-8),0)</f>
        <v>0</v>
      </c>
      <c r="BW3" s="143"/>
      <c r="BX3" s="143"/>
      <c r="BY3" s="142">
        <f>IFERROR(IF(#REF!&lt;8,0,#REF!-8),0)</f>
        <v>0</v>
      </c>
      <c r="BZ3" s="142">
        <f>IFERROR(IF(#REF!&lt;8,0,#REF!-8),0)</f>
        <v>0</v>
      </c>
      <c r="CA3" s="142">
        <f>IFERROR(IF(#REF!&lt;8,0,#REF!-8),0)</f>
        <v>0</v>
      </c>
      <c r="CB3" s="142">
        <f>IFERROR(IF(#REF!&lt;8,0,#REF!-8),0)</f>
        <v>0</v>
      </c>
      <c r="CC3" s="142">
        <f>IFERROR(IF(#REF!&lt;8,0,#REF!-8),0)</f>
        <v>0</v>
      </c>
      <c r="CD3" s="143"/>
      <c r="CE3" s="143"/>
      <c r="CF3" s="142">
        <f>IFERROR(IF(#REF!&lt;8,0,#REF!-8),0)</f>
        <v>0</v>
      </c>
      <c r="CG3" s="142">
        <f>IFERROR(IF(#REF!&lt;8,0,#REF!-8),0)</f>
        <v>0</v>
      </c>
      <c r="CH3" s="142">
        <f>IFERROR(IF(#REF!&lt;8,0,#REF!-8),0)</f>
        <v>0</v>
      </c>
      <c r="CI3" s="142">
        <f>IFERROR(IF(#REF!&lt;8,0,#REF!-8),0)</f>
        <v>0</v>
      </c>
      <c r="CJ3" s="142">
        <f>IFERROR(IF(#REF!&lt;8,0,#REF!-8),0)</f>
        <v>0</v>
      </c>
      <c r="CK3" s="143"/>
      <c r="CL3" s="143"/>
      <c r="CM3" s="142">
        <f>IFERROR(IF(#REF!&lt;8,0,#REF!-8),0)</f>
        <v>0</v>
      </c>
      <c r="CN3" s="142">
        <f>IFERROR(IF(#REF!&lt;8,0,#REF!-8),0)</f>
        <v>0</v>
      </c>
      <c r="CO3" s="142">
        <f>IFERROR(IF(#REF!&lt;8,0,#REF!-8),0)</f>
        <v>0</v>
      </c>
      <c r="CP3" s="142">
        <f>IFERROR(IF(#REF!&lt;8,0,#REF!-8),0)</f>
        <v>0</v>
      </c>
      <c r="CQ3" s="143"/>
      <c r="CR3" s="142">
        <f>SUM(BM3:CQ3)</f>
        <v>0</v>
      </c>
    </row>
    <row r="4" spans="1:96" s="111" customFormat="1">
      <c r="A4" s="144" t="s">
        <v>144</v>
      </c>
      <c r="B4" s="145"/>
      <c r="C4" s="144"/>
      <c r="D4" s="144"/>
      <c r="E4" s="144"/>
      <c r="F4" s="144"/>
      <c r="G4" s="144"/>
      <c r="H4" s="146"/>
      <c r="I4" s="147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9"/>
      <c r="AA4" s="149"/>
      <c r="AB4" s="150"/>
      <c r="AC4" s="150"/>
      <c r="AD4" s="151"/>
      <c r="AE4" s="151"/>
      <c r="AF4" s="151"/>
      <c r="AG4" s="151"/>
      <c r="AH4" s="151"/>
      <c r="AI4" s="151"/>
      <c r="AJ4" s="151"/>
      <c r="AK4" s="151"/>
      <c r="AL4" s="151"/>
      <c r="AM4" s="152"/>
      <c r="AN4" s="152"/>
      <c r="AO4" s="151">
        <f>SUBTOTAL(109,Table1[Total Payout])</f>
        <v>41393.67</v>
      </c>
      <c r="AP4" s="153"/>
      <c r="AQ4" s="153"/>
      <c r="AR4" s="153">
        <f>SUBTOTAL(109,Table1[Total Installments])</f>
        <v>0</v>
      </c>
      <c r="AS4" s="149"/>
      <c r="AT4" s="149"/>
      <c r="AU4" s="149"/>
      <c r="AV4" s="149"/>
      <c r="AW4" s="149">
        <f>SUBTOTAL(109,Table1[Total Accruals])</f>
        <v>1130</v>
      </c>
      <c r="AX4" s="154"/>
      <c r="AY4" s="154"/>
      <c r="AZ4" s="154"/>
      <c r="BA4" s="154"/>
      <c r="BB4" s="154"/>
      <c r="BC4" s="154"/>
      <c r="BD4" s="154"/>
      <c r="BE4" s="154">
        <f>SUBTOTAL(109,Table1[Total Government Fees])</f>
        <v>500</v>
      </c>
      <c r="BF4" s="155">
        <f>SUBTOTAL(109,Table1[Employee payout])</f>
        <v>41393.67</v>
      </c>
      <c r="BG4" s="155">
        <f>SUBTOTAL(109,Table1[Installments])</f>
        <v>0</v>
      </c>
      <c r="BH4" s="155">
        <f>SUBTOTAL(109,Table1[Accruals])</f>
        <v>1130</v>
      </c>
      <c r="BI4" s="155">
        <f>SUBTOTAL(109,Table1[Government Fees])</f>
        <v>500</v>
      </c>
      <c r="BJ4" s="155">
        <f>SUBTOTAL(109,Table1[Admin Fees])</f>
        <v>1250</v>
      </c>
      <c r="BK4" s="155">
        <f>SUBTOTAL(109,Table1[Invoice total])</f>
        <v>44273.67</v>
      </c>
      <c r="BL4" s="156"/>
      <c r="BM4" s="157">
        <f t="shared" ref="BM4:CR4" si="1">SUM(BM3:BM3)</f>
        <v>0</v>
      </c>
      <c r="BN4" s="157">
        <f t="shared" si="1"/>
        <v>0</v>
      </c>
      <c r="BO4" s="157">
        <f t="shared" si="1"/>
        <v>0</v>
      </c>
      <c r="BP4" s="158">
        <f t="shared" si="1"/>
        <v>0</v>
      </c>
      <c r="BQ4" s="158">
        <f t="shared" si="1"/>
        <v>0</v>
      </c>
      <c r="BR4" s="157">
        <f t="shared" si="1"/>
        <v>0</v>
      </c>
      <c r="BS4" s="157">
        <f t="shared" si="1"/>
        <v>0</v>
      </c>
      <c r="BT4" s="157">
        <f t="shared" si="1"/>
        <v>0</v>
      </c>
      <c r="BU4" s="157">
        <f t="shared" si="1"/>
        <v>0</v>
      </c>
      <c r="BV4" s="157">
        <f t="shared" si="1"/>
        <v>0</v>
      </c>
      <c r="BW4" s="158">
        <f t="shared" si="1"/>
        <v>0</v>
      </c>
      <c r="BX4" s="158">
        <f t="shared" si="1"/>
        <v>0</v>
      </c>
      <c r="BY4" s="157">
        <f t="shared" si="1"/>
        <v>0</v>
      </c>
      <c r="BZ4" s="157">
        <f t="shared" si="1"/>
        <v>0</v>
      </c>
      <c r="CA4" s="157">
        <f t="shared" si="1"/>
        <v>0</v>
      </c>
      <c r="CB4" s="157">
        <f t="shared" si="1"/>
        <v>0</v>
      </c>
      <c r="CC4" s="157">
        <f t="shared" si="1"/>
        <v>0</v>
      </c>
      <c r="CD4" s="158">
        <f t="shared" si="1"/>
        <v>0</v>
      </c>
      <c r="CE4" s="158">
        <f t="shared" si="1"/>
        <v>0</v>
      </c>
      <c r="CF4" s="157">
        <f t="shared" si="1"/>
        <v>0</v>
      </c>
      <c r="CG4" s="157">
        <f t="shared" si="1"/>
        <v>0</v>
      </c>
      <c r="CH4" s="157">
        <f t="shared" si="1"/>
        <v>0</v>
      </c>
      <c r="CI4" s="157">
        <f t="shared" si="1"/>
        <v>0</v>
      </c>
      <c r="CJ4" s="157">
        <f t="shared" si="1"/>
        <v>0</v>
      </c>
      <c r="CK4" s="158">
        <f t="shared" si="1"/>
        <v>0</v>
      </c>
      <c r="CL4" s="158">
        <f t="shared" si="1"/>
        <v>0</v>
      </c>
      <c r="CM4" s="157">
        <f t="shared" si="1"/>
        <v>0</v>
      </c>
      <c r="CN4" s="157">
        <f t="shared" si="1"/>
        <v>0</v>
      </c>
      <c r="CO4" s="157">
        <f t="shared" si="1"/>
        <v>0</v>
      </c>
      <c r="CP4" s="157">
        <f t="shared" si="1"/>
        <v>0</v>
      </c>
      <c r="CQ4" s="158">
        <f t="shared" si="1"/>
        <v>0</v>
      </c>
      <c r="CR4" s="157">
        <f t="shared" si="1"/>
        <v>0</v>
      </c>
    </row>
  </sheetData>
  <mergeCells count="9">
    <mergeCell ref="A1:H1"/>
    <mergeCell ref="I1:Y1"/>
    <mergeCell ref="BF1:BK1"/>
    <mergeCell ref="BM1:CR1"/>
    <mergeCell ref="Z1:AC1"/>
    <mergeCell ref="AD1:AO1"/>
    <mergeCell ref="AP1:AR1"/>
    <mergeCell ref="AS1:AW1"/>
    <mergeCell ref="AX1:BE1"/>
  </mergeCells>
  <phoneticPr fontId="3" type="noConversion"/>
  <conditionalFormatting sqref="A3">
    <cfRule type="duplicateValues" dxfId="126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1CCB-014D-4C81-99E7-C5150F29E44F}">
  <dimension ref="A1:K9"/>
  <sheetViews>
    <sheetView workbookViewId="0">
      <selection activeCell="F13" sqref="F13"/>
    </sheetView>
  </sheetViews>
  <sheetFormatPr defaultColWidth="8.6328125" defaultRowHeight="14.5"/>
  <cols>
    <col min="1" max="1" width="14.36328125" style="31" customWidth="1"/>
    <col min="2" max="2" width="13.6328125" style="31" customWidth="1"/>
    <col min="3" max="3" width="15.81640625" style="31" customWidth="1"/>
    <col min="4" max="4" width="9.36328125" style="31" customWidth="1"/>
    <col min="5" max="6" width="14.6328125" style="31" customWidth="1"/>
    <col min="7" max="16384" width="8.6328125" style="31"/>
  </cols>
  <sheetData>
    <row r="1" spans="1:11" s="27" customFormat="1" ht="58">
      <c r="A1" s="22" t="s">
        <v>33</v>
      </c>
      <c r="B1" s="22" t="s">
        <v>34</v>
      </c>
      <c r="C1" s="22" t="s">
        <v>35</v>
      </c>
      <c r="D1" s="22" t="s">
        <v>36</v>
      </c>
      <c r="E1" s="22" t="s">
        <v>37</v>
      </c>
      <c r="F1" s="110" t="s">
        <v>38</v>
      </c>
      <c r="G1" s="110" t="s">
        <v>26</v>
      </c>
      <c r="H1" s="22" t="s">
        <v>39</v>
      </c>
      <c r="I1" s="22" t="s">
        <v>77</v>
      </c>
      <c r="J1" s="110" t="s">
        <v>40</v>
      </c>
      <c r="K1" s="22" t="s">
        <v>41</v>
      </c>
    </row>
    <row r="2" spans="1:11" s="27" customFormat="1">
      <c r="A2" s="109">
        <f>PN!F15</f>
        <v>12147.591811527584</v>
      </c>
      <c r="B2" s="109">
        <f>PN!F34</f>
        <v>24.562610093127383</v>
      </c>
      <c r="C2" s="109">
        <f>PN!F20</f>
        <v>526.34164485272959</v>
      </c>
      <c r="D2" s="109">
        <f>PN!F32</f>
        <v>24.03577719607279</v>
      </c>
      <c r="E2" s="109">
        <f>PN!F31</f>
        <v>0</v>
      </c>
      <c r="F2" s="27">
        <f>0</f>
        <v>0</v>
      </c>
      <c r="G2" s="27">
        <v>0</v>
      </c>
      <c r="H2" s="109">
        <f>PN!F29</f>
        <v>0</v>
      </c>
      <c r="I2" s="109">
        <f>PN!F30</f>
        <v>0</v>
      </c>
      <c r="J2" s="27">
        <v>0</v>
      </c>
      <c r="K2" s="27">
        <f>SUM(A2:J2)</f>
        <v>12722.531843669514</v>
      </c>
    </row>
    <row r="3" spans="1:11" s="27" customFormat="1"/>
    <row r="4" spans="1:11" s="27" customFormat="1"/>
    <row r="5" spans="1:11" s="27" customFormat="1"/>
    <row r="6" spans="1:11" s="27" customFormat="1"/>
    <row r="7" spans="1:11" s="27" customFormat="1">
      <c r="A7" s="27" t="s">
        <v>42</v>
      </c>
    </row>
    <row r="8" spans="1:11" s="27" customFormat="1">
      <c r="A8" s="27" t="s">
        <v>43</v>
      </c>
    </row>
    <row r="9" spans="1:11" s="27" customFormat="1">
      <c r="A9" s="27" t="s">
        <v>44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AA55CC3C3BD834BA343262FD5D71E76" ma:contentTypeVersion="18" ma:contentTypeDescription="新建文档。" ma:contentTypeScope="" ma:versionID="3f14a2da25cd2f8bc5bf0c3f1f3910d8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22cfa7148e5bbb6ef959ad49ea3ec3a1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81C1AA-15EC-4ADB-A46F-B6AE36F878FA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00ff829c-5328-4041-8e8f-a41155b380ee"/>
    <ds:schemaRef ds:uri="http://purl.org/dc/elements/1.1/"/>
    <ds:schemaRef ds:uri="d627f54e-f962-403c-9056-fc9f08248a0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EED32-E190-4DDC-A031-4D92EC66F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UAE</vt:lpstr>
      <vt:lpstr>UAE EE</vt:lpstr>
      <vt:lpstr>UAE-L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cp:lastPrinted>2024-12-12T22:42:57Z</cp:lastPrinted>
  <dcterms:created xsi:type="dcterms:W3CDTF">2019-04-02T09:07:35Z</dcterms:created>
  <dcterms:modified xsi:type="dcterms:W3CDTF">2026-03-05T05:38:37Z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