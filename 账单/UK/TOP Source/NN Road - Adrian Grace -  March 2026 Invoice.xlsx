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Gaikwad\Documents\00. EOR\TGS\Tax Year 2025-26\TM12\"/>
    </mc:Choice>
  </mc:AlternateContent>
  <xr:revisionPtr revIDLastSave="0" documentId="13_ncr:1_{8A2E0E7F-4FCF-46FB-8BFF-08FAA168B3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rian" sheetId="4" r:id="rId1"/>
    <sheet name="Excange Rat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B19" i="4" l="1"/>
  <c r="B13" i="4"/>
  <c r="B21" i="4" s="1"/>
  <c r="C27" i="4" l="1"/>
  <c r="B23" i="4" l="1"/>
  <c r="B25" i="4" l="1"/>
  <c r="B28" i="4" s="1"/>
  <c r="C26" i="4"/>
  <c r="C25" i="4" l="1"/>
  <c r="C28" i="4" s="1"/>
</calcChain>
</file>

<file path=xl/sharedStrings.xml><?xml version="1.0" encoding="utf-8"?>
<sst xmlns="http://schemas.openxmlformats.org/spreadsheetml/2006/main" count="27" uniqueCount="27">
  <si>
    <t>TopSource Global Solutions Ltd</t>
  </si>
  <si>
    <t>Client Name - NNRoad Inc</t>
  </si>
  <si>
    <t>Adrian Grace Salary Calculation for FY 25-26</t>
  </si>
  <si>
    <t>March-26</t>
  </si>
  <si>
    <t>Details</t>
  </si>
  <si>
    <t>Amount in GBP</t>
  </si>
  <si>
    <t>Days Paid</t>
  </si>
  <si>
    <t xml:space="preserve"> Full Month</t>
  </si>
  <si>
    <t>Gross Salary</t>
  </si>
  <si>
    <t>Holiday Pay</t>
  </si>
  <si>
    <t>Car Allowance</t>
  </si>
  <si>
    <t>Bonus</t>
  </si>
  <si>
    <t>ER' NIC</t>
  </si>
  <si>
    <t>ER' Pension (Auto Enrolment)</t>
  </si>
  <si>
    <t>Gross Salary + Er NIC</t>
  </si>
  <si>
    <t>PAYE (Estimated)</t>
  </si>
  <si>
    <t>EE'NIC</t>
  </si>
  <si>
    <t>EE' Pension (Auto Enrolment)</t>
  </si>
  <si>
    <t>Net Salary</t>
  </si>
  <si>
    <t>Total Cost</t>
  </si>
  <si>
    <t xml:space="preserve">TS Margin @ 4.60% or £200.00/month, which is greater. </t>
  </si>
  <si>
    <t>App Levy</t>
  </si>
  <si>
    <t>Amount in USD</t>
  </si>
  <si>
    <t>Exchange Rate</t>
  </si>
  <si>
    <t>One-time Setup Fee: GBP 200 per client</t>
  </si>
  <si>
    <t>Payment Fees</t>
  </si>
  <si>
    <t>Regular Monthly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</si>
</sst>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#,##0.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49" fontId="2" fillId="0" borderId="0" xfId="0" applyNumberFormat="1" applyFont="1" applyAlignment="1">
      <alignment horizontal="center"/>
    </xf>
    <xf numFmtId="0" fontId="2" fillId="3" borderId="1" xfId="0" applyFont="1" applyFill="1" applyBorder="1"/>
    <xf numFmtId="43" fontId="2" fillId="3" borderId="1" xfId="1" applyFont="1" applyFill="1" applyBorder="1" applyAlignment="1">
      <alignment horizontal="center"/>
    </xf>
    <xf numFmtId="164" fontId="0" fillId="0" borderId="0" xfId="0" applyNumberFormat="1"/>
    <xf numFmtId="0" fontId="4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4" fillId="3" borderId="1" xfId="0" applyFont="1" applyFill="1" applyBorder="1"/>
    <xf numFmtId="164" fontId="0" fillId="0" borderId="1" xfId="2" applyFont="1" applyBorder="1" applyAlignment="1">
      <alignment horizontal="center"/>
    </xf>
    <xf numFmtId="43" fontId="4" fillId="3" borderId="1" xfId="0" applyNumberFormat="1" applyFont="1" applyFill="1" applyBorder="1" applyAlignment="1">
      <alignment horizontal="center"/>
    </xf>
    <xf numFmtId="43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4" fillId="3" borderId="1" xfId="2" applyNumberFormat="1" applyFont="1" applyFill="1" applyBorder="1"/>
    <xf numFmtId="4" fontId="0" fillId="0" borderId="0" xfId="0" applyNumberFormat="1"/>
    <xf numFmtId="1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3">
    <cellStyle name="Comma" xfId="2" builtinId="3"/>
    <cellStyle name="Comma 2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583574</xdr:colOff>
      <xdr:row>47</xdr:row>
      <xdr:rowOff>182250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F02763-F17E-4DBC-FE9E-CB00D935E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61974" cy="913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showGridLines="0" tabSelected="1" zoomScale="115" zoomScaleNormal="115" workbookViewId="0">
      <pane xSplit="1" ySplit="5" topLeftCell="B6" activePane="bottomRight" state="frozen"/>
      <selection pane="bottomRight" activeCell="C28" sqref="C28"/>
      <selection pane="bottomLeft" activeCell="A5" sqref="A5"/>
      <selection pane="topRight" activeCell="B1" sqref="B1"/>
    </sheetView>
  </sheetViews>
  <sheetFormatPr defaultRowHeight="15"/>
  <cols>
    <col min="1" max="1" width="40.140625" bestFit="1" customWidth="1"/>
    <col min="2" max="2" width="16.85546875" style="10" bestFit="1" customWidth="1"/>
    <col min="3" max="3" width="14.42578125" bestFit="1" customWidth="1"/>
    <col min="4" max="4" width="16.140625" bestFit="1" customWidth="1"/>
    <col min="5" max="5" width="17.28515625" bestFit="1" customWidth="1"/>
    <col min="6" max="7" width="10.140625" bestFit="1" customWidth="1"/>
    <col min="8" max="8" width="10" bestFit="1" customWidth="1"/>
    <col min="234" max="234" width="38.5703125" bestFit="1" customWidth="1"/>
    <col min="235" max="235" width="12.140625" customWidth="1"/>
    <col min="236" max="236" width="14" customWidth="1"/>
    <col min="490" max="490" width="38.5703125" bestFit="1" customWidth="1"/>
    <col min="491" max="491" width="12.140625" customWidth="1"/>
    <col min="492" max="492" width="14" customWidth="1"/>
    <col min="746" max="746" width="38.5703125" bestFit="1" customWidth="1"/>
    <col min="747" max="747" width="12.140625" customWidth="1"/>
    <col min="748" max="748" width="14" customWidth="1"/>
    <col min="1002" max="1002" width="38.5703125" bestFit="1" customWidth="1"/>
    <col min="1003" max="1003" width="12.140625" customWidth="1"/>
    <col min="1004" max="1004" width="14" customWidth="1"/>
    <col min="1258" max="1258" width="38.5703125" bestFit="1" customWidth="1"/>
    <col min="1259" max="1259" width="12.140625" customWidth="1"/>
    <col min="1260" max="1260" width="14" customWidth="1"/>
    <col min="1514" max="1514" width="38.5703125" bestFit="1" customWidth="1"/>
    <col min="1515" max="1515" width="12.140625" customWidth="1"/>
    <col min="1516" max="1516" width="14" customWidth="1"/>
    <col min="1770" max="1770" width="38.5703125" bestFit="1" customWidth="1"/>
    <col min="1771" max="1771" width="12.140625" customWidth="1"/>
    <col min="1772" max="1772" width="14" customWidth="1"/>
    <col min="2026" max="2026" width="38.5703125" bestFit="1" customWidth="1"/>
    <col min="2027" max="2027" width="12.140625" customWidth="1"/>
    <col min="2028" max="2028" width="14" customWidth="1"/>
    <col min="2282" max="2282" width="38.5703125" bestFit="1" customWidth="1"/>
    <col min="2283" max="2283" width="12.140625" customWidth="1"/>
    <col min="2284" max="2284" width="14" customWidth="1"/>
    <col min="2538" max="2538" width="38.5703125" bestFit="1" customWidth="1"/>
    <col min="2539" max="2539" width="12.140625" customWidth="1"/>
    <col min="2540" max="2540" width="14" customWidth="1"/>
    <col min="2794" max="2794" width="38.5703125" bestFit="1" customWidth="1"/>
    <col min="2795" max="2795" width="12.140625" customWidth="1"/>
    <col min="2796" max="2796" width="14" customWidth="1"/>
    <col min="3050" max="3050" width="38.5703125" bestFit="1" customWidth="1"/>
    <col min="3051" max="3051" width="12.140625" customWidth="1"/>
    <col min="3052" max="3052" width="14" customWidth="1"/>
    <col min="3306" max="3306" width="38.5703125" bestFit="1" customWidth="1"/>
    <col min="3307" max="3307" width="12.140625" customWidth="1"/>
    <col min="3308" max="3308" width="14" customWidth="1"/>
    <col min="3562" max="3562" width="38.5703125" bestFit="1" customWidth="1"/>
    <col min="3563" max="3563" width="12.140625" customWidth="1"/>
    <col min="3564" max="3564" width="14" customWidth="1"/>
    <col min="3818" max="3818" width="38.5703125" bestFit="1" customWidth="1"/>
    <col min="3819" max="3819" width="12.140625" customWidth="1"/>
    <col min="3820" max="3820" width="14" customWidth="1"/>
    <col min="4074" max="4074" width="38.5703125" bestFit="1" customWidth="1"/>
    <col min="4075" max="4075" width="12.140625" customWidth="1"/>
    <col min="4076" max="4076" width="14" customWidth="1"/>
    <col min="4330" max="4330" width="38.5703125" bestFit="1" customWidth="1"/>
    <col min="4331" max="4331" width="12.140625" customWidth="1"/>
    <col min="4332" max="4332" width="14" customWidth="1"/>
    <col min="4586" max="4586" width="38.5703125" bestFit="1" customWidth="1"/>
    <col min="4587" max="4587" width="12.140625" customWidth="1"/>
    <col min="4588" max="4588" width="14" customWidth="1"/>
    <col min="4842" max="4842" width="38.5703125" bestFit="1" customWidth="1"/>
    <col min="4843" max="4843" width="12.140625" customWidth="1"/>
    <col min="4844" max="4844" width="14" customWidth="1"/>
    <col min="5098" max="5098" width="38.5703125" bestFit="1" customWidth="1"/>
    <col min="5099" max="5099" width="12.140625" customWidth="1"/>
    <col min="5100" max="5100" width="14" customWidth="1"/>
    <col min="5354" max="5354" width="38.5703125" bestFit="1" customWidth="1"/>
    <col min="5355" max="5355" width="12.140625" customWidth="1"/>
    <col min="5356" max="5356" width="14" customWidth="1"/>
    <col min="5610" max="5610" width="38.5703125" bestFit="1" customWidth="1"/>
    <col min="5611" max="5611" width="12.140625" customWidth="1"/>
    <col min="5612" max="5612" width="14" customWidth="1"/>
    <col min="5866" max="5866" width="38.5703125" bestFit="1" customWidth="1"/>
    <col min="5867" max="5867" width="12.140625" customWidth="1"/>
    <col min="5868" max="5868" width="14" customWidth="1"/>
    <col min="6122" max="6122" width="38.5703125" bestFit="1" customWidth="1"/>
    <col min="6123" max="6123" width="12.140625" customWidth="1"/>
    <col min="6124" max="6124" width="14" customWidth="1"/>
    <col min="6378" max="6378" width="38.5703125" bestFit="1" customWidth="1"/>
    <col min="6379" max="6379" width="12.140625" customWidth="1"/>
    <col min="6380" max="6380" width="14" customWidth="1"/>
    <col min="6634" max="6634" width="38.5703125" bestFit="1" customWidth="1"/>
    <col min="6635" max="6635" width="12.140625" customWidth="1"/>
    <col min="6636" max="6636" width="14" customWidth="1"/>
    <col min="6890" max="6890" width="38.5703125" bestFit="1" customWidth="1"/>
    <col min="6891" max="6891" width="12.140625" customWidth="1"/>
    <col min="6892" max="6892" width="14" customWidth="1"/>
    <col min="7146" max="7146" width="38.5703125" bestFit="1" customWidth="1"/>
    <col min="7147" max="7147" width="12.140625" customWidth="1"/>
    <col min="7148" max="7148" width="14" customWidth="1"/>
    <col min="7402" max="7402" width="38.5703125" bestFit="1" customWidth="1"/>
    <col min="7403" max="7403" width="12.140625" customWidth="1"/>
    <col min="7404" max="7404" width="14" customWidth="1"/>
    <col min="7658" max="7658" width="38.5703125" bestFit="1" customWidth="1"/>
    <col min="7659" max="7659" width="12.140625" customWidth="1"/>
    <col min="7660" max="7660" width="14" customWidth="1"/>
    <col min="7914" max="7914" width="38.5703125" bestFit="1" customWidth="1"/>
    <col min="7915" max="7915" width="12.140625" customWidth="1"/>
    <col min="7916" max="7916" width="14" customWidth="1"/>
    <col min="8170" max="8170" width="38.5703125" bestFit="1" customWidth="1"/>
    <col min="8171" max="8171" width="12.140625" customWidth="1"/>
    <col min="8172" max="8172" width="14" customWidth="1"/>
    <col min="8426" max="8426" width="38.5703125" bestFit="1" customWidth="1"/>
    <col min="8427" max="8427" width="12.140625" customWidth="1"/>
    <col min="8428" max="8428" width="14" customWidth="1"/>
    <col min="8682" max="8682" width="38.5703125" bestFit="1" customWidth="1"/>
    <col min="8683" max="8683" width="12.140625" customWidth="1"/>
    <col min="8684" max="8684" width="14" customWidth="1"/>
    <col min="8938" max="8938" width="38.5703125" bestFit="1" customWidth="1"/>
    <col min="8939" max="8939" width="12.140625" customWidth="1"/>
    <col min="8940" max="8940" width="14" customWidth="1"/>
    <col min="9194" max="9194" width="38.5703125" bestFit="1" customWidth="1"/>
    <col min="9195" max="9195" width="12.140625" customWidth="1"/>
    <col min="9196" max="9196" width="14" customWidth="1"/>
    <col min="9450" max="9450" width="38.5703125" bestFit="1" customWidth="1"/>
    <col min="9451" max="9451" width="12.140625" customWidth="1"/>
    <col min="9452" max="9452" width="14" customWidth="1"/>
    <col min="9706" max="9706" width="38.5703125" bestFit="1" customWidth="1"/>
    <col min="9707" max="9707" width="12.140625" customWidth="1"/>
    <col min="9708" max="9708" width="14" customWidth="1"/>
    <col min="9962" max="9962" width="38.5703125" bestFit="1" customWidth="1"/>
    <col min="9963" max="9963" width="12.140625" customWidth="1"/>
    <col min="9964" max="9964" width="14" customWidth="1"/>
    <col min="10218" max="10218" width="38.5703125" bestFit="1" customWidth="1"/>
    <col min="10219" max="10219" width="12.140625" customWidth="1"/>
    <col min="10220" max="10220" width="14" customWidth="1"/>
    <col min="10474" max="10474" width="38.5703125" bestFit="1" customWidth="1"/>
    <col min="10475" max="10475" width="12.140625" customWidth="1"/>
    <col min="10476" max="10476" width="14" customWidth="1"/>
    <col min="10730" max="10730" width="38.5703125" bestFit="1" customWidth="1"/>
    <col min="10731" max="10731" width="12.140625" customWidth="1"/>
    <col min="10732" max="10732" width="14" customWidth="1"/>
    <col min="10986" max="10986" width="38.5703125" bestFit="1" customWidth="1"/>
    <col min="10987" max="10987" width="12.140625" customWidth="1"/>
    <col min="10988" max="10988" width="14" customWidth="1"/>
    <col min="11242" max="11242" width="38.5703125" bestFit="1" customWidth="1"/>
    <col min="11243" max="11243" width="12.140625" customWidth="1"/>
    <col min="11244" max="11244" width="14" customWidth="1"/>
    <col min="11498" max="11498" width="38.5703125" bestFit="1" customWidth="1"/>
    <col min="11499" max="11499" width="12.140625" customWidth="1"/>
    <col min="11500" max="11500" width="14" customWidth="1"/>
    <col min="11754" max="11754" width="38.5703125" bestFit="1" customWidth="1"/>
    <col min="11755" max="11755" width="12.140625" customWidth="1"/>
    <col min="11756" max="11756" width="14" customWidth="1"/>
    <col min="12010" max="12010" width="38.5703125" bestFit="1" customWidth="1"/>
    <col min="12011" max="12011" width="12.140625" customWidth="1"/>
    <col min="12012" max="12012" width="14" customWidth="1"/>
    <col min="12266" max="12266" width="38.5703125" bestFit="1" customWidth="1"/>
    <col min="12267" max="12267" width="12.140625" customWidth="1"/>
    <col min="12268" max="12268" width="14" customWidth="1"/>
    <col min="12522" max="12522" width="38.5703125" bestFit="1" customWidth="1"/>
    <col min="12523" max="12523" width="12.140625" customWidth="1"/>
    <col min="12524" max="12524" width="14" customWidth="1"/>
    <col min="12778" max="12778" width="38.5703125" bestFit="1" customWidth="1"/>
    <col min="12779" max="12779" width="12.140625" customWidth="1"/>
    <col min="12780" max="12780" width="14" customWidth="1"/>
    <col min="13034" max="13034" width="38.5703125" bestFit="1" customWidth="1"/>
    <col min="13035" max="13035" width="12.140625" customWidth="1"/>
    <col min="13036" max="13036" width="14" customWidth="1"/>
    <col min="13290" max="13290" width="38.5703125" bestFit="1" customWidth="1"/>
    <col min="13291" max="13291" width="12.140625" customWidth="1"/>
    <col min="13292" max="13292" width="14" customWidth="1"/>
    <col min="13546" max="13546" width="38.5703125" bestFit="1" customWidth="1"/>
    <col min="13547" max="13547" width="12.140625" customWidth="1"/>
    <col min="13548" max="13548" width="14" customWidth="1"/>
    <col min="13802" max="13802" width="38.5703125" bestFit="1" customWidth="1"/>
    <col min="13803" max="13803" width="12.140625" customWidth="1"/>
    <col min="13804" max="13804" width="14" customWidth="1"/>
    <col min="14058" max="14058" width="38.5703125" bestFit="1" customWidth="1"/>
    <col min="14059" max="14059" width="12.140625" customWidth="1"/>
    <col min="14060" max="14060" width="14" customWidth="1"/>
    <col min="14314" max="14314" width="38.5703125" bestFit="1" customWidth="1"/>
    <col min="14315" max="14315" width="12.140625" customWidth="1"/>
    <col min="14316" max="14316" width="14" customWidth="1"/>
    <col min="14570" max="14570" width="38.5703125" bestFit="1" customWidth="1"/>
    <col min="14571" max="14571" width="12.140625" customWidth="1"/>
    <col min="14572" max="14572" width="14" customWidth="1"/>
    <col min="14826" max="14826" width="38.5703125" bestFit="1" customWidth="1"/>
    <col min="14827" max="14827" width="12.140625" customWidth="1"/>
    <col min="14828" max="14828" width="14" customWidth="1"/>
    <col min="15082" max="15082" width="38.5703125" bestFit="1" customWidth="1"/>
    <col min="15083" max="15083" width="12.140625" customWidth="1"/>
    <col min="15084" max="15084" width="14" customWidth="1"/>
    <col min="15338" max="15338" width="38.5703125" bestFit="1" customWidth="1"/>
    <col min="15339" max="15339" width="12.140625" customWidth="1"/>
    <col min="15340" max="15340" width="14" customWidth="1"/>
    <col min="15594" max="15594" width="38.5703125" bestFit="1" customWidth="1"/>
    <col min="15595" max="15595" width="12.140625" customWidth="1"/>
    <col min="15596" max="15596" width="14" customWidth="1"/>
    <col min="15850" max="15850" width="38.5703125" bestFit="1" customWidth="1"/>
    <col min="15851" max="15851" width="12.140625" customWidth="1"/>
    <col min="15852" max="15852" width="14" customWidth="1"/>
    <col min="16106" max="16106" width="38.5703125" bestFit="1" customWidth="1"/>
    <col min="16107" max="16107" width="12.140625" customWidth="1"/>
    <col min="16108" max="16108" width="14" customWidth="1"/>
  </cols>
  <sheetData>
    <row r="1" spans="1:9" ht="15.75">
      <c r="A1" s="31" t="s">
        <v>0</v>
      </c>
      <c r="B1" s="31"/>
    </row>
    <row r="2" spans="1:9" ht="15.75">
      <c r="A2" s="30" t="s">
        <v>1</v>
      </c>
      <c r="B2" s="30"/>
    </row>
    <row r="3" spans="1:9">
      <c r="A3" s="1" t="s">
        <v>2</v>
      </c>
      <c r="B3" s="13" t="s">
        <v>3</v>
      </c>
    </row>
    <row r="4" spans="1:9">
      <c r="A4" s="2"/>
      <c r="B4" s="7"/>
    </row>
    <row r="5" spans="1:9">
      <c r="A5" s="3" t="s">
        <v>4</v>
      </c>
      <c r="B5" s="11" t="s">
        <v>5</v>
      </c>
    </row>
    <row r="6" spans="1:9">
      <c r="A6" s="4" t="s">
        <v>6</v>
      </c>
      <c r="B6" s="6" t="s">
        <v>7</v>
      </c>
    </row>
    <row r="7" spans="1:9">
      <c r="A7" s="4" t="s">
        <v>8</v>
      </c>
      <c r="B7" s="8">
        <v>9166.67</v>
      </c>
      <c r="C7" s="16"/>
      <c r="D7" s="28"/>
      <c r="E7" s="24"/>
    </row>
    <row r="8" spans="1:9">
      <c r="A8" s="4" t="s">
        <v>9</v>
      </c>
      <c r="B8" s="8">
        <v>0</v>
      </c>
      <c r="C8" s="16"/>
      <c r="D8" s="16"/>
    </row>
    <row r="9" spans="1:9">
      <c r="A9" s="4" t="s">
        <v>10</v>
      </c>
      <c r="B9" s="8">
        <v>700</v>
      </c>
      <c r="C9" s="16"/>
      <c r="D9" s="25"/>
    </row>
    <row r="10" spans="1:9">
      <c r="A10" s="4" t="s">
        <v>11</v>
      </c>
      <c r="B10" s="8">
        <v>0</v>
      </c>
      <c r="C10" s="16"/>
      <c r="D10" s="16"/>
    </row>
    <row r="11" spans="1:9">
      <c r="A11" s="4" t="s">
        <v>12</v>
      </c>
      <c r="B11" s="8">
        <v>1417.45</v>
      </c>
      <c r="D11" s="16"/>
    </row>
    <row r="12" spans="1:9">
      <c r="A12" s="4" t="s">
        <v>13</v>
      </c>
      <c r="B12" s="8">
        <v>110.07</v>
      </c>
      <c r="I12" s="28"/>
    </row>
    <row r="13" spans="1:9">
      <c r="A13" s="5" t="s">
        <v>14</v>
      </c>
      <c r="B13" s="9">
        <f>+B7+B9+B11+B12+B8+B10</f>
        <v>11394.19</v>
      </c>
      <c r="E13" s="16"/>
      <c r="F13" s="16"/>
    </row>
    <row r="14" spans="1:9" ht="3" customHeight="1">
      <c r="A14" s="4"/>
      <c r="B14" s="8"/>
    </row>
    <row r="15" spans="1:9">
      <c r="A15" s="4" t="s">
        <v>15</v>
      </c>
      <c r="B15" s="8">
        <v>2754.07</v>
      </c>
    </row>
    <row r="16" spans="1:9">
      <c r="A16" s="4" t="s">
        <v>16</v>
      </c>
      <c r="B16" s="8">
        <v>0</v>
      </c>
    </row>
    <row r="17" spans="1:9">
      <c r="A17" s="4" t="s">
        <v>17</v>
      </c>
      <c r="B17" s="8">
        <v>183.45</v>
      </c>
    </row>
    <row r="18" spans="1:9" ht="3" customHeight="1">
      <c r="A18" s="4"/>
      <c r="B18" s="8"/>
    </row>
    <row r="19" spans="1:9">
      <c r="A19" s="5" t="s">
        <v>18</v>
      </c>
      <c r="B19" s="9">
        <f>(B7+B9+B8+B10)-(B15+B16+B17)</f>
        <v>6929.15</v>
      </c>
      <c r="C19" s="28"/>
      <c r="D19" s="24"/>
    </row>
    <row r="20" spans="1:9">
      <c r="A20" s="4"/>
      <c r="B20" s="8"/>
    </row>
    <row r="21" spans="1:9">
      <c r="A21" s="5" t="s">
        <v>19</v>
      </c>
      <c r="B21" s="9">
        <f>B13</f>
        <v>11394.19</v>
      </c>
      <c r="C21" s="28"/>
      <c r="D21" s="28"/>
    </row>
    <row r="22" spans="1:9">
      <c r="A22" s="4"/>
      <c r="B22" s="8"/>
      <c r="C22" s="20"/>
      <c r="G22" s="29"/>
    </row>
    <row r="23" spans="1:9" ht="30">
      <c r="A23" s="12" t="s">
        <v>20</v>
      </c>
      <c r="B23" s="8">
        <f>+B21*4.6/100</f>
        <v>524.13274000000001</v>
      </c>
    </row>
    <row r="24" spans="1:9">
      <c r="A24" s="4" t="s">
        <v>21</v>
      </c>
      <c r="B24" s="8">
        <v>50</v>
      </c>
      <c r="C24" s="17" t="s">
        <v>22</v>
      </c>
      <c r="D24" s="17" t="s">
        <v>23</v>
      </c>
      <c r="G24" s="25"/>
      <c r="H24" s="25"/>
    </row>
    <row r="25" spans="1:9">
      <c r="A25" s="14"/>
      <c r="B25" s="15">
        <f>+B21+B23+B24</f>
        <v>11968.32274</v>
      </c>
      <c r="C25" s="15">
        <f>B25*D25</f>
        <v>16713.762706410002</v>
      </c>
      <c r="D25" s="27">
        <f>1.33*1.05</f>
        <v>1.3965000000000001</v>
      </c>
      <c r="E25" s="26"/>
      <c r="F25" s="26"/>
      <c r="G25" s="26"/>
      <c r="H25" s="26"/>
      <c r="I25" s="26"/>
    </row>
    <row r="26" spans="1:9">
      <c r="A26" s="18" t="s">
        <v>24</v>
      </c>
      <c r="B26" s="22">
        <v>0</v>
      </c>
      <c r="C26" s="19">
        <f>B26*D25</f>
        <v>0</v>
      </c>
      <c r="F26" s="26"/>
      <c r="G26" s="25"/>
      <c r="H26" s="26"/>
      <c r="I26" s="26"/>
    </row>
    <row r="27" spans="1:9">
      <c r="A27" s="18" t="s">
        <v>25</v>
      </c>
      <c r="B27" s="22">
        <v>5</v>
      </c>
      <c r="C27" s="19">
        <f>B27*D25</f>
        <v>6.9824999999999999</v>
      </c>
      <c r="D27" s="26"/>
    </row>
    <row r="28" spans="1:9">
      <c r="A28" s="21" t="s">
        <v>26</v>
      </c>
      <c r="B28" s="23">
        <f>SUM(B25:B27)</f>
        <v>11973.32274</v>
      </c>
      <c r="C28" s="15">
        <f>SUM(C25:C27)</f>
        <v>16720.74520641</v>
      </c>
    </row>
    <row r="29" spans="1:9">
      <c r="C29" s="16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" zoomScaleNormal="100" workbookViewId="0"/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27f54e-f962-403c-9056-fc9f08248a08">
      <Terms xmlns="http://schemas.microsoft.com/office/infopath/2007/PartnerControls"/>
    </lcf76f155ced4ddcb4097134ff3c332f>
    <TaxCatchAll xmlns="00ff829c-5328-4041-8e8f-a41155b380e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EBBD0-1BB2-4892-B08E-FD37302BBF9B}"/>
</file>

<file path=customXml/itemProps2.xml><?xml version="1.0" encoding="utf-8"?>
<ds:datastoreItem xmlns:ds="http://schemas.openxmlformats.org/officeDocument/2006/customXml" ds:itemID="{96EF7F4F-8162-4701-8160-699D642B73A0}"/>
</file>

<file path=customXml/itemProps3.xml><?xml version="1.0" encoding="utf-8"?>
<ds:datastoreItem xmlns:ds="http://schemas.openxmlformats.org/officeDocument/2006/customXml" ds:itemID="{2E71243C-084C-4B3D-B238-B194DE2C5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tarique.sheikh</dc:creator>
  <cp:keywords/>
  <dc:description/>
  <cp:lastModifiedBy>LIU, SiYu</cp:lastModifiedBy>
  <cp:revision/>
  <dcterms:created xsi:type="dcterms:W3CDTF">2018-01-23T09:49:37Z</dcterms:created>
  <dcterms:modified xsi:type="dcterms:W3CDTF">2026-03-09T01:57:39Z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MediaServiceImageTags">
    <vt:lpwstr/>
  </property>
</Properties>
</file>