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one\Downloads\"/>
    </mc:Choice>
  </mc:AlternateContent>
  <xr:revisionPtr revIDLastSave="0" documentId="13_ncr:1_{CE1C212B-DAF3-4278-8075-ADCD38A75780}" xr6:coauthVersionLast="47" xr6:coauthVersionMax="47" xr10:uidLastSave="{00000000-0000-0000-0000-000000000000}"/>
  <bookViews>
    <workbookView xWindow="-110" yWindow="-110" windowWidth="25820" windowHeight="15500" xr2:uid="{F8FFF0BD-3D2E-4E7E-A08D-1F0322B984DB}"/>
  </bookViews>
  <sheets>
    <sheet name="PN" sheetId="10" r:id="rId1"/>
    <sheet name="UK" sheetId="2" r:id="rId2"/>
    <sheet name="UK EE" sheetId="9" r:id="rId3"/>
    <sheet name="UK-L" sheetId="7" r:id="rId4"/>
    <sheet name="UK-L (2)" sheetId="8" r:id="rId5"/>
    <sheet name="FI Repor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8" l="1"/>
  <c r="B20" i="8" s="1"/>
  <c r="I2" i="6"/>
  <c r="H2" i="6"/>
  <c r="E2" i="6"/>
  <c r="F31" i="10"/>
  <c r="F32" i="10"/>
  <c r="F30" i="10"/>
  <c r="C10" i="9"/>
  <c r="C9" i="9"/>
  <c r="B29" i="10"/>
  <c r="E25" i="2" s="1"/>
  <c r="F33" i="10" s="1"/>
  <c r="D2" i="6" s="1"/>
  <c r="F35" i="10" l="1"/>
  <c r="B2" i="6" s="1"/>
  <c r="A29" i="10"/>
  <c r="E21" i="2"/>
  <c r="E14" i="10"/>
  <c r="A19" i="10"/>
  <c r="A18" i="10"/>
  <c r="F10" i="10" l="1"/>
  <c r="B18" i="7"/>
  <c r="B12" i="7"/>
  <c r="B18" i="8"/>
  <c r="R10" i="2"/>
  <c r="Q10" i="2" s="1"/>
  <c r="P10" i="2"/>
  <c r="O10" i="2"/>
  <c r="M10" i="2"/>
  <c r="R10" i="9"/>
  <c r="Q10" i="9"/>
  <c r="P10" i="9"/>
  <c r="N10" i="9"/>
  <c r="M10" i="9" s="1"/>
  <c r="L10" i="9"/>
  <c r="K10" i="9"/>
  <c r="J10" i="9"/>
  <c r="L10" i="2"/>
  <c r="K10" i="2"/>
  <c r="S10" i="2"/>
  <c r="E19" i="10" s="1"/>
  <c r="F19" i="10" s="1"/>
  <c r="P9" i="9"/>
  <c r="Q9" i="9"/>
  <c r="J9" i="9"/>
  <c r="I10" i="9" l="1"/>
  <c r="J10" i="2"/>
  <c r="N10" i="2"/>
  <c r="E17" i="10" s="1"/>
  <c r="F17" i="10" s="1"/>
  <c r="O10" i="9"/>
  <c r="H10" i="9" s="1"/>
  <c r="I10" i="2"/>
  <c r="M9" i="2"/>
  <c r="L9" i="2"/>
  <c r="K9" i="2"/>
  <c r="L9" i="9"/>
  <c r="K9" i="9"/>
  <c r="I9" i="9" s="1"/>
  <c r="H10" i="2" l="1"/>
  <c r="G10" i="2" s="1"/>
  <c r="E10" i="2" s="1"/>
  <c r="J9" i="2"/>
  <c r="B20" i="7"/>
  <c r="R9" i="2"/>
  <c r="Q9" i="2" s="1"/>
  <c r="B24" i="7" l="1"/>
  <c r="B24" i="8"/>
  <c r="F10" i="9"/>
  <c r="G10" i="9"/>
  <c r="G9" i="9"/>
  <c r="F9" i="9"/>
  <c r="E10" i="9"/>
  <c r="E9" i="9"/>
  <c r="B3" i="7" l="1"/>
  <c r="B3" i="8"/>
  <c r="N9" i="9"/>
  <c r="M9" i="9" s="1"/>
  <c r="R9" i="9"/>
  <c r="O9" i="9" s="1"/>
  <c r="A1" i="9"/>
  <c r="H9" i="9" l="1"/>
  <c r="B2" i="2"/>
  <c r="A22" i="10" s="1"/>
  <c r="C2" i="2"/>
  <c r="C24" i="7"/>
  <c r="A16" i="10" l="1"/>
  <c r="A17" i="10"/>
  <c r="O9" i="2"/>
  <c r="C24" i="8"/>
  <c r="B27" i="8" l="1"/>
  <c r="C26" i="8"/>
  <c r="C25" i="8"/>
  <c r="C27" i="8" s="1"/>
  <c r="P9" i="2" l="1"/>
  <c r="N9" i="2" s="1"/>
  <c r="C26" i="7"/>
  <c r="H9" i="2" l="1"/>
  <c r="E16" i="10"/>
  <c r="F16" i="10" s="1"/>
  <c r="C25" i="7"/>
  <c r="B27" i="7" l="1"/>
  <c r="C27" i="7"/>
  <c r="P6" i="2" l="1"/>
  <c r="O6" i="2"/>
  <c r="R6" i="2"/>
  <c r="S9" i="2"/>
  <c r="E18" i="10" s="1"/>
  <c r="F18" i="10" l="1"/>
  <c r="F15" i="10" s="1"/>
  <c r="A2" i="6" s="1"/>
  <c r="E15" i="10"/>
  <c r="I9" i="2"/>
  <c r="G9" i="2" s="1"/>
  <c r="E9" i="2" s="1"/>
  <c r="Q6" i="2"/>
  <c r="N6" i="2" l="1"/>
  <c r="L6" i="2" l="1"/>
  <c r="M6" i="2"/>
  <c r="K6" i="2" l="1"/>
  <c r="T6" i="2"/>
  <c r="I6" i="2"/>
  <c r="G6" i="2" l="1"/>
  <c r="E22" i="10" s="1"/>
  <c r="J6" i="2"/>
  <c r="S6" i="2"/>
  <c r="F22" i="10" l="1"/>
  <c r="F21" i="10" s="1"/>
  <c r="E21" i="10"/>
  <c r="E26" i="10" s="1"/>
  <c r="F26" i="10" l="1"/>
  <c r="F29" i="10" s="1"/>
  <c r="F34" i="10" s="1"/>
  <c r="F36" i="10" s="1"/>
  <c r="C2" i="6"/>
  <c r="H6" i="2"/>
  <c r="F6" i="2" l="1"/>
  <c r="E6" i="2" l="1"/>
  <c r="A1" i="2"/>
  <c r="K2" i="6" l="1"/>
</calcChain>
</file>

<file path=xl/sharedStrings.xml><?xml version="1.0" encoding="utf-8"?>
<sst xmlns="http://schemas.openxmlformats.org/spreadsheetml/2006/main" count="155" uniqueCount="111">
  <si>
    <r>
      <t>N</t>
    </r>
    <r>
      <rPr>
        <b/>
        <sz val="12"/>
        <color rgb="FF8DC63F"/>
        <rFont val="Calibri"/>
        <family val="2"/>
        <scheme val="minor"/>
      </rPr>
      <t>N</t>
    </r>
    <r>
      <rPr>
        <b/>
        <sz val="12"/>
        <color rgb="FF0066B3"/>
        <rFont val="Calibri"/>
        <family val="2"/>
        <scheme val="minor"/>
      </rPr>
      <t>Road</t>
    </r>
    <r>
      <rPr>
        <b/>
        <sz val="12"/>
        <color rgb="FF8DC63F"/>
        <rFont val="Calibri"/>
        <family val="2"/>
        <scheme val="minor"/>
      </rPr>
      <t> – Employer of Record, Payroll Worldwide</t>
    </r>
  </si>
  <si>
    <t>333 W San Carlos St., Suite 600, San Jose, CA 95113, USA</t>
    <phoneticPr fontId="6" type="noConversion"/>
  </si>
  <si>
    <t>USA: +1 (669) 377-5080 | www.NNRoad.com</t>
    <phoneticPr fontId="6" type="noConversion"/>
  </si>
  <si>
    <t>INVOICE</t>
  </si>
  <si>
    <t>Bill to:</t>
  </si>
  <si>
    <t>Company name:</t>
  </si>
  <si>
    <t>ERI</t>
  </si>
  <si>
    <t>Currency</t>
  </si>
  <si>
    <t>USD</t>
  </si>
  <si>
    <t>Client ID:</t>
  </si>
  <si>
    <t>CUS1510</t>
  </si>
  <si>
    <t>Invoice number</t>
  </si>
  <si>
    <t>Address:</t>
  </si>
  <si>
    <t>1579 Desert Island Drive, Fresno, CA 93720</t>
  </si>
  <si>
    <t>Invoice date</t>
  </si>
  <si>
    <t>Due date</t>
  </si>
  <si>
    <t>Description</t>
  </si>
  <si>
    <t>Approx. In USD*</t>
  </si>
  <si>
    <t>EOR/PEO Cost</t>
  </si>
  <si>
    <t>Service Fee</t>
  </si>
  <si>
    <t xml:space="preserve">EOR/PEO Service Cost		</t>
  </si>
  <si>
    <t>EOR/PEO Service Cost</t>
  </si>
  <si>
    <t xml:space="preserve">Outstanding payment </t>
  </si>
  <si>
    <t xml:space="preserve">FX difference 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</si>
  <si>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</si>
  <si>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</si>
  <si>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</si>
  <si>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</si>
  <si>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</si>
  <si>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</si>
  <si>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Beneficiary: NNROAD, INC.
Bank Name: Chase Bank
Bank Account: 132827913
Bank Add.: 690 River Oaks Parkway Ste A, San Jose, CA 95134, USA</t>
  </si>
  <si>
    <t xml:space="preserve">
SWIFT BIC (international transfer): CHASUS33XXX
Routing Number (domestic wire transfer): 021000021
Routing Number (domestic ACH and direct deposit): 322271627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</si>
  <si>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</si>
  <si>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</si>
  <si>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</si>
  <si>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</si>
  <si>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Pay Period</t>
    <phoneticPr fontId="0" type="noConversion"/>
  </si>
  <si>
    <t>ER</t>
  </si>
  <si>
    <t>Sum</t>
    <phoneticPr fontId="1" type="noConversion"/>
  </si>
  <si>
    <t>Business
Tax</t>
    <phoneticPr fontId="1" type="noConversion"/>
  </si>
  <si>
    <t>Management Fee
Fee</t>
  </si>
  <si>
    <t>Gross Salary</t>
    <phoneticPr fontId="1" type="noConversion"/>
  </si>
  <si>
    <t>Mandatory Contribution</t>
    <phoneticPr fontId="1" type="noConversion"/>
  </si>
  <si>
    <t>Other Pay For EE</t>
    <phoneticPr fontId="1" type="noConversion"/>
  </si>
  <si>
    <t>Expense Claim</t>
    <phoneticPr fontId="1" type="noConversion"/>
  </si>
  <si>
    <t>Subtotal</t>
    <phoneticPr fontId="1" type="noConversion"/>
  </si>
  <si>
    <t>Recurring
Fee</t>
    <phoneticPr fontId="1" type="noConversion"/>
  </si>
  <si>
    <t>Expense
Fee</t>
    <phoneticPr fontId="1" type="noConversion"/>
  </si>
  <si>
    <t>Basic
Salary</t>
  </si>
  <si>
    <t>Holiday Pay</t>
  </si>
  <si>
    <t>Car Allowance</t>
  </si>
  <si>
    <t>ER' NIC</t>
  </si>
  <si>
    <t>ER' Pension (Auto Enrolment)</t>
  </si>
  <si>
    <t>App Levy</t>
  </si>
  <si>
    <t>Expense
Claim</t>
    <phoneticPr fontId="1" type="noConversion"/>
  </si>
  <si>
    <t>(GBP)</t>
  </si>
  <si>
    <t>Adrian Grace</t>
  </si>
  <si>
    <t>Darren Staples</t>
  </si>
  <si>
    <t>Other Fee</t>
    <phoneticPr fontId="5" type="noConversion"/>
  </si>
  <si>
    <t>Interests of delay</t>
  </si>
  <si>
    <t>Bank Charges</t>
  </si>
  <si>
    <t xml:space="preserve">Invoice adjustment </t>
  </si>
  <si>
    <t>EE</t>
    <phoneticPr fontId="1" type="noConversion"/>
  </si>
  <si>
    <t>Client Code</t>
  </si>
  <si>
    <t>Client Name</t>
  </si>
  <si>
    <t>EE Code</t>
  </si>
  <si>
    <t>EE Name</t>
  </si>
  <si>
    <t>Pay Period</t>
  </si>
  <si>
    <t>Net
Income</t>
    <phoneticPr fontId="1" type="noConversion"/>
  </si>
  <si>
    <t>From</t>
  </si>
  <si>
    <t>To</t>
  </si>
  <si>
    <t>Basic
Salary</t>
    <phoneticPr fontId="1" type="noConversion"/>
  </si>
  <si>
    <t>Holiday Pay</t>
    <phoneticPr fontId="1" type="noConversion"/>
  </si>
  <si>
    <t>Car Allowance</t>
    <phoneticPr fontId="1" type="noConversion"/>
  </si>
  <si>
    <t>PAYE (Estimated)</t>
  </si>
  <si>
    <t>EE'NIC</t>
  </si>
  <si>
    <t>EE' Pension 
(Auto Enrolment)</t>
  </si>
  <si>
    <t>EOR/PEO(GBP)</t>
  </si>
  <si>
    <t>Details</t>
  </si>
  <si>
    <t>Amount in GBP</t>
  </si>
  <si>
    <t>Days Paid</t>
  </si>
  <si>
    <t xml:space="preserve"> Full Month</t>
  </si>
  <si>
    <t>Gross Salary</t>
  </si>
  <si>
    <t>Gross Salary + Er NIC</t>
  </si>
  <si>
    <t>EE' Pension (Auto Enrolment)</t>
  </si>
  <si>
    <t>Net Salary</t>
  </si>
  <si>
    <t>Total Cost</t>
  </si>
  <si>
    <t>Amount in USD</t>
  </si>
  <si>
    <t>Exchange Rate</t>
  </si>
  <si>
    <t>Depsoit Invoice Amount</t>
  </si>
  <si>
    <t>Setup Fees</t>
  </si>
  <si>
    <t>Payment Fees</t>
  </si>
  <si>
    <t>Regular Monthly Invoice Amount</t>
  </si>
  <si>
    <t>Holiday</t>
  </si>
  <si>
    <t>Direct Cost</t>
    <phoneticPr fontId="0" type="noConversion"/>
  </si>
  <si>
    <t>Business Tax</t>
    <phoneticPr fontId="0" type="noConversion"/>
  </si>
  <si>
    <t>Service Fee</t>
    <phoneticPr fontId="0" type="noConversion"/>
  </si>
  <si>
    <t xml:space="preserve">Bank Fee * </t>
    <phoneticPr fontId="0" type="noConversion"/>
  </si>
  <si>
    <t>Late Pay Fine</t>
    <phoneticPr fontId="0" type="noConversion"/>
  </si>
  <si>
    <t>Advance Payment</t>
    <phoneticPr fontId="0" type="noConversion"/>
  </si>
  <si>
    <t>Deposit</t>
  </si>
  <si>
    <t>Outstanding payment **</t>
    <phoneticPr fontId="1" type="noConversion"/>
  </si>
  <si>
    <t xml:space="preserve">FX difference </t>
    <phoneticPr fontId="1" type="noConversion"/>
  </si>
  <si>
    <t>Invoice adjustment ***</t>
    <phoneticPr fontId="1" type="noConversion"/>
  </si>
  <si>
    <t>total</t>
    <phoneticPr fontId="0" type="noConversion"/>
  </si>
  <si>
    <t>* NNRoad USD 10 + vendor bank in Vendor's invoice</t>
    <phoneticPr fontId="1" type="noConversion"/>
  </si>
  <si>
    <t>** the differnece between NNRoad PN and the amount we actually received</t>
    <phoneticPr fontId="1" type="noConversion"/>
  </si>
  <si>
    <t>*** PN adjustment with pre-payment or PN revisal</t>
    <phoneticPr fontId="1" type="noConversion"/>
  </si>
  <si>
    <t>Adrian Grace Salary Calculation for FY 26-27</t>
  </si>
  <si>
    <t>Darren Staples Salary Calculation for FY 26-25</t>
  </si>
  <si>
    <t>PN-CUS1510-030920261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</si>
</sst>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_ "/>
    <numFmt numFmtId="167" formatCode="m/d/yyyy;@"/>
    <numFmt numFmtId="168" formatCode="_-* #,##0.00_-;\-* #,##0.00_-;_-* &quot;-&quot;??_-;_-@_-"/>
    <numFmt numFmtId="169" formatCode="#,##0.00000000000"/>
    <numFmt numFmtId="170" formatCode="#,##0.0000"/>
    <numFmt numFmtId="171" formatCode="#,##0.000000"/>
    <numFmt numFmtId="172" formatCode="[$-409]mmm\-yy;@"/>
    <numFmt numFmtId="173" formatCode="0.0000"/>
  </numFmts>
  <fonts count="36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0"/>
      <name val="Comic Sans MS"/>
      <family val="4"/>
    </font>
    <font>
      <b/>
      <sz val="8"/>
      <name val="Calibri"/>
      <family val="3"/>
      <charset val="134"/>
      <scheme val="minor"/>
    </font>
    <font>
      <b/>
      <sz val="8"/>
      <color theme="1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66B3"/>
      <name val="Calibri"/>
      <family val="2"/>
      <scheme val="minor"/>
    </font>
    <font>
      <b/>
      <sz val="12"/>
      <color rgb="FF8DC63F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color rgb="FF000000"/>
      <name val="Calibri"/>
      <family val="4"/>
      <charset val="134"/>
      <scheme val="minor"/>
    </font>
    <font>
      <sz val="10"/>
      <color rgb="FF000000"/>
      <name val="Calibri"/>
      <family val="4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FFED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5"/>
      </left>
      <right/>
      <top style="medium">
        <color theme="8" tint="0.59996337778862885"/>
      </top>
      <bottom/>
      <diagonal/>
    </border>
    <border>
      <left/>
      <right/>
      <top style="medium">
        <color theme="8" tint="0.59996337778862885"/>
      </top>
      <bottom/>
      <diagonal/>
    </border>
    <border>
      <left/>
      <right style="medium">
        <color theme="8" tint="0.59996337778862885"/>
      </right>
      <top style="medium">
        <color theme="8" tint="0.59996337778862885"/>
      </top>
      <bottom/>
      <diagonal/>
    </border>
    <border>
      <left style="medium">
        <color theme="8" tint="0.59996337778862885"/>
      </left>
      <right/>
      <top/>
      <bottom/>
      <diagonal/>
    </border>
    <border>
      <left/>
      <right style="medium">
        <color theme="8" tint="0.59996337778862885"/>
      </right>
      <top/>
      <bottom/>
      <diagonal/>
    </border>
    <border>
      <left style="medium">
        <color theme="8" tint="0.59996337778862885"/>
      </left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 style="medium">
        <color theme="8" tint="0.59996337778862885"/>
      </right>
      <top style="hair">
        <color theme="8" tint="0.59996337778862885"/>
      </top>
      <bottom style="medium">
        <color theme="8" tint="0.59996337778862885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01"/>
      </right>
      <top/>
      <bottom/>
      <diagonal/>
    </border>
    <border>
      <left style="dashDot">
        <color theme="9" tint="-0.24994659260841701"/>
      </left>
      <right/>
      <top/>
      <bottom/>
      <diagonal/>
    </border>
  </borders>
  <cellStyleXfs count="6">
    <xf numFmtId="0" fontId="0" fillId="0" borderId="0">
      <alignment vertical="center"/>
    </xf>
    <xf numFmtId="165" fontId="4" fillId="0" borderId="0" applyFont="0" applyFill="0" applyBorder="0" applyAlignment="0" applyProtection="0"/>
    <xf numFmtId="0" fontId="4" fillId="0" borderId="0"/>
    <xf numFmtId="0" fontId="8" fillId="0" borderId="0"/>
    <xf numFmtId="165" fontId="8" fillId="0" borderId="0" applyFont="0" applyFill="0" applyBorder="0" applyAlignment="0" applyProtection="0"/>
    <xf numFmtId="168" fontId="8" fillId="0" borderId="0" applyFont="0" applyFill="0" applyBorder="0" applyAlignment="0" applyProtection="0"/>
  </cellStyleXfs>
  <cellXfs count="19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49" fontId="0" fillId="2" borderId="0" xfId="0" applyNumberFormat="1" applyFill="1">
      <alignment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66" fontId="3" fillId="2" borderId="8" xfId="0" applyNumberFormat="1" applyFont="1" applyFill="1" applyBorder="1">
      <alignment vertical="center"/>
    </xf>
    <xf numFmtId="166" fontId="3" fillId="2" borderId="9" xfId="0" applyNumberFormat="1" applyFont="1" applyFill="1" applyBorder="1">
      <alignment vertical="center"/>
    </xf>
    <xf numFmtId="166" fontId="3" fillId="2" borderId="10" xfId="0" applyNumberFormat="1" applyFont="1" applyFill="1" applyBorder="1">
      <alignment vertical="center"/>
    </xf>
    <xf numFmtId="166" fontId="0" fillId="2" borderId="8" xfId="0" applyNumberFormat="1" applyFill="1" applyBorder="1">
      <alignment vertical="center"/>
    </xf>
    <xf numFmtId="166" fontId="0" fillId="2" borderId="9" xfId="0" applyNumberFormat="1" applyFill="1" applyBorder="1">
      <alignment vertical="center"/>
    </xf>
    <xf numFmtId="166" fontId="0" fillId="2" borderId="10" xfId="0" applyNumberFormat="1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2" fillId="0" borderId="0" xfId="0" applyFont="1">
      <alignment vertical="center"/>
    </xf>
    <xf numFmtId="166" fontId="0" fillId="2" borderId="11" xfId="0" applyNumberFormat="1" applyFill="1" applyBorder="1">
      <alignment vertical="center"/>
    </xf>
    <xf numFmtId="166" fontId="0" fillId="2" borderId="12" xfId="0" applyNumberFormat="1" applyFill="1" applyBorder="1">
      <alignment vertical="center"/>
    </xf>
    <xf numFmtId="166" fontId="3" fillId="2" borderId="12" xfId="0" applyNumberFormat="1" applyFont="1" applyFill="1" applyBorder="1">
      <alignment vertical="center"/>
    </xf>
    <xf numFmtId="0" fontId="7" fillId="0" borderId="6" xfId="0" applyFont="1" applyBorder="1" applyAlignment="1">
      <alignment horizontal="center" vertical="center" wrapText="1"/>
    </xf>
    <xf numFmtId="2" fontId="0" fillId="2" borderId="8" xfId="0" applyNumberFormat="1" applyFill="1" applyBorder="1">
      <alignment vertical="center"/>
    </xf>
    <xf numFmtId="2" fontId="0" fillId="2" borderId="9" xfId="0" applyNumberFormat="1" applyFill="1" applyBorder="1">
      <alignment vertical="center"/>
    </xf>
    <xf numFmtId="2" fontId="0" fillId="2" borderId="10" xfId="0" applyNumberFormat="1" applyFill="1" applyBorder="1">
      <alignment vertical="center"/>
    </xf>
    <xf numFmtId="0" fontId="0" fillId="0" borderId="0" xfId="0" applyAlignment="1">
      <alignment vertical="center" wrapText="1"/>
    </xf>
    <xf numFmtId="14" fontId="0" fillId="2" borderId="0" xfId="0" applyNumberFormat="1" applyFill="1">
      <alignment vertical="center"/>
    </xf>
    <xf numFmtId="169" fontId="0" fillId="0" borderId="0" xfId="0" applyNumberFormat="1">
      <alignment vertical="center"/>
    </xf>
    <xf numFmtId="0" fontId="8" fillId="0" borderId="0" xfId="3"/>
    <xf numFmtId="0" fontId="11" fillId="0" borderId="0" xfId="3" applyFont="1"/>
    <xf numFmtId="0" fontId="11" fillId="0" borderId="0" xfId="3" applyFont="1" applyAlignment="1">
      <alignment horizontal="center"/>
    </xf>
    <xf numFmtId="0" fontId="10" fillId="0" borderId="20" xfId="3" applyFont="1" applyBorder="1" applyAlignment="1">
      <alignment horizontal="center"/>
    </xf>
    <xf numFmtId="49" fontId="10" fillId="0" borderId="20" xfId="3" applyNumberFormat="1" applyFont="1" applyBorder="1" applyAlignment="1">
      <alignment horizontal="center"/>
    </xf>
    <xf numFmtId="0" fontId="10" fillId="0" borderId="20" xfId="3" applyFont="1" applyBorder="1"/>
    <xf numFmtId="0" fontId="11" fillId="0" borderId="20" xfId="3" applyFont="1" applyBorder="1" applyAlignment="1">
      <alignment horizontal="center"/>
    </xf>
    <xf numFmtId="165" fontId="11" fillId="0" borderId="20" xfId="4" applyFont="1" applyFill="1" applyBorder="1" applyAlignment="1">
      <alignment horizontal="center"/>
    </xf>
    <xf numFmtId="0" fontId="10" fillId="3" borderId="20" xfId="3" applyFont="1" applyFill="1" applyBorder="1"/>
    <xf numFmtId="165" fontId="10" fillId="3" borderId="20" xfId="4" applyFont="1" applyFill="1" applyBorder="1" applyAlignment="1">
      <alignment horizontal="center"/>
    </xf>
    <xf numFmtId="0" fontId="12" fillId="0" borderId="0" xfId="3" applyFont="1"/>
    <xf numFmtId="0" fontId="12" fillId="0" borderId="20" xfId="3" applyFont="1" applyBorder="1"/>
    <xf numFmtId="0" fontId="10" fillId="4" borderId="20" xfId="3" applyFont="1" applyFill="1" applyBorder="1"/>
    <xf numFmtId="165" fontId="10" fillId="4" borderId="20" xfId="4" applyFont="1" applyFill="1" applyBorder="1" applyAlignment="1">
      <alignment horizontal="center"/>
    </xf>
    <xf numFmtId="0" fontId="8" fillId="0" borderId="20" xfId="3" applyBorder="1"/>
    <xf numFmtId="168" fontId="0" fillId="0" borderId="20" xfId="5" applyFont="1" applyBorder="1" applyAlignment="1">
      <alignment horizontal="center"/>
    </xf>
    <xf numFmtId="168" fontId="8" fillId="0" borderId="20" xfId="3" applyNumberFormat="1" applyBorder="1"/>
    <xf numFmtId="0" fontId="12" fillId="4" borderId="20" xfId="3" applyFont="1" applyFill="1" applyBorder="1"/>
    <xf numFmtId="165" fontId="12" fillId="4" borderId="20" xfId="3" applyNumberFormat="1" applyFont="1" applyFill="1" applyBorder="1" applyAlignment="1">
      <alignment horizontal="center"/>
    </xf>
    <xf numFmtId="0" fontId="8" fillId="0" borderId="0" xfId="3" applyAlignment="1">
      <alignment horizontal="center"/>
    </xf>
    <xf numFmtId="168" fontId="8" fillId="0" borderId="0" xfId="3" applyNumberFormat="1"/>
    <xf numFmtId="0" fontId="10" fillId="0" borderId="0" xfId="0" applyFont="1" applyAlignment="1"/>
    <xf numFmtId="171" fontId="0" fillId="0" borderId="0" xfId="0" applyNumberFormat="1">
      <alignment vertical="center"/>
    </xf>
    <xf numFmtId="0" fontId="10" fillId="0" borderId="20" xfId="0" applyFont="1" applyBorder="1" applyAlignment="1"/>
    <xf numFmtId="0" fontId="10" fillId="3" borderId="20" xfId="0" applyFont="1" applyFill="1" applyBorder="1" applyAlignment="1"/>
    <xf numFmtId="172" fontId="10" fillId="0" borderId="0" xfId="0" applyNumberFormat="1" applyFont="1" applyAlignment="1">
      <alignment horizontal="center"/>
    </xf>
    <xf numFmtId="0" fontId="3" fillId="0" borderId="5" xfId="0" applyFont="1" applyBorder="1">
      <alignment vertical="center"/>
    </xf>
    <xf numFmtId="0" fontId="9" fillId="0" borderId="0" xfId="3" applyFont="1" applyAlignment="1">
      <alignment horizontal="left"/>
    </xf>
    <xf numFmtId="0" fontId="3" fillId="5" borderId="6" xfId="0" applyFont="1" applyFill="1" applyBorder="1" applyAlignment="1">
      <alignment horizontal="center" vertical="center" wrapText="1"/>
    </xf>
    <xf numFmtId="0" fontId="14" fillId="0" borderId="0" xfId="3" applyFont="1" applyAlignment="1">
      <alignment vertical="center"/>
    </xf>
    <xf numFmtId="0" fontId="17" fillId="0" borderId="0" xfId="3" applyFont="1" applyAlignment="1">
      <alignment horizontal="right" vertical="center"/>
    </xf>
    <xf numFmtId="0" fontId="14" fillId="0" borderId="0" xfId="3" applyFont="1" applyAlignment="1">
      <alignment horizontal="right" vertical="center"/>
    </xf>
    <xf numFmtId="0" fontId="17" fillId="0" borderId="0" xfId="3" applyFont="1" applyAlignment="1">
      <alignment vertical="center"/>
    </xf>
    <xf numFmtId="0" fontId="20" fillId="0" borderId="0" xfId="3" applyFont="1" applyAlignment="1">
      <alignment horizontal="center" vertical="center"/>
    </xf>
    <xf numFmtId="0" fontId="21" fillId="0" borderId="0" xfId="3" applyFont="1" applyAlignment="1">
      <alignment vertical="center"/>
    </xf>
    <xf numFmtId="0" fontId="22" fillId="0" borderId="0" xfId="3" applyFont="1" applyAlignment="1">
      <alignment vertical="center"/>
    </xf>
    <xf numFmtId="0" fontId="23" fillId="0" borderId="0" xfId="3" applyFont="1" applyAlignment="1">
      <alignment horizontal="right" vertical="center"/>
    </xf>
    <xf numFmtId="0" fontId="23" fillId="0" borderId="0" xfId="3" applyFont="1" applyAlignment="1">
      <alignment vertical="center"/>
    </xf>
    <xf numFmtId="0" fontId="24" fillId="0" borderId="0" xfId="3" applyFont="1" applyAlignment="1">
      <alignment horizontal="right" vertical="center"/>
    </xf>
    <xf numFmtId="0" fontId="24" fillId="0" borderId="0" xfId="3" applyFont="1" applyAlignment="1">
      <alignment vertical="center"/>
    </xf>
    <xf numFmtId="0" fontId="23" fillId="0" borderId="0" xfId="3" applyFont="1" applyAlignment="1">
      <alignment vertical="top" wrapText="1"/>
    </xf>
    <xf numFmtId="14" fontId="23" fillId="0" borderId="0" xfId="3" applyNumberFormat="1" applyFont="1" applyAlignment="1">
      <alignment vertical="center"/>
    </xf>
    <xf numFmtId="0" fontId="25" fillId="0" borderId="0" xfId="3" applyFont="1" applyAlignment="1">
      <alignment horizontal="right" vertical="center"/>
    </xf>
    <xf numFmtId="0" fontId="26" fillId="0" borderId="0" xfId="3" applyFont="1" applyAlignment="1">
      <alignment vertical="center"/>
    </xf>
    <xf numFmtId="14" fontId="26" fillId="0" borderId="0" xfId="3" applyNumberFormat="1" applyFont="1" applyAlignment="1">
      <alignment horizontal="left" vertical="center"/>
    </xf>
    <xf numFmtId="0" fontId="9" fillId="6" borderId="30" xfId="3" applyFont="1" applyFill="1" applyBorder="1" applyAlignment="1">
      <alignment horizontal="center" vertical="center"/>
    </xf>
    <xf numFmtId="0" fontId="9" fillId="6" borderId="31" xfId="3" applyFont="1" applyFill="1" applyBorder="1" applyAlignment="1">
      <alignment horizontal="center" vertical="center"/>
    </xf>
    <xf numFmtId="0" fontId="10" fillId="0" borderId="0" xfId="3" applyFont="1" applyAlignment="1">
      <alignment horizontal="right" vertical="center"/>
    </xf>
    <xf numFmtId="0" fontId="10" fillId="0" borderId="0" xfId="3" applyFont="1" applyAlignment="1">
      <alignment vertical="center"/>
    </xf>
    <xf numFmtId="0" fontId="27" fillId="0" borderId="0" xfId="3" applyFont="1" applyAlignment="1">
      <alignment horizontal="left" vertical="center" indent="1"/>
    </xf>
    <xf numFmtId="165" fontId="27" fillId="0" borderId="0" xfId="3" applyNumberFormat="1" applyFont="1" applyAlignment="1">
      <alignment horizontal="left" vertical="center"/>
    </xf>
    <xf numFmtId="164" fontId="13" fillId="0" borderId="33" xfId="3" applyNumberFormat="1" applyFont="1" applyBorder="1" applyAlignment="1">
      <alignment horizontal="left" vertical="center"/>
    </xf>
    <xf numFmtId="166" fontId="28" fillId="0" borderId="0" xfId="3" applyNumberFormat="1" applyFont="1" applyAlignment="1">
      <alignment horizontal="right" vertical="center"/>
    </xf>
    <xf numFmtId="0" fontId="28" fillId="0" borderId="0" xfId="3" applyFont="1" applyAlignment="1">
      <alignment vertical="center"/>
    </xf>
    <xf numFmtId="0" fontId="17" fillId="0" borderId="0" xfId="3" applyFont="1" applyAlignment="1">
      <alignment horizontal="left" vertical="center" indent="3"/>
    </xf>
    <xf numFmtId="165" fontId="17" fillId="0" borderId="0" xfId="3" applyNumberFormat="1" applyFont="1" applyAlignment="1">
      <alignment horizontal="left" vertical="center" indent="1"/>
    </xf>
    <xf numFmtId="164" fontId="17" fillId="0" borderId="33" xfId="3" applyNumberFormat="1" applyFont="1" applyBorder="1" applyAlignment="1">
      <alignment horizontal="left" vertical="center"/>
    </xf>
    <xf numFmtId="166" fontId="29" fillId="0" borderId="0" xfId="3" applyNumberFormat="1" applyFont="1" applyAlignment="1">
      <alignment horizontal="right" vertical="center"/>
    </xf>
    <xf numFmtId="0" fontId="29" fillId="0" borderId="0" xfId="3" applyFont="1" applyAlignment="1">
      <alignment vertical="center"/>
    </xf>
    <xf numFmtId="166" fontId="14" fillId="0" borderId="0" xfId="3" applyNumberFormat="1" applyFont="1" applyAlignment="1">
      <alignment horizontal="right" vertical="center"/>
    </xf>
    <xf numFmtId="0" fontId="17" fillId="0" borderId="0" xfId="3" applyFont="1" applyAlignment="1">
      <alignment horizontal="left" vertical="center" indent="1"/>
    </xf>
    <xf numFmtId="0" fontId="17" fillId="0" borderId="0" xfId="3" applyFont="1" applyAlignment="1">
      <alignment horizontal="center" vertical="center"/>
    </xf>
    <xf numFmtId="165" fontId="17" fillId="0" borderId="0" xfId="3" applyNumberFormat="1" applyFont="1" applyAlignment="1">
      <alignment horizontal="left" vertical="center"/>
    </xf>
    <xf numFmtId="164" fontId="27" fillId="0" borderId="33" xfId="3" applyNumberFormat="1" applyFont="1" applyBorder="1" applyAlignment="1">
      <alignment horizontal="left" vertical="center"/>
    </xf>
    <xf numFmtId="166" fontId="30" fillId="0" borderId="0" xfId="3" applyNumberFormat="1" applyFont="1" applyAlignment="1">
      <alignment horizontal="right" vertical="center"/>
    </xf>
    <xf numFmtId="0" fontId="30" fillId="0" borderId="0" xfId="3" applyFont="1" applyAlignment="1">
      <alignment vertical="center"/>
    </xf>
    <xf numFmtId="0" fontId="17" fillId="0" borderId="0" xfId="3" applyFont="1" applyAlignment="1">
      <alignment horizontal="left" vertical="center" indent="2"/>
    </xf>
    <xf numFmtId="0" fontId="12" fillId="0" borderId="0" xfId="3" applyFont="1" applyAlignment="1">
      <alignment horizontal="left" vertical="center" indent="1"/>
    </xf>
    <xf numFmtId="165" fontId="14" fillId="0" borderId="0" xfId="3" applyNumberFormat="1" applyFont="1" applyAlignment="1">
      <alignment horizontal="left" vertical="center"/>
    </xf>
    <xf numFmtId="164" fontId="14" fillId="0" borderId="33" xfId="3" applyNumberFormat="1" applyFont="1" applyBorder="1" applyAlignment="1">
      <alignment horizontal="left" vertical="center"/>
    </xf>
    <xf numFmtId="165" fontId="31" fillId="0" borderId="35" xfId="3" applyNumberFormat="1" applyFont="1" applyBorder="1" applyAlignment="1">
      <alignment horizontal="left" vertical="center"/>
    </xf>
    <xf numFmtId="164" fontId="31" fillId="0" borderId="36" xfId="3" applyNumberFormat="1" applyFont="1" applyBorder="1" applyAlignment="1">
      <alignment horizontal="left" vertical="center"/>
    </xf>
    <xf numFmtId="0" fontId="31" fillId="0" borderId="0" xfId="3" applyFont="1" applyAlignment="1">
      <alignment vertical="center"/>
    </xf>
    <xf numFmtId="0" fontId="31" fillId="0" borderId="0" xfId="3" applyFont="1" applyAlignment="1">
      <alignment horizontal="center" vertical="center"/>
    </xf>
    <xf numFmtId="165" fontId="31" fillId="0" borderId="0" xfId="3" applyNumberFormat="1" applyFont="1" applyAlignment="1">
      <alignment vertical="center"/>
    </xf>
    <xf numFmtId="164" fontId="31" fillId="0" borderId="0" xfId="3" applyNumberFormat="1" applyFont="1" applyAlignment="1">
      <alignment horizontal="right" vertical="center"/>
    </xf>
    <xf numFmtId="0" fontId="31" fillId="0" borderId="0" xfId="3" applyFont="1" applyAlignment="1">
      <alignment horizontal="right" vertical="center"/>
    </xf>
    <xf numFmtId="0" fontId="32" fillId="0" borderId="0" xfId="3" applyFont="1" applyAlignment="1">
      <alignment vertical="center" wrapText="1"/>
    </xf>
    <xf numFmtId="173" fontId="32" fillId="0" borderId="0" xfId="3" applyNumberFormat="1" applyFont="1" applyAlignment="1">
      <alignment horizontal="left" vertical="center" indent="1"/>
    </xf>
    <xf numFmtId="164" fontId="33" fillId="0" borderId="39" xfId="3" applyNumberFormat="1" applyFont="1" applyBorder="1" applyAlignment="1">
      <alignment horizontal="right" vertical="center"/>
    </xf>
    <xf numFmtId="0" fontId="32" fillId="0" borderId="0" xfId="3" applyFont="1" applyAlignment="1">
      <alignment vertical="center"/>
    </xf>
    <xf numFmtId="164" fontId="33" fillId="0" borderId="41" xfId="3" applyNumberFormat="1" applyFont="1" applyBorder="1" applyAlignment="1">
      <alignment horizontal="right" vertical="center"/>
    </xf>
    <xf numFmtId="40" fontId="31" fillId="0" borderId="0" xfId="3" applyNumberFormat="1" applyFont="1" applyAlignment="1">
      <alignment vertical="center"/>
    </xf>
    <xf numFmtId="164" fontId="33" fillId="0" borderId="44" xfId="3" applyNumberFormat="1" applyFont="1" applyBorder="1" applyAlignment="1">
      <alignment horizontal="right" vertical="center"/>
    </xf>
    <xf numFmtId="164" fontId="12" fillId="0" borderId="41" xfId="3" applyNumberFormat="1" applyFont="1" applyBorder="1" applyAlignment="1">
      <alignment horizontal="right" vertical="center"/>
    </xf>
    <xf numFmtId="0" fontId="12" fillId="0" borderId="0" xfId="3" applyFont="1" applyAlignment="1">
      <alignment vertical="center"/>
    </xf>
    <xf numFmtId="164" fontId="12" fillId="0" borderId="47" xfId="3" applyNumberFormat="1" applyFont="1" applyBorder="1" applyAlignment="1">
      <alignment horizontal="right" vertical="center"/>
    </xf>
    <xf numFmtId="164" fontId="14" fillId="0" borderId="0" xfId="3" applyNumberFormat="1" applyFont="1" applyAlignment="1">
      <alignment vertical="center"/>
    </xf>
    <xf numFmtId="170" fontId="12" fillId="4" borderId="20" xfId="5" applyNumberFormat="1" applyFont="1" applyFill="1" applyBorder="1"/>
    <xf numFmtId="0" fontId="3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167" fontId="7" fillId="0" borderId="0" xfId="0" applyNumberFormat="1" applyFont="1">
      <alignment vertical="center"/>
    </xf>
    <xf numFmtId="0" fontId="34" fillId="0" borderId="0" xfId="0" applyFont="1">
      <alignment vertical="center"/>
    </xf>
    <xf numFmtId="40" fontId="35" fillId="0" borderId="23" xfId="0" applyNumberFormat="1" applyFont="1" applyBorder="1">
      <alignment vertical="center"/>
    </xf>
    <xf numFmtId="40" fontId="35" fillId="0" borderId="24" xfId="0" applyNumberFormat="1" applyFont="1" applyBorder="1">
      <alignment vertical="center"/>
    </xf>
    <xf numFmtId="40" fontId="35" fillId="0" borderId="25" xfId="0" applyNumberFormat="1" applyFont="1" applyBorder="1">
      <alignment vertical="center"/>
    </xf>
    <xf numFmtId="40" fontId="35" fillId="0" borderId="26" xfId="0" applyNumberFormat="1" applyFont="1" applyBorder="1">
      <alignment vertical="center"/>
    </xf>
    <xf numFmtId="40" fontId="35" fillId="0" borderId="27" xfId="0" applyNumberFormat="1" applyFont="1" applyBorder="1">
      <alignment vertical="center"/>
    </xf>
    <xf numFmtId="40" fontId="35" fillId="0" borderId="28" xfId="0" applyNumberFormat="1" applyFont="1" applyBorder="1">
      <alignment vertical="center"/>
    </xf>
    <xf numFmtId="164" fontId="0" fillId="0" borderId="0" xfId="0" applyNumberFormat="1">
      <alignment vertical="center"/>
    </xf>
    <xf numFmtId="0" fontId="0" fillId="5" borderId="0" xfId="0" applyFill="1" applyAlignment="1">
      <alignment vertical="center" wrapText="1"/>
    </xf>
    <xf numFmtId="165" fontId="12" fillId="0" borderId="45" xfId="3" applyNumberFormat="1" applyFont="1" applyBorder="1" applyAlignment="1">
      <alignment horizontal="right" vertical="center"/>
    </xf>
    <xf numFmtId="165" fontId="12" fillId="0" borderId="46" xfId="3" applyNumberFormat="1" applyFont="1" applyBorder="1" applyAlignment="1">
      <alignment horizontal="right" vertical="center"/>
    </xf>
    <xf numFmtId="0" fontId="12" fillId="7" borderId="0" xfId="3" applyFont="1" applyFill="1" applyAlignment="1">
      <alignment horizontal="center"/>
    </xf>
    <xf numFmtId="166" fontId="14" fillId="8" borderId="0" xfId="3" applyNumberFormat="1" applyFont="1" applyFill="1" applyAlignment="1">
      <alignment horizontal="left" vertical="center" wrapText="1" indent="2"/>
    </xf>
    <xf numFmtId="166" fontId="14" fillId="8" borderId="48" xfId="3" applyNumberFormat="1" applyFont="1" applyFill="1" applyBorder="1" applyAlignment="1">
      <alignment horizontal="left" vertical="center" wrapText="1" indent="2"/>
    </xf>
    <xf numFmtId="166" fontId="14" fillId="8" borderId="49" xfId="3" applyNumberFormat="1" applyFont="1" applyFill="1" applyBorder="1" applyAlignment="1">
      <alignment horizontal="left" vertical="center" wrapText="1" indent="2"/>
    </xf>
    <xf numFmtId="0" fontId="17" fillId="0" borderId="32" xfId="3" applyFont="1" applyBorder="1" applyAlignment="1">
      <alignment horizontal="left" vertical="center" indent="3"/>
    </xf>
    <xf numFmtId="0" fontId="17" fillId="0" borderId="0" xfId="3" applyFont="1" applyAlignment="1">
      <alignment horizontal="left" vertical="center" indent="3"/>
    </xf>
    <xf numFmtId="165" fontId="33" fillId="0" borderId="40" xfId="3" applyNumberFormat="1" applyFont="1" applyBorder="1" applyAlignment="1">
      <alignment horizontal="right" vertical="center"/>
    </xf>
    <xf numFmtId="165" fontId="33" fillId="0" borderId="0" xfId="3" applyNumberFormat="1" applyFont="1" applyAlignment="1">
      <alignment horizontal="right" vertical="center"/>
    </xf>
    <xf numFmtId="40" fontId="33" fillId="0" borderId="42" xfId="3" applyNumberFormat="1" applyFont="1" applyBorder="1" applyAlignment="1">
      <alignment horizontal="right" vertical="center"/>
    </xf>
    <xf numFmtId="40" fontId="33" fillId="0" borderId="43" xfId="3" applyNumberFormat="1" applyFont="1" applyBorder="1" applyAlignment="1">
      <alignment horizontal="right" vertical="center"/>
    </xf>
    <xf numFmtId="165" fontId="12" fillId="0" borderId="40" xfId="3" applyNumberFormat="1" applyFont="1" applyBorder="1" applyAlignment="1">
      <alignment horizontal="right" vertical="center"/>
    </xf>
    <xf numFmtId="165" fontId="12" fillId="0" borderId="0" xfId="3" applyNumberFormat="1" applyFont="1" applyAlignment="1">
      <alignment horizontal="right" vertical="center"/>
    </xf>
    <xf numFmtId="165" fontId="12" fillId="0" borderId="40" xfId="3" applyNumberFormat="1" applyFont="1" applyBorder="1" applyAlignment="1">
      <alignment horizontal="right" vertical="center" indent="1"/>
    </xf>
    <xf numFmtId="165" fontId="12" fillId="0" borderId="0" xfId="3" applyNumberFormat="1" applyFont="1" applyAlignment="1">
      <alignment horizontal="right" vertical="center" indent="1"/>
    </xf>
    <xf numFmtId="0" fontId="17" fillId="0" borderId="32" xfId="3" applyFont="1" applyBorder="1" applyAlignment="1">
      <alignment horizontal="left" vertical="center" indent="2"/>
    </xf>
    <xf numFmtId="0" fontId="17" fillId="0" borderId="0" xfId="3" applyFont="1" applyAlignment="1">
      <alignment horizontal="left" vertical="center" indent="2"/>
    </xf>
    <xf numFmtId="0" fontId="12" fillId="0" borderId="32" xfId="3" applyFont="1" applyBorder="1" applyAlignment="1">
      <alignment horizontal="left" vertical="center" indent="1"/>
    </xf>
    <xf numFmtId="0" fontId="12" fillId="0" borderId="0" xfId="3" applyFont="1" applyAlignment="1">
      <alignment horizontal="left" vertical="center" indent="1"/>
    </xf>
    <xf numFmtId="0" fontId="31" fillId="0" borderId="34" xfId="3" applyFont="1" applyBorder="1" applyAlignment="1">
      <alignment horizontal="left" vertical="center" indent="1"/>
    </xf>
    <xf numFmtId="0" fontId="31" fillId="0" borderId="35" xfId="3" applyFont="1" applyBorder="1" applyAlignment="1">
      <alignment horizontal="left" vertical="center" indent="1"/>
    </xf>
    <xf numFmtId="165" fontId="33" fillId="0" borderId="37" xfId="3" applyNumberFormat="1" applyFont="1" applyBorder="1" applyAlignment="1">
      <alignment horizontal="right" vertical="center"/>
    </xf>
    <xf numFmtId="165" fontId="33" fillId="0" borderId="38" xfId="3" applyNumberFormat="1" applyFont="1" applyBorder="1" applyAlignment="1">
      <alignment horizontal="right" vertical="center"/>
    </xf>
    <xf numFmtId="0" fontId="27" fillId="0" borderId="32" xfId="3" applyFont="1" applyBorder="1" applyAlignment="1">
      <alignment horizontal="left" vertical="center" indent="1"/>
    </xf>
    <xf numFmtId="0" fontId="27" fillId="0" borderId="0" xfId="3" applyFont="1" applyAlignment="1">
      <alignment horizontal="left" vertical="center" indent="1"/>
    </xf>
    <xf numFmtId="0" fontId="17" fillId="0" borderId="32" xfId="3" applyFont="1" applyBorder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9" fillId="6" borderId="29" xfId="3" applyFont="1" applyFill="1" applyBorder="1" applyAlignment="1">
      <alignment horizontal="center" vertical="center"/>
    </xf>
    <xf numFmtId="0" fontId="9" fillId="6" borderId="30" xfId="3" applyFont="1" applyFill="1" applyBorder="1" applyAlignment="1">
      <alignment horizontal="center" vertical="center"/>
    </xf>
    <xf numFmtId="0" fontId="15" fillId="0" borderId="0" xfId="3" applyFont="1" applyAlignment="1">
      <alignment horizontal="right" vertical="center"/>
    </xf>
    <xf numFmtId="0" fontId="18" fillId="0" borderId="0" xfId="3" applyFont="1" applyAlignment="1">
      <alignment horizontal="right" vertical="center"/>
    </xf>
    <xf numFmtId="0" fontId="19" fillId="0" borderId="0" xfId="3" applyFont="1" applyAlignment="1">
      <alignment horizontal="center" vertical="center"/>
    </xf>
    <xf numFmtId="0" fontId="23" fillId="0" borderId="0" xfId="3" applyFont="1" applyAlignment="1">
      <alignment horizontal="right" vertical="top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9" fillId="0" borderId="0" xfId="3" applyFont="1" applyAlignment="1">
      <alignment horizontal="left"/>
    </xf>
  </cellXfs>
  <cellStyles count="6">
    <cellStyle name="Comma 2" xfId="4" xr:uid="{FD4607EE-A31F-CA49-AC97-BC241E59E7C7}"/>
    <cellStyle name="Comma 3" xfId="5" xr:uid="{E9298530-4DB2-6E4C-AF28-CD3C77C7118C}"/>
    <cellStyle name="Normal" xfId="0" builtinId="0"/>
    <cellStyle name="Normal 2" xfId="3" xr:uid="{40FF4B52-8218-C840-BED4-DACFFE962E21}"/>
    <cellStyle name="千分位 2" xfId="1" xr:uid="{7D91ED06-D3AA-4708-AD3B-7854A1F7D8E5}"/>
    <cellStyle name="一般_Sheet1 2" xfId="2" xr:uid="{97932239-367E-4FB4-81AC-4750293905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1129695</xdr:colOff>
      <xdr:row>2</xdr:row>
      <xdr:rowOff>109286</xdr:rowOff>
    </xdr:to>
    <xdr:pic>
      <xdr:nvPicPr>
        <xdr:cNvPr id="2" name="图片 3">
          <a:extLst>
            <a:ext uri="{FF2B5EF4-FFF2-40B4-BE49-F238E27FC236}">
              <a16:creationId xmlns:a16="http://schemas.microsoft.com/office/drawing/2014/main" id="{F540CA13-92D1-794F-BA07-7E2021012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59995" cy="528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235A-B672-0448-BD3C-2190E89E85F7}">
  <dimension ref="A1:H45"/>
  <sheetViews>
    <sheetView tabSelected="1" topLeftCell="A17" zoomScale="150" zoomScaleNormal="150" workbookViewId="0">
      <selection activeCell="H29" sqref="H29"/>
    </sheetView>
  </sheetViews>
  <sheetFormatPr defaultColWidth="9.08984375" defaultRowHeight="10.5"/>
  <cols>
    <col min="1" max="1" width="14.90625" style="71" customWidth="1"/>
    <col min="2" max="2" width="23.453125" style="71" customWidth="1"/>
    <col min="3" max="3" width="5.453125" style="71" customWidth="1"/>
    <col min="4" max="4" width="15.08984375" style="71" customWidth="1"/>
    <col min="5" max="5" width="11.90625" style="71" customWidth="1"/>
    <col min="6" max="6" width="14.36328125" style="73" customWidth="1"/>
    <col min="7" max="7" width="9.08984375" style="73"/>
    <col min="8" max="8" width="9.08984375" style="71"/>
    <col min="9" max="9" width="9.08984375" style="71" customWidth="1"/>
    <col min="10" max="16384" width="9.08984375" style="71"/>
  </cols>
  <sheetData>
    <row r="1" spans="1:8" ht="19" customHeight="1">
      <c r="B1" s="173" t="s">
        <v>0</v>
      </c>
      <c r="C1" s="173"/>
      <c r="D1" s="173"/>
      <c r="E1" s="173"/>
      <c r="F1" s="173"/>
      <c r="G1" s="72"/>
      <c r="H1" s="73"/>
    </row>
    <row r="2" spans="1:8" ht="14.25" customHeight="1">
      <c r="B2" s="174" t="s">
        <v>1</v>
      </c>
      <c r="C2" s="174"/>
      <c r="D2" s="174"/>
      <c r="E2" s="174"/>
      <c r="F2" s="174"/>
      <c r="G2" s="72"/>
      <c r="H2" s="73"/>
    </row>
    <row r="3" spans="1:8" s="74" customFormat="1" ht="18" customHeight="1">
      <c r="B3" s="174" t="s">
        <v>2</v>
      </c>
      <c r="C3" s="174"/>
      <c r="D3" s="174"/>
      <c r="E3" s="174"/>
      <c r="F3" s="174"/>
      <c r="G3" s="72"/>
      <c r="H3" s="72"/>
    </row>
    <row r="4" spans="1:8" s="74" customFormat="1" ht="14.15" customHeight="1">
      <c r="G4" s="72"/>
      <c r="H4" s="72"/>
    </row>
    <row r="5" spans="1:8" s="74" customFormat="1" ht="32.15" customHeight="1">
      <c r="A5" s="175" t="s">
        <v>3</v>
      </c>
      <c r="B5" s="175"/>
      <c r="C5" s="175"/>
      <c r="D5" s="175"/>
      <c r="E5" s="175"/>
      <c r="F5" s="175"/>
      <c r="G5" s="72"/>
      <c r="H5" s="72"/>
    </row>
    <row r="6" spans="1:8" s="74" customFormat="1" ht="12" customHeight="1">
      <c r="A6" s="75"/>
      <c r="B6" s="75"/>
      <c r="C6" s="75"/>
      <c r="D6" s="75"/>
      <c r="E6" s="75"/>
      <c r="F6" s="75"/>
      <c r="G6" s="72"/>
      <c r="H6" s="72"/>
    </row>
    <row r="7" spans="1:8" s="74" customFormat="1" ht="13" customHeight="1">
      <c r="A7" s="76" t="s">
        <v>4</v>
      </c>
      <c r="B7" s="76"/>
      <c r="C7" s="76"/>
      <c r="D7" s="76"/>
      <c r="E7" s="76"/>
      <c r="G7" s="72"/>
      <c r="H7" s="72"/>
    </row>
    <row r="8" spans="1:8" s="81" customFormat="1" ht="13" customHeight="1">
      <c r="A8" s="77" t="s">
        <v>5</v>
      </c>
      <c r="B8" s="78" t="s">
        <v>6</v>
      </c>
      <c r="C8" s="79"/>
      <c r="D8" s="77" t="s">
        <v>7</v>
      </c>
      <c r="E8" s="77"/>
      <c r="F8" s="78" t="s">
        <v>8</v>
      </c>
      <c r="G8" s="80"/>
    </row>
    <row r="9" spans="1:8" s="81" customFormat="1" ht="13" customHeight="1">
      <c r="A9" s="77" t="s">
        <v>9</v>
      </c>
      <c r="B9" s="78" t="s">
        <v>10</v>
      </c>
      <c r="C9" s="82"/>
      <c r="D9" s="77" t="s">
        <v>11</v>
      </c>
      <c r="E9" s="77"/>
      <c r="F9" s="78" t="s">
        <v>110</v>
      </c>
      <c r="G9" s="80"/>
    </row>
    <row r="10" spans="1:8" s="74" customFormat="1" ht="13" customHeight="1">
      <c r="A10" s="77" t="s">
        <v>12</v>
      </c>
      <c r="B10" s="176" t="s">
        <v>13</v>
      </c>
      <c r="C10" s="82"/>
      <c r="D10" s="77" t="s">
        <v>14</v>
      </c>
      <c r="E10" s="77"/>
      <c r="F10" s="83">
        <f ca="1">TODAY()</f>
        <v>46090</v>
      </c>
      <c r="G10" s="72"/>
    </row>
    <row r="11" spans="1:8" s="81" customFormat="1" ht="12" customHeight="1">
      <c r="A11" s="84"/>
      <c r="B11" s="176"/>
      <c r="D11" s="77" t="s">
        <v>15</v>
      </c>
      <c r="E11" s="77"/>
      <c r="F11" s="83">
        <v>46098</v>
      </c>
      <c r="G11" s="80"/>
    </row>
    <row r="12" spans="1:8" s="74" customFormat="1" ht="12" customHeight="1">
      <c r="A12" s="85"/>
      <c r="B12" s="85"/>
      <c r="C12" s="85"/>
      <c r="D12" s="85"/>
      <c r="E12" s="86"/>
      <c r="G12" s="72"/>
    </row>
    <row r="13" spans="1:8" ht="11" thickBot="1"/>
    <row r="14" spans="1:8" s="90" customFormat="1" ht="28" customHeight="1">
      <c r="A14" s="171" t="s">
        <v>16</v>
      </c>
      <c r="B14" s="172"/>
      <c r="C14" s="172"/>
      <c r="D14" s="87"/>
      <c r="E14" s="87" t="str">
        <f>"Amount "&amp;UK!C6</f>
        <v>Amount (GBP)</v>
      </c>
      <c r="F14" s="88" t="s">
        <v>17</v>
      </c>
      <c r="G14" s="89"/>
    </row>
    <row r="15" spans="1:8" s="95" customFormat="1" ht="16" customHeight="1">
      <c r="A15" s="167" t="s">
        <v>18</v>
      </c>
      <c r="B15" s="168"/>
      <c r="C15" s="168"/>
      <c r="D15" s="91"/>
      <c r="E15" s="92">
        <f>SUM(E16:E19)</f>
        <v>17613.71</v>
      </c>
      <c r="F15" s="93">
        <f>SUM(F16:F19)</f>
        <v>24597.546015000004</v>
      </c>
      <c r="G15" s="94"/>
    </row>
    <row r="16" spans="1:8" s="100" customFormat="1" ht="13">
      <c r="A16" s="149" t="str">
        <f ca="1">"- Labor cost for "&amp;UK!B9&amp;"  -  "&amp;MONTH(UK!B2) &amp;"-"&amp; YEAR(UK!B2)</f>
        <v>- Labor cost for Adrian Grace  -  3-2026</v>
      </c>
      <c r="B16" s="150"/>
      <c r="C16" s="150"/>
      <c r="D16" s="96"/>
      <c r="E16" s="97">
        <f>UK!J9+UK!N9+UK!Q9</f>
        <v>11444.19</v>
      </c>
      <c r="F16" s="98">
        <f>E16/$B$29</f>
        <v>15981.811335000002</v>
      </c>
      <c r="G16" s="99"/>
    </row>
    <row r="17" spans="1:7" ht="13">
      <c r="A17" s="149" t="str">
        <f ca="1">"- Labor cost for "&amp;UK!B10&amp;"  -  "&amp;MONTH(UK!$B$2) &amp;"-"&amp; YEAR(UK!$B$2)</f>
        <v>- Labor cost for Darren Staples  -  3-2026</v>
      </c>
      <c r="B17" s="150"/>
      <c r="C17" s="150"/>
      <c r="D17" s="102"/>
      <c r="E17" s="97">
        <f>UK!J10+UK!N10+UK!Q10</f>
        <v>6169.52</v>
      </c>
      <c r="F17" s="98">
        <f t="shared" ref="F17:F19" si="0">E17/$B$29</f>
        <v>8615.7346800000014</v>
      </c>
      <c r="G17" s="101"/>
    </row>
    <row r="18" spans="1:7" ht="13">
      <c r="A18" s="149" t="str">
        <f>"- "&amp;+"Expense claim for "&amp;UK!B9</f>
        <v>- Expense claim for Adrian Grace</v>
      </c>
      <c r="B18" s="150"/>
      <c r="C18" s="150"/>
      <c r="D18" s="96"/>
      <c r="E18" s="97">
        <f>UK!S9</f>
        <v>0</v>
      </c>
      <c r="F18" s="98">
        <f t="shared" si="0"/>
        <v>0</v>
      </c>
      <c r="G18" s="101"/>
    </row>
    <row r="19" spans="1:7" ht="13">
      <c r="A19" s="149" t="str">
        <f>"- "&amp;+"Expense claim for "&amp;UK!B10</f>
        <v>- Expense claim for Darren Staples</v>
      </c>
      <c r="B19" s="150"/>
      <c r="C19" s="150"/>
      <c r="D19" s="102"/>
      <c r="E19" s="97">
        <f>UK!S10</f>
        <v>0</v>
      </c>
      <c r="F19" s="98">
        <f t="shared" si="0"/>
        <v>0</v>
      </c>
      <c r="G19" s="101"/>
    </row>
    <row r="20" spans="1:7" ht="13">
      <c r="A20" s="169"/>
      <c r="B20" s="170"/>
      <c r="C20" s="170"/>
      <c r="D20" s="103"/>
      <c r="E20" s="104"/>
      <c r="F20" s="98"/>
      <c r="G20" s="101"/>
    </row>
    <row r="21" spans="1:7" s="107" customFormat="1" ht="16" customHeight="1">
      <c r="A21" s="167" t="s">
        <v>19</v>
      </c>
      <c r="B21" s="168"/>
      <c r="C21" s="168"/>
      <c r="D21" s="91"/>
      <c r="E21" s="92">
        <f>SUM(E22:E23)</f>
        <v>1301.0933</v>
      </c>
      <c r="F21" s="105">
        <f>SUM(F22:F23)</f>
        <v>1816.9767934500003</v>
      </c>
      <c r="G21" s="106"/>
    </row>
    <row r="22" spans="1:7" ht="13">
      <c r="A22" s="159" t="str">
        <f ca="1">"- "&amp;+"Management Fee - "&amp;MONTH(UK!B2)&amp;"-"&amp;YEAR(UK!B2)</f>
        <v>- Management Fee - 3-2026</v>
      </c>
      <c r="B22" s="160"/>
      <c r="C22" s="160"/>
      <c r="D22" s="108"/>
      <c r="E22" s="104">
        <f>UK!G6</f>
        <v>1301.0933</v>
      </c>
      <c r="F22" s="98">
        <f>E22/$B$29</f>
        <v>1816.9767934500003</v>
      </c>
      <c r="G22" s="101"/>
    </row>
    <row r="23" spans="1:7" ht="13">
      <c r="A23" s="159"/>
      <c r="B23" s="160"/>
      <c r="C23" s="160"/>
      <c r="D23" s="108"/>
      <c r="E23" s="104"/>
      <c r="F23" s="98"/>
      <c r="G23" s="101"/>
    </row>
    <row r="24" spans="1:7" ht="13">
      <c r="A24" s="159"/>
      <c r="B24" s="160"/>
      <c r="C24" s="160"/>
      <c r="D24" s="108"/>
      <c r="E24" s="104"/>
      <c r="F24" s="98"/>
      <c r="G24" s="101"/>
    </row>
    <row r="25" spans="1:7" ht="14.5">
      <c r="A25" s="161"/>
      <c r="B25" s="162"/>
      <c r="C25" s="162"/>
      <c r="D25" s="109"/>
      <c r="E25" s="110"/>
      <c r="F25" s="111"/>
      <c r="G25" s="101"/>
    </row>
    <row r="26" spans="1:7" s="95" customFormat="1" ht="15" thickBot="1">
      <c r="A26" s="163" t="s">
        <v>20</v>
      </c>
      <c r="B26" s="164"/>
      <c r="C26" s="164"/>
      <c r="D26" s="164"/>
      <c r="E26" s="112">
        <f>E15+E21</f>
        <v>18914.8033</v>
      </c>
      <c r="F26" s="113">
        <f>F15+F21</f>
        <v>26414.522808450005</v>
      </c>
      <c r="G26" s="94"/>
    </row>
    <row r="27" spans="1:7" s="95" customFormat="1" ht="14.5">
      <c r="A27" s="114"/>
      <c r="B27" s="114"/>
      <c r="C27" s="115"/>
      <c r="D27" s="115"/>
      <c r="E27" s="116"/>
      <c r="F27" s="117"/>
      <c r="G27" s="94"/>
    </row>
    <row r="28" spans="1:7" s="95" customFormat="1" ht="15" thickBot="1">
      <c r="A28" s="118"/>
      <c r="B28" s="118"/>
      <c r="C28" s="118"/>
      <c r="D28" s="118"/>
      <c r="E28" s="116"/>
      <c r="F28" s="117"/>
      <c r="G28" s="94"/>
    </row>
    <row r="29" spans="1:7" ht="26">
      <c r="A29" s="119" t="str">
        <f>"*FX rate  USD:  "&amp;UK!C6</f>
        <v>*FX rate  USD:  (GBP)</v>
      </c>
      <c r="B29" s="120">
        <f>1/'UK-L'!D24</f>
        <v>0.71607590404582877</v>
      </c>
      <c r="C29" s="116"/>
      <c r="D29" s="165" t="s">
        <v>21</v>
      </c>
      <c r="E29" s="166"/>
      <c r="F29" s="121">
        <f>F26</f>
        <v>26414.522808450005</v>
      </c>
      <c r="G29" s="101"/>
    </row>
    <row r="30" spans="1:7" s="100" customFormat="1" ht="16" customHeight="1">
      <c r="A30" s="122"/>
      <c r="B30" s="122"/>
      <c r="C30" s="116"/>
      <c r="D30" s="151" t="s">
        <v>22</v>
      </c>
      <c r="E30" s="152"/>
      <c r="F30" s="123">
        <f>UK!E22</f>
        <v>0</v>
      </c>
      <c r="G30" s="99"/>
    </row>
    <row r="31" spans="1:7" s="100" customFormat="1" ht="14.5">
      <c r="A31" s="122"/>
      <c r="B31" s="122"/>
      <c r="C31" s="116"/>
      <c r="D31" s="151" t="s">
        <v>23</v>
      </c>
      <c r="E31" s="152"/>
      <c r="F31" s="123">
        <f>UK!E23</f>
        <v>0</v>
      </c>
      <c r="G31" s="99"/>
    </row>
    <row r="32" spans="1:7" ht="14.5">
      <c r="A32" s="122"/>
      <c r="B32" s="122"/>
      <c r="C32" s="116"/>
      <c r="D32" s="151" t="s">
        <v>24</v>
      </c>
      <c r="E32" s="152"/>
      <c r="F32" s="123">
        <f>UK!E24</f>
        <v>0</v>
      </c>
      <c r="G32" s="101"/>
    </row>
    <row r="33" spans="1:8" ht="15" thickBot="1">
      <c r="A33" s="122"/>
      <c r="B33" s="122"/>
      <c r="C33" s="124"/>
      <c r="D33" s="153" t="s">
        <v>25</v>
      </c>
      <c r="E33" s="154"/>
      <c r="F33" s="125">
        <f>UK!E25</f>
        <v>23.965000000000003</v>
      </c>
      <c r="G33" s="101"/>
    </row>
    <row r="34" spans="1:8" ht="14.5">
      <c r="A34" s="122"/>
      <c r="B34" s="122"/>
      <c r="C34" s="116"/>
      <c r="D34" s="155" t="s">
        <v>26</v>
      </c>
      <c r="E34" s="156"/>
      <c r="F34" s="126">
        <f>SUM(F29:F33)</f>
        <v>26438.487808450005</v>
      </c>
      <c r="G34" s="101"/>
    </row>
    <row r="35" spans="1:8" ht="14.5">
      <c r="A35" s="122"/>
      <c r="B35" s="122"/>
      <c r="C35" s="116"/>
      <c r="D35" s="157" t="s">
        <v>27</v>
      </c>
      <c r="E35" s="158"/>
      <c r="F35" s="126">
        <f>UK!F6/B29</f>
        <v>0</v>
      </c>
      <c r="G35" s="101"/>
    </row>
    <row r="36" spans="1:8" ht="15" thickBot="1">
      <c r="A36" s="127"/>
      <c r="B36" s="127"/>
      <c r="C36" s="116"/>
      <c r="D36" s="143" t="s">
        <v>28</v>
      </c>
      <c r="E36" s="144"/>
      <c r="F36" s="128">
        <f>SUM(F34:F35)</f>
        <v>26438.487808450005</v>
      </c>
      <c r="G36" s="101"/>
      <c r="H36" s="129"/>
    </row>
    <row r="37" spans="1:8" ht="14.5">
      <c r="A37" s="109"/>
      <c r="B37" s="109"/>
      <c r="C37" s="109"/>
      <c r="D37" s="109"/>
      <c r="E37" s="124"/>
      <c r="F37" s="124"/>
      <c r="G37" s="101"/>
    </row>
    <row r="38" spans="1:8" ht="14.5">
      <c r="A38" s="109"/>
      <c r="B38" s="109"/>
      <c r="C38" s="109"/>
      <c r="D38" s="109"/>
      <c r="E38" s="124"/>
      <c r="F38" s="124"/>
      <c r="G38" s="101"/>
    </row>
    <row r="39" spans="1:8">
      <c r="G39" s="101"/>
    </row>
    <row r="40" spans="1:8" ht="19" customHeight="1">
      <c r="A40" s="145" t="s">
        <v>29</v>
      </c>
      <c r="B40" s="145"/>
      <c r="C40" s="145"/>
      <c r="D40" s="145"/>
      <c r="E40" s="145"/>
      <c r="F40" s="145"/>
    </row>
    <row r="41" spans="1:8" ht="61" customHeight="1">
      <c r="A41" s="146" t="s">
        <v>30</v>
      </c>
      <c r="B41" s="146"/>
      <c r="C41" s="147"/>
      <c r="D41" s="148" t="s">
        <v>31</v>
      </c>
      <c r="E41" s="146"/>
      <c r="F41" s="146"/>
    </row>
    <row r="42" spans="1:8">
      <c r="A42" s="71" t="s">
        <v>32</v>
      </c>
    </row>
    <row r="43" spans="1:8" ht="11.15" customHeight="1">
      <c r="A43" s="95" t="s">
        <v>33</v>
      </c>
      <c r="B43" s="95"/>
      <c r="C43" s="95"/>
      <c r="D43" s="95"/>
      <c r="E43" s="95"/>
      <c r="F43" s="95"/>
    </row>
    <row r="44" spans="1:8">
      <c r="A44" s="95" t="s">
        <v>34</v>
      </c>
    </row>
    <row r="45" spans="1:8">
      <c r="A45" s="95" t="s">
        <v>35</v>
      </c>
    </row>
  </sheetData>
  <mergeCells count="29">
    <mergeCell ref="A14:C14"/>
    <mergeCell ref="B1:F1"/>
    <mergeCell ref="B2:F2"/>
    <mergeCell ref="B3:F3"/>
    <mergeCell ref="A5:F5"/>
    <mergeCell ref="B10:B11"/>
    <mergeCell ref="D29:E29"/>
    <mergeCell ref="A15:C15"/>
    <mergeCell ref="A16:C16"/>
    <mergeCell ref="A18:C18"/>
    <mergeCell ref="A17:C17"/>
    <mergeCell ref="A20:C20"/>
    <mergeCell ref="A21:C21"/>
    <mergeCell ref="D36:E36"/>
    <mergeCell ref="A40:F40"/>
    <mergeCell ref="A41:C41"/>
    <mergeCell ref="D41:F41"/>
    <mergeCell ref="A19:C19"/>
    <mergeCell ref="D30:E30"/>
    <mergeCell ref="D31:E31"/>
    <mergeCell ref="D32:E32"/>
    <mergeCell ref="D33:E33"/>
    <mergeCell ref="D34:E34"/>
    <mergeCell ref="D35:E35"/>
    <mergeCell ref="A22:C22"/>
    <mergeCell ref="A23:C23"/>
    <mergeCell ref="A24:C24"/>
    <mergeCell ref="A25:C25"/>
    <mergeCell ref="A26:D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A757-A298-40A7-A668-032C04DD9A20}">
  <dimension ref="A1:T26"/>
  <sheetViews>
    <sheetView zoomScale="107" zoomScaleNormal="92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20" sqref="E20"/>
    </sheetView>
  </sheetViews>
  <sheetFormatPr defaultColWidth="8.90625" defaultRowHeight="14.5"/>
  <cols>
    <col min="1" max="1" width="27.08984375" style="7" bestFit="1" customWidth="1"/>
    <col min="2" max="2" width="25.453125" bestFit="1" customWidth="1"/>
    <col min="3" max="3" width="10.36328125" bestFit="1" customWidth="1"/>
    <col min="4" max="4" width="1.90625" bestFit="1" customWidth="1"/>
    <col min="5" max="5" width="10.08984375" bestFit="1" customWidth="1"/>
    <col min="6" max="6" width="9" customWidth="1"/>
    <col min="7" max="7" width="12.453125" bestFit="1" customWidth="1"/>
    <col min="8" max="8" width="9.08984375" bestFit="1" customWidth="1"/>
    <col min="9" max="9" width="7.453125" customWidth="1"/>
    <col min="10" max="11" width="10.08984375" bestFit="1" customWidth="1"/>
    <col min="12" max="12" width="10.90625" customWidth="1"/>
    <col min="13" max="13" width="9.08984375" bestFit="1" customWidth="1"/>
    <col min="14" max="14" width="10.08984375" bestFit="1" customWidth="1"/>
    <col min="15" max="15" width="9.08984375" bestFit="1" customWidth="1"/>
    <col min="16" max="16" width="10.08984375" bestFit="1" customWidth="1"/>
    <col min="17" max="17" width="8.6328125" bestFit="1" customWidth="1"/>
    <col min="18" max="18" width="8.36328125" bestFit="1" customWidth="1"/>
    <col min="19" max="19" width="8.6328125" bestFit="1" customWidth="1"/>
    <col min="20" max="20" width="6.36328125" bestFit="1" customWidth="1"/>
  </cols>
  <sheetData>
    <row r="1" spans="1:20" ht="15" thickBot="1">
      <c r="A1" s="7" t="str">
        <f ca="1">MID(CELL("filename",A1),FIND("]",CELL("filename",A1))+1,256)</f>
        <v>UK</v>
      </c>
    </row>
    <row r="2" spans="1:20" ht="15" thickBot="1">
      <c r="A2" s="132" t="s">
        <v>36</v>
      </c>
      <c r="B2" s="133">
        <f ca="1">EOMONTH('UK-L'!B3,-1)+1</f>
        <v>46082</v>
      </c>
      <c r="C2" s="133">
        <f ca="1">EOMONTH('UK-L'!B3,0)</f>
        <v>46112</v>
      </c>
      <c r="E2" s="2" t="s">
        <v>37</v>
      </c>
    </row>
    <row r="3" spans="1:20" s="6" customFormat="1" ht="14.25" customHeight="1">
      <c r="E3" s="181" t="s">
        <v>38</v>
      </c>
      <c r="F3" s="179" t="s">
        <v>39</v>
      </c>
      <c r="G3" s="179" t="s">
        <v>40</v>
      </c>
      <c r="H3" s="179"/>
      <c r="I3" s="179"/>
      <c r="J3" s="183" t="s">
        <v>41</v>
      </c>
      <c r="K3" s="184"/>
      <c r="L3" s="184"/>
      <c r="M3" s="185"/>
      <c r="N3" s="183" t="s">
        <v>42</v>
      </c>
      <c r="O3" s="184"/>
      <c r="P3" s="184"/>
      <c r="Q3" s="177" t="s">
        <v>43</v>
      </c>
      <c r="R3" s="177"/>
      <c r="S3" s="177" t="s">
        <v>44</v>
      </c>
      <c r="T3" s="178"/>
    </row>
    <row r="4" spans="1:20" s="6" customFormat="1" ht="44" thickBot="1">
      <c r="E4" s="182"/>
      <c r="F4" s="180"/>
      <c r="G4" s="11" t="s">
        <v>45</v>
      </c>
      <c r="H4" s="12" t="s">
        <v>46</v>
      </c>
      <c r="I4" s="12" t="s">
        <v>47</v>
      </c>
      <c r="J4" s="13" t="s">
        <v>45</v>
      </c>
      <c r="K4" s="12" t="s">
        <v>48</v>
      </c>
      <c r="L4" s="35" t="s">
        <v>49</v>
      </c>
      <c r="M4" s="35" t="s">
        <v>50</v>
      </c>
      <c r="N4" s="13" t="s">
        <v>45</v>
      </c>
      <c r="O4" s="35" t="s">
        <v>51</v>
      </c>
      <c r="P4" s="35" t="s">
        <v>52</v>
      </c>
      <c r="Q4" s="13" t="s">
        <v>45</v>
      </c>
      <c r="R4" s="35" t="s">
        <v>53</v>
      </c>
      <c r="S4" s="13" t="s">
        <v>45</v>
      </c>
      <c r="T4" s="131" t="s">
        <v>54</v>
      </c>
    </row>
    <row r="5" spans="1:20" s="1" customFormat="1" ht="15" thickBot="1">
      <c r="A5" s="7"/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8"/>
    </row>
    <row r="6" spans="1:20" s="4" customFormat="1">
      <c r="A6" s="5"/>
      <c r="B6" s="4" t="s">
        <v>38</v>
      </c>
      <c r="C6" s="4" t="s">
        <v>55</v>
      </c>
      <c r="E6" s="17">
        <f t="shared" ref="E6:P6" si="0">SUM(E9:E18)</f>
        <v>18914.8033</v>
      </c>
      <c r="F6" s="18">
        <f t="shared" si="0"/>
        <v>0</v>
      </c>
      <c r="G6" s="18">
        <f t="shared" si="0"/>
        <v>1301.0933</v>
      </c>
      <c r="H6" s="18">
        <f t="shared" si="0"/>
        <v>1301.0933</v>
      </c>
      <c r="I6" s="18">
        <f t="shared" si="0"/>
        <v>0</v>
      </c>
      <c r="J6" s="18">
        <f t="shared" si="0"/>
        <v>15166.67</v>
      </c>
      <c r="K6" s="18">
        <f t="shared" si="0"/>
        <v>14466.67</v>
      </c>
      <c r="L6" s="18">
        <f t="shared" si="0"/>
        <v>0</v>
      </c>
      <c r="M6" s="18">
        <f t="shared" si="0"/>
        <v>700</v>
      </c>
      <c r="N6" s="18">
        <f t="shared" si="0"/>
        <v>2370.04</v>
      </c>
      <c r="O6" s="18">
        <f t="shared" si="0"/>
        <v>2149.9</v>
      </c>
      <c r="P6" s="18">
        <f t="shared" si="0"/>
        <v>220.14</v>
      </c>
      <c r="Q6" s="18">
        <f t="shared" ref="Q6:T6" si="1">SUM(Q9:Q18)</f>
        <v>77</v>
      </c>
      <c r="R6" s="18">
        <f t="shared" si="1"/>
        <v>77</v>
      </c>
      <c r="S6" s="18">
        <f t="shared" si="1"/>
        <v>0</v>
      </c>
      <c r="T6" s="19">
        <f t="shared" si="1"/>
        <v>0</v>
      </c>
    </row>
    <row r="7" spans="1:20" s="3" customFormat="1">
      <c r="A7" s="8"/>
      <c r="B7" s="9"/>
      <c r="C7" s="9"/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9"/>
    </row>
    <row r="8" spans="1:20" s="3" customFormat="1">
      <c r="A8" s="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9"/>
    </row>
    <row r="9" spans="1:20" s="3" customFormat="1">
      <c r="A9" s="5"/>
      <c r="B9" s="3" t="s">
        <v>56</v>
      </c>
      <c r="C9" s="40"/>
      <c r="E9" s="36">
        <f>+S9+Q9+N9+J9+G9+F9</f>
        <v>12245.283300000001</v>
      </c>
      <c r="F9" s="37">
        <v>0</v>
      </c>
      <c r="G9" s="37">
        <f>SUM(H9:I9)</f>
        <v>801.09330000000011</v>
      </c>
      <c r="H9" s="37">
        <f>MAX(500, (J9+N9+Q9)*7%)</f>
        <v>801.09330000000011</v>
      </c>
      <c r="I9" s="37">
        <f>IF(S9=0,0,15)</f>
        <v>0</v>
      </c>
      <c r="J9" s="37">
        <f>SUM(K9:M9)</f>
        <v>9866.67</v>
      </c>
      <c r="K9" s="37">
        <f>'UK-L'!B7</f>
        <v>9166.67</v>
      </c>
      <c r="L9" s="37">
        <f>'UK-L'!B8</f>
        <v>0</v>
      </c>
      <c r="M9" s="37">
        <f>'UK-L'!B9</f>
        <v>700</v>
      </c>
      <c r="N9" s="37">
        <f>SUM(O9:P9)</f>
        <v>1527.52</v>
      </c>
      <c r="O9" s="37">
        <f>'UK-L'!B10</f>
        <v>1417.45</v>
      </c>
      <c r="P9" s="37">
        <f>'UK-L'!B11</f>
        <v>110.07</v>
      </c>
      <c r="Q9" s="37">
        <f>SUM(R9:R9)</f>
        <v>50</v>
      </c>
      <c r="R9" s="37">
        <f>'UK-L'!B22</f>
        <v>50</v>
      </c>
      <c r="S9" s="37">
        <f>SUM(T9:T9)</f>
        <v>0</v>
      </c>
      <c r="T9" s="38">
        <v>0</v>
      </c>
    </row>
    <row r="10" spans="1:20" s="3" customFormat="1">
      <c r="A10" s="5"/>
      <c r="B10" s="3" t="s">
        <v>57</v>
      </c>
      <c r="E10" s="36">
        <f>+S10+Q10+N10+J10+G10+F10</f>
        <v>6669.52</v>
      </c>
      <c r="F10" s="37">
        <v>0</v>
      </c>
      <c r="G10" s="37">
        <f>SUM(H10:I10)</f>
        <v>500</v>
      </c>
      <c r="H10" s="37">
        <f>MAX(500, (J10+N10+Q10)*7%)</f>
        <v>500</v>
      </c>
      <c r="I10" s="37">
        <f>IF(S10=0,0,15)</f>
        <v>0</v>
      </c>
      <c r="J10" s="37">
        <f>SUM(K10:M10)</f>
        <v>5300</v>
      </c>
      <c r="K10" s="37">
        <f>'UK-L (2)'!B7</f>
        <v>5300</v>
      </c>
      <c r="L10" s="37">
        <f>'UK-L (2)'!B8</f>
        <v>0</v>
      </c>
      <c r="M10" s="37">
        <f>'UK-L (2)'!B9</f>
        <v>0</v>
      </c>
      <c r="N10" s="37">
        <f>SUM(O10:P10)</f>
        <v>842.52</v>
      </c>
      <c r="O10" s="37">
        <f>'UK-L (2)'!B10</f>
        <v>732.45</v>
      </c>
      <c r="P10" s="37">
        <f>'UK-L (2)'!B11</f>
        <v>110.07</v>
      </c>
      <c r="Q10" s="37">
        <f>SUM(R10:R10)</f>
        <v>27</v>
      </c>
      <c r="R10" s="37">
        <f>'UK-L (2)'!B22</f>
        <v>27</v>
      </c>
      <c r="S10" s="37">
        <f>SUM(T10:T10)</f>
        <v>0</v>
      </c>
      <c r="T10" s="38">
        <v>0</v>
      </c>
    </row>
    <row r="11" spans="1:20" s="3" customFormat="1">
      <c r="A11" s="5"/>
      <c r="E11" s="17"/>
      <c r="F11" s="18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9"/>
    </row>
    <row r="12" spans="1:20" s="3" customFormat="1">
      <c r="A12" s="5"/>
      <c r="E12" s="17"/>
      <c r="F12" s="18"/>
      <c r="G12" s="15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9"/>
    </row>
    <row r="13" spans="1:20" s="3" customFormat="1">
      <c r="A13" s="5"/>
      <c r="E13" s="17"/>
      <c r="F13" s="18"/>
      <c r="G13" s="15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9"/>
    </row>
    <row r="14" spans="1:20" s="3" customFormat="1">
      <c r="A14" s="5"/>
      <c r="E14" s="17"/>
      <c r="F14" s="18"/>
      <c r="G14" s="15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9"/>
    </row>
    <row r="15" spans="1:20" s="3" customFormat="1">
      <c r="A15" s="5"/>
      <c r="E15" s="17"/>
      <c r="F15" s="18"/>
      <c r="G15" s="15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9"/>
    </row>
    <row r="16" spans="1:20" s="3" customFormat="1">
      <c r="A16" s="5"/>
      <c r="E16" s="17"/>
      <c r="F16" s="18"/>
      <c r="G16" s="15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9"/>
    </row>
    <row r="17" spans="1:20" s="3" customFormat="1">
      <c r="A17" s="5"/>
      <c r="E17" s="17"/>
      <c r="F17" s="18"/>
      <c r="G17" s="15"/>
      <c r="H17" s="18"/>
      <c r="I17" s="18"/>
      <c r="J17" s="18"/>
      <c r="K17" s="18"/>
      <c r="L17" s="21"/>
      <c r="M17" s="21"/>
      <c r="N17" s="21"/>
      <c r="O17" s="21"/>
      <c r="P17" s="21"/>
      <c r="Q17" s="21"/>
      <c r="R17" s="21"/>
      <c r="S17" s="21"/>
      <c r="T17" s="22"/>
    </row>
    <row r="18" spans="1:20" s="3" customFormat="1" ht="15" thickBot="1">
      <c r="A18" s="5"/>
      <c r="E18" s="32"/>
      <c r="F18" s="33"/>
      <c r="G18" s="34"/>
      <c r="H18" s="33"/>
      <c r="I18" s="33"/>
      <c r="J18" s="33"/>
      <c r="K18" s="33"/>
      <c r="L18" s="24"/>
      <c r="M18" s="24"/>
      <c r="N18" s="24"/>
      <c r="O18" s="24"/>
      <c r="P18" s="24"/>
      <c r="Q18" s="24"/>
      <c r="R18" s="24"/>
      <c r="S18" s="24"/>
      <c r="T18" s="25"/>
    </row>
    <row r="20" spans="1:20" ht="15" thickBot="1"/>
    <row r="21" spans="1:20">
      <c r="A21" s="7" t="s">
        <v>58</v>
      </c>
      <c r="B21" s="134"/>
      <c r="C21" s="134"/>
      <c r="D21" s="134"/>
      <c r="E21" s="135">
        <f>SUM(E22:E26)</f>
        <v>23.965000000000003</v>
      </c>
      <c r="F21" s="136">
        <v>0</v>
      </c>
      <c r="G21" s="29"/>
    </row>
    <row r="22" spans="1:20">
      <c r="B22" s="134" t="s">
        <v>22</v>
      </c>
      <c r="C22" s="134"/>
      <c r="D22" s="134"/>
      <c r="E22" s="137"/>
      <c r="F22" s="138"/>
    </row>
    <row r="23" spans="1:20">
      <c r="B23" s="134" t="s">
        <v>23</v>
      </c>
      <c r="C23" s="134"/>
      <c r="D23" s="134"/>
      <c r="E23" s="137"/>
      <c r="F23" s="138">
        <v>0</v>
      </c>
      <c r="H23" s="64"/>
      <c r="J23" s="41"/>
    </row>
    <row r="24" spans="1:20">
      <c r="B24" s="134" t="s">
        <v>59</v>
      </c>
      <c r="C24" s="134"/>
      <c r="D24" s="134"/>
      <c r="E24" s="137"/>
      <c r="F24" s="138">
        <v>0</v>
      </c>
      <c r="J24" s="41"/>
    </row>
    <row r="25" spans="1:20">
      <c r="B25" s="134" t="s">
        <v>60</v>
      </c>
      <c r="C25" s="134"/>
      <c r="D25" s="134"/>
      <c r="E25" s="137">
        <f>10+10/PN!B29</f>
        <v>23.965000000000003</v>
      </c>
      <c r="F25" s="138"/>
    </row>
    <row r="26" spans="1:20" ht="15" thickBot="1">
      <c r="B26" s="134" t="s">
        <v>61</v>
      </c>
      <c r="C26" s="134"/>
      <c r="D26" s="134"/>
      <c r="E26" s="139">
        <v>0</v>
      </c>
      <c r="F26" s="140"/>
      <c r="J26" s="41"/>
    </row>
  </sheetData>
  <mergeCells count="7">
    <mergeCell ref="S3:T3"/>
    <mergeCell ref="F3:F4"/>
    <mergeCell ref="E3:E4"/>
    <mergeCell ref="Q3:R3"/>
    <mergeCell ref="J3:M3"/>
    <mergeCell ref="G3:I3"/>
    <mergeCell ref="N3:P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DE0F-37C7-3C44-B06E-781DB499AF6F}">
  <dimension ref="A1:R18"/>
  <sheetViews>
    <sheetView zoomScale="92" zoomScaleNormal="92" workbookViewId="0">
      <pane xSplit="7" ySplit="5" topLeftCell="H6" activePane="bottomRight" state="frozen"/>
      <selection pane="topRight" activeCell="D1" sqref="D1"/>
      <selection pane="bottomLeft" activeCell="A5" sqref="A5"/>
      <selection pane="bottomRight" activeCell="F16" sqref="F16"/>
    </sheetView>
  </sheetViews>
  <sheetFormatPr defaultColWidth="8.90625" defaultRowHeight="14.5"/>
  <cols>
    <col min="1" max="1" width="12.453125" style="7" bestFit="1" customWidth="1"/>
    <col min="2" max="2" width="9.90625" bestFit="1" customWidth="1"/>
    <col min="3" max="3" width="10.36328125" bestFit="1" customWidth="1"/>
    <col min="4" max="4" width="7" bestFit="1" customWidth="1"/>
    <col min="5" max="5" width="12" bestFit="1" customWidth="1"/>
    <col min="6" max="6" width="9.453125" bestFit="1" customWidth="1"/>
    <col min="7" max="7" width="10.453125" bestFit="1" customWidth="1"/>
    <col min="8" max="10" width="7.6328125" bestFit="1" customWidth="1"/>
    <col min="11" max="11" width="10" bestFit="1" customWidth="1"/>
    <col min="12" max="12" width="9.90625" customWidth="1"/>
    <col min="13" max="13" width="7.6328125" bestFit="1" customWidth="1"/>
    <col min="14" max="14" width="8" customWidth="1"/>
    <col min="15" max="15" width="7.6328125" bestFit="1" customWidth="1"/>
    <col min="16" max="16" width="10.6328125" customWidth="1"/>
    <col min="17" max="17" width="6.6328125" bestFit="1" customWidth="1"/>
    <col min="18" max="18" width="10.08984375" customWidth="1"/>
  </cols>
  <sheetData>
    <row r="1" spans="1:18" ht="15" thickBot="1">
      <c r="A1" s="7" t="str">
        <f ca="1">MID(CELL("filename",A1),FIND("]",CELL("filename",A1))+1,256)</f>
        <v>UK EE</v>
      </c>
      <c r="H1" s="31"/>
    </row>
    <row r="2" spans="1:18" ht="15" thickBot="1">
      <c r="A2" s="10"/>
      <c r="B2" s="30"/>
      <c r="C2" s="30"/>
      <c r="D2" s="30"/>
      <c r="E2" s="30"/>
      <c r="F2" s="30"/>
      <c r="H2" s="2" t="s">
        <v>62</v>
      </c>
    </row>
    <row r="3" spans="1:18" s="6" customFormat="1">
      <c r="B3" s="186" t="s">
        <v>63</v>
      </c>
      <c r="C3" s="186" t="s">
        <v>64</v>
      </c>
      <c r="D3" s="186" t="s">
        <v>65</v>
      </c>
      <c r="E3" s="186" t="s">
        <v>66</v>
      </c>
      <c r="F3" s="187" t="s">
        <v>67</v>
      </c>
      <c r="G3" s="188"/>
      <c r="H3" s="186" t="s">
        <v>68</v>
      </c>
      <c r="I3" s="183" t="s">
        <v>41</v>
      </c>
      <c r="J3" s="184"/>
      <c r="K3" s="184"/>
      <c r="L3" s="184"/>
      <c r="M3" s="177" t="s">
        <v>44</v>
      </c>
      <c r="N3" s="177"/>
      <c r="O3" s="177" t="s">
        <v>42</v>
      </c>
      <c r="P3" s="177"/>
      <c r="Q3" s="177"/>
      <c r="R3" s="178"/>
    </row>
    <row r="4" spans="1:18" s="6" customFormat="1" ht="73" thickBot="1">
      <c r="B4" s="182"/>
      <c r="C4" s="182"/>
      <c r="D4" s="182"/>
      <c r="E4" s="182"/>
      <c r="F4" s="68" t="s">
        <v>69</v>
      </c>
      <c r="G4" s="68" t="s">
        <v>70</v>
      </c>
      <c r="H4" s="182"/>
      <c r="I4" s="13" t="s">
        <v>45</v>
      </c>
      <c r="J4" s="12" t="s">
        <v>71</v>
      </c>
      <c r="K4" s="12" t="s">
        <v>72</v>
      </c>
      <c r="L4" s="12" t="s">
        <v>73</v>
      </c>
      <c r="M4" s="13" t="s">
        <v>45</v>
      </c>
      <c r="N4" s="70" t="s">
        <v>54</v>
      </c>
      <c r="O4" s="13" t="s">
        <v>45</v>
      </c>
      <c r="P4" s="12" t="s">
        <v>74</v>
      </c>
      <c r="Q4" s="12" t="s">
        <v>75</v>
      </c>
      <c r="R4" s="131" t="s">
        <v>76</v>
      </c>
    </row>
    <row r="5" spans="1:18" s="1" customFormat="1" ht="14.25" customHeight="1" thickBot="1">
      <c r="A5" s="7"/>
      <c r="H5" s="26"/>
      <c r="I5" s="27"/>
      <c r="J5" s="27"/>
      <c r="K5" s="27"/>
      <c r="L5" s="27"/>
      <c r="M5" s="27"/>
      <c r="N5" s="27"/>
      <c r="O5" s="27"/>
      <c r="P5" s="27"/>
      <c r="Q5" s="27"/>
      <c r="R5" s="28"/>
    </row>
    <row r="6" spans="1:18" s="4" customFormat="1">
      <c r="A6" s="5" t="s">
        <v>77</v>
      </c>
      <c r="H6" s="14"/>
      <c r="I6" s="15"/>
      <c r="J6" s="15"/>
      <c r="K6" s="15"/>
      <c r="L6" s="15"/>
      <c r="M6" s="15"/>
      <c r="N6" s="15"/>
      <c r="O6" s="15"/>
      <c r="P6" s="15"/>
      <c r="Q6" s="15"/>
      <c r="R6" s="16"/>
    </row>
    <row r="7" spans="1:18" s="3" customFormat="1">
      <c r="B7" s="9"/>
      <c r="C7" s="9"/>
      <c r="D7" s="9"/>
      <c r="E7" s="9"/>
      <c r="F7" s="9"/>
      <c r="G7" s="9"/>
      <c r="H7" s="17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s="3" customFormat="1">
      <c r="A8" s="8"/>
      <c r="H8" s="17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s="3" customFormat="1">
      <c r="A9" s="5"/>
      <c r="B9" s="3" t="s">
        <v>10</v>
      </c>
      <c r="C9" s="3" t="str">
        <f>PN!$B$8</f>
        <v>ERI</v>
      </c>
      <c r="E9" s="3" t="str">
        <f>UK!B9</f>
        <v>Adrian Grace</v>
      </c>
      <c r="F9" s="9">
        <f>UK!$B$7</f>
        <v>0</v>
      </c>
      <c r="G9" s="9">
        <f>UK!$C$7</f>
        <v>0</v>
      </c>
      <c r="H9" s="36">
        <f>I9+M9-O9</f>
        <v>6929.15</v>
      </c>
      <c r="I9" s="37">
        <f>SUM(J9:L9)</f>
        <v>9866.67</v>
      </c>
      <c r="J9" s="37">
        <f>'UK-L'!B7</f>
        <v>9166.67</v>
      </c>
      <c r="K9" s="37">
        <f>'UK-L'!B8</f>
        <v>0</v>
      </c>
      <c r="L9" s="37">
        <f>'UK-L'!B9</f>
        <v>700</v>
      </c>
      <c r="M9" s="37">
        <f>SUM(N9:N9)</f>
        <v>0</v>
      </c>
      <c r="N9" s="37">
        <f>UK!T9</f>
        <v>0</v>
      </c>
      <c r="O9" s="37">
        <f>SUM(P9:R9)</f>
        <v>2937.52</v>
      </c>
      <c r="P9" s="37">
        <f>'UK-L'!B14</f>
        <v>2754.07</v>
      </c>
      <c r="Q9" s="37">
        <f>'UK-L'!B15</f>
        <v>0</v>
      </c>
      <c r="R9" s="38">
        <f>'UK-L'!B16</f>
        <v>183.45</v>
      </c>
    </row>
    <row r="10" spans="1:18" s="3" customFormat="1">
      <c r="A10" s="5"/>
      <c r="B10" s="3" t="s">
        <v>10</v>
      </c>
      <c r="C10" s="3" t="str">
        <f>PN!$B$8</f>
        <v>ERI</v>
      </c>
      <c r="E10" s="3" t="str">
        <f>UK!B10</f>
        <v>Darren Staples</v>
      </c>
      <c r="F10" s="9">
        <f>UK!$B$7</f>
        <v>0</v>
      </c>
      <c r="G10" s="9">
        <f>UK!$C$7</f>
        <v>0</v>
      </c>
      <c r="H10" s="36">
        <f>I10+M10-O10</f>
        <v>3844.1800000000003</v>
      </c>
      <c r="I10" s="37">
        <f>SUM(J10:L10)</f>
        <v>5300</v>
      </c>
      <c r="J10" s="37">
        <f>'UK-L (2)'!B7</f>
        <v>5300</v>
      </c>
      <c r="K10" s="37">
        <f>'UK-L (2)'!B8</f>
        <v>0</v>
      </c>
      <c r="L10" s="37">
        <f>'UK-L (2)'!B9</f>
        <v>0</v>
      </c>
      <c r="M10" s="37">
        <f>SUM(N10:N10)</f>
        <v>0</v>
      </c>
      <c r="N10" s="37">
        <f>UK!T10</f>
        <v>0</v>
      </c>
      <c r="O10" s="37">
        <f>SUM(P10:R10)</f>
        <v>1455.82</v>
      </c>
      <c r="P10" s="37">
        <f>'UK-L (2)'!B14</f>
        <v>998.87</v>
      </c>
      <c r="Q10" s="37">
        <f>'UK-L (2)'!B15</f>
        <v>273.5</v>
      </c>
      <c r="R10" s="38">
        <f>'UK-L (2)'!B16</f>
        <v>183.45</v>
      </c>
    </row>
    <row r="11" spans="1:18" s="3" customFormat="1">
      <c r="A11" s="5"/>
      <c r="H11" s="17"/>
      <c r="I11" s="18"/>
      <c r="J11" s="18"/>
      <c r="K11" s="18"/>
      <c r="L11" s="18"/>
      <c r="M11" s="18"/>
      <c r="N11" s="18"/>
      <c r="O11" s="18"/>
      <c r="P11" s="18"/>
      <c r="Q11" s="18"/>
      <c r="R11" s="19"/>
    </row>
    <row r="12" spans="1:18" s="3" customFormat="1">
      <c r="A12" s="5"/>
      <c r="H12" s="17"/>
      <c r="I12" s="18"/>
      <c r="J12" s="18"/>
      <c r="K12" s="18"/>
      <c r="L12" s="18"/>
      <c r="M12" s="18"/>
      <c r="N12" s="18"/>
      <c r="O12" s="18"/>
      <c r="P12" s="18"/>
      <c r="Q12" s="18"/>
      <c r="R12" s="19"/>
    </row>
    <row r="13" spans="1:18" s="3" customFormat="1">
      <c r="A13" s="5"/>
      <c r="H13" s="17"/>
      <c r="I13" s="18"/>
      <c r="J13" s="18"/>
      <c r="K13" s="18"/>
      <c r="L13" s="18"/>
      <c r="M13" s="18"/>
      <c r="N13" s="18"/>
      <c r="O13" s="18"/>
      <c r="P13" s="18"/>
      <c r="Q13" s="18"/>
      <c r="R13" s="19"/>
    </row>
    <row r="14" spans="1:18" s="3" customFormat="1">
      <c r="A14" s="5"/>
      <c r="H14" s="17"/>
      <c r="I14" s="18"/>
      <c r="J14" s="18"/>
      <c r="K14" s="18"/>
      <c r="L14" s="18"/>
      <c r="M14" s="18"/>
      <c r="N14" s="18"/>
      <c r="O14" s="18"/>
      <c r="P14" s="18"/>
      <c r="Q14" s="18"/>
      <c r="R14" s="19"/>
    </row>
    <row r="15" spans="1:18" s="3" customFormat="1">
      <c r="A15" s="5"/>
      <c r="H15" s="17"/>
      <c r="I15" s="18"/>
      <c r="J15" s="18"/>
      <c r="K15" s="18"/>
      <c r="L15" s="18"/>
      <c r="M15" s="18"/>
      <c r="N15" s="18"/>
      <c r="O15" s="18"/>
      <c r="P15" s="18"/>
      <c r="Q15" s="18"/>
      <c r="R15" s="19"/>
    </row>
    <row r="16" spans="1:18" s="3" customFormat="1">
      <c r="A16" s="5"/>
      <c r="H16" s="17"/>
      <c r="I16" s="18"/>
      <c r="J16" s="18"/>
      <c r="K16" s="18"/>
      <c r="L16" s="18"/>
      <c r="M16" s="18"/>
      <c r="N16" s="18"/>
      <c r="O16" s="18"/>
      <c r="P16" s="18"/>
      <c r="Q16" s="18"/>
      <c r="R16" s="19"/>
    </row>
    <row r="17" spans="1:18" s="3" customFormat="1">
      <c r="A17" s="5"/>
      <c r="H17" s="20"/>
      <c r="I17" s="21"/>
      <c r="J17" s="21"/>
      <c r="K17" s="21"/>
      <c r="L17" s="21"/>
      <c r="M17" s="21"/>
      <c r="N17" s="21"/>
      <c r="O17" s="21"/>
      <c r="P17" s="21"/>
      <c r="Q17" s="21"/>
      <c r="R17" s="22"/>
    </row>
    <row r="18" spans="1:18" s="3" customFormat="1" ht="15" thickBot="1">
      <c r="A18" s="5"/>
      <c r="H18" s="23"/>
      <c r="I18" s="24"/>
      <c r="J18" s="24"/>
      <c r="K18" s="24"/>
      <c r="L18" s="24"/>
      <c r="M18" s="24"/>
      <c r="N18" s="24"/>
      <c r="O18" s="24"/>
      <c r="P18" s="24"/>
      <c r="Q18" s="24"/>
      <c r="R18" s="25"/>
    </row>
  </sheetData>
  <mergeCells count="9">
    <mergeCell ref="M3:N3"/>
    <mergeCell ref="O3:R3"/>
    <mergeCell ref="I3:L3"/>
    <mergeCell ref="H3:H4"/>
    <mergeCell ref="B3:B4"/>
    <mergeCell ref="C3:C4"/>
    <mergeCell ref="D3:D4"/>
    <mergeCell ref="E3:E4"/>
    <mergeCell ref="F3:G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47C5-94CC-3C41-B271-B6EEC16EA602}">
  <dimension ref="A1:D28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D24" sqref="D24"/>
    </sheetView>
  </sheetViews>
  <sheetFormatPr defaultColWidth="8.90625" defaultRowHeight="14.5"/>
  <cols>
    <col min="1" max="1" width="35.08984375" style="42" bestFit="1" customWidth="1"/>
    <col min="2" max="2" width="24.453125" style="61" customWidth="1"/>
    <col min="3" max="3" width="12.90625" style="42" bestFit="1" customWidth="1"/>
    <col min="4" max="4" width="12.08984375" style="42" bestFit="1" customWidth="1"/>
    <col min="5" max="233" width="8.90625" style="42"/>
    <col min="234" max="234" width="38.453125" style="42" bestFit="1" customWidth="1"/>
    <col min="235" max="235" width="12.08984375" style="42" customWidth="1"/>
    <col min="236" max="236" width="14" style="42" customWidth="1"/>
    <col min="237" max="489" width="8.90625" style="42"/>
    <col min="490" max="490" width="38.453125" style="42" bestFit="1" customWidth="1"/>
    <col min="491" max="491" width="12.08984375" style="42" customWidth="1"/>
    <col min="492" max="492" width="14" style="42" customWidth="1"/>
    <col min="493" max="745" width="8.90625" style="42"/>
    <col min="746" max="746" width="38.453125" style="42" bestFit="1" customWidth="1"/>
    <col min="747" max="747" width="12.08984375" style="42" customWidth="1"/>
    <col min="748" max="748" width="14" style="42" customWidth="1"/>
    <col min="749" max="1001" width="8.90625" style="42"/>
    <col min="1002" max="1002" width="38.453125" style="42" bestFit="1" customWidth="1"/>
    <col min="1003" max="1003" width="12.08984375" style="42" customWidth="1"/>
    <col min="1004" max="1004" width="14" style="42" customWidth="1"/>
    <col min="1005" max="1257" width="8.90625" style="42"/>
    <col min="1258" max="1258" width="38.453125" style="42" bestFit="1" customWidth="1"/>
    <col min="1259" max="1259" width="12.08984375" style="42" customWidth="1"/>
    <col min="1260" max="1260" width="14" style="42" customWidth="1"/>
    <col min="1261" max="1513" width="8.90625" style="42"/>
    <col min="1514" max="1514" width="38.453125" style="42" bestFit="1" customWidth="1"/>
    <col min="1515" max="1515" width="12.08984375" style="42" customWidth="1"/>
    <col min="1516" max="1516" width="14" style="42" customWidth="1"/>
    <col min="1517" max="1769" width="8.90625" style="42"/>
    <col min="1770" max="1770" width="38.453125" style="42" bestFit="1" customWidth="1"/>
    <col min="1771" max="1771" width="12.08984375" style="42" customWidth="1"/>
    <col min="1772" max="1772" width="14" style="42" customWidth="1"/>
    <col min="1773" max="2025" width="8.90625" style="42"/>
    <col min="2026" max="2026" width="38.453125" style="42" bestFit="1" customWidth="1"/>
    <col min="2027" max="2027" width="12.08984375" style="42" customWidth="1"/>
    <col min="2028" max="2028" width="14" style="42" customWidth="1"/>
    <col min="2029" max="2281" width="8.90625" style="42"/>
    <col min="2282" max="2282" width="38.453125" style="42" bestFit="1" customWidth="1"/>
    <col min="2283" max="2283" width="12.08984375" style="42" customWidth="1"/>
    <col min="2284" max="2284" width="14" style="42" customWidth="1"/>
    <col min="2285" max="2537" width="8.90625" style="42"/>
    <col min="2538" max="2538" width="38.453125" style="42" bestFit="1" customWidth="1"/>
    <col min="2539" max="2539" width="12.08984375" style="42" customWidth="1"/>
    <col min="2540" max="2540" width="14" style="42" customWidth="1"/>
    <col min="2541" max="2793" width="8.90625" style="42"/>
    <col min="2794" max="2794" width="38.453125" style="42" bestFit="1" customWidth="1"/>
    <col min="2795" max="2795" width="12.08984375" style="42" customWidth="1"/>
    <col min="2796" max="2796" width="14" style="42" customWidth="1"/>
    <col min="2797" max="3049" width="8.90625" style="42"/>
    <col min="3050" max="3050" width="38.453125" style="42" bestFit="1" customWidth="1"/>
    <col min="3051" max="3051" width="12.08984375" style="42" customWidth="1"/>
    <col min="3052" max="3052" width="14" style="42" customWidth="1"/>
    <col min="3053" max="3305" width="8.90625" style="42"/>
    <col min="3306" max="3306" width="38.453125" style="42" bestFit="1" customWidth="1"/>
    <col min="3307" max="3307" width="12.08984375" style="42" customWidth="1"/>
    <col min="3308" max="3308" width="14" style="42" customWidth="1"/>
    <col min="3309" max="3561" width="8.90625" style="42"/>
    <col min="3562" max="3562" width="38.453125" style="42" bestFit="1" customWidth="1"/>
    <col min="3563" max="3563" width="12.08984375" style="42" customWidth="1"/>
    <col min="3564" max="3564" width="14" style="42" customWidth="1"/>
    <col min="3565" max="3817" width="8.90625" style="42"/>
    <col min="3818" max="3818" width="38.453125" style="42" bestFit="1" customWidth="1"/>
    <col min="3819" max="3819" width="12.08984375" style="42" customWidth="1"/>
    <col min="3820" max="3820" width="14" style="42" customWidth="1"/>
    <col min="3821" max="4073" width="8.90625" style="42"/>
    <col min="4074" max="4074" width="38.453125" style="42" bestFit="1" customWidth="1"/>
    <col min="4075" max="4075" width="12.08984375" style="42" customWidth="1"/>
    <col min="4076" max="4076" width="14" style="42" customWidth="1"/>
    <col min="4077" max="4329" width="8.90625" style="42"/>
    <col min="4330" max="4330" width="38.453125" style="42" bestFit="1" customWidth="1"/>
    <col min="4331" max="4331" width="12.08984375" style="42" customWidth="1"/>
    <col min="4332" max="4332" width="14" style="42" customWidth="1"/>
    <col min="4333" max="4585" width="8.90625" style="42"/>
    <col min="4586" max="4586" width="38.453125" style="42" bestFit="1" customWidth="1"/>
    <col min="4587" max="4587" width="12.08984375" style="42" customWidth="1"/>
    <col min="4588" max="4588" width="14" style="42" customWidth="1"/>
    <col min="4589" max="4841" width="8.90625" style="42"/>
    <col min="4842" max="4842" width="38.453125" style="42" bestFit="1" customWidth="1"/>
    <col min="4843" max="4843" width="12.08984375" style="42" customWidth="1"/>
    <col min="4844" max="4844" width="14" style="42" customWidth="1"/>
    <col min="4845" max="5097" width="8.90625" style="42"/>
    <col min="5098" max="5098" width="38.453125" style="42" bestFit="1" customWidth="1"/>
    <col min="5099" max="5099" width="12.08984375" style="42" customWidth="1"/>
    <col min="5100" max="5100" width="14" style="42" customWidth="1"/>
    <col min="5101" max="5353" width="8.90625" style="42"/>
    <col min="5354" max="5354" width="38.453125" style="42" bestFit="1" customWidth="1"/>
    <col min="5355" max="5355" width="12.08984375" style="42" customWidth="1"/>
    <col min="5356" max="5356" width="14" style="42" customWidth="1"/>
    <col min="5357" max="5609" width="8.90625" style="42"/>
    <col min="5610" max="5610" width="38.453125" style="42" bestFit="1" customWidth="1"/>
    <col min="5611" max="5611" width="12.08984375" style="42" customWidth="1"/>
    <col min="5612" max="5612" width="14" style="42" customWidth="1"/>
    <col min="5613" max="5865" width="8.90625" style="42"/>
    <col min="5866" max="5866" width="38.453125" style="42" bestFit="1" customWidth="1"/>
    <col min="5867" max="5867" width="12.08984375" style="42" customWidth="1"/>
    <col min="5868" max="5868" width="14" style="42" customWidth="1"/>
    <col min="5869" max="6121" width="8.90625" style="42"/>
    <col min="6122" max="6122" width="38.453125" style="42" bestFit="1" customWidth="1"/>
    <col min="6123" max="6123" width="12.08984375" style="42" customWidth="1"/>
    <col min="6124" max="6124" width="14" style="42" customWidth="1"/>
    <col min="6125" max="6377" width="8.90625" style="42"/>
    <col min="6378" max="6378" width="38.453125" style="42" bestFit="1" customWidth="1"/>
    <col min="6379" max="6379" width="12.08984375" style="42" customWidth="1"/>
    <col min="6380" max="6380" width="14" style="42" customWidth="1"/>
    <col min="6381" max="6633" width="8.90625" style="42"/>
    <col min="6634" max="6634" width="38.453125" style="42" bestFit="1" customWidth="1"/>
    <col min="6635" max="6635" width="12.08984375" style="42" customWidth="1"/>
    <col min="6636" max="6636" width="14" style="42" customWidth="1"/>
    <col min="6637" max="6889" width="8.90625" style="42"/>
    <col min="6890" max="6890" width="38.453125" style="42" bestFit="1" customWidth="1"/>
    <col min="6891" max="6891" width="12.08984375" style="42" customWidth="1"/>
    <col min="6892" max="6892" width="14" style="42" customWidth="1"/>
    <col min="6893" max="7145" width="8.90625" style="42"/>
    <col min="7146" max="7146" width="38.453125" style="42" bestFit="1" customWidth="1"/>
    <col min="7147" max="7147" width="12.08984375" style="42" customWidth="1"/>
    <col min="7148" max="7148" width="14" style="42" customWidth="1"/>
    <col min="7149" max="7401" width="8.90625" style="42"/>
    <col min="7402" max="7402" width="38.453125" style="42" bestFit="1" customWidth="1"/>
    <col min="7403" max="7403" width="12.08984375" style="42" customWidth="1"/>
    <col min="7404" max="7404" width="14" style="42" customWidth="1"/>
    <col min="7405" max="7657" width="8.90625" style="42"/>
    <col min="7658" max="7658" width="38.453125" style="42" bestFit="1" customWidth="1"/>
    <col min="7659" max="7659" width="12.08984375" style="42" customWidth="1"/>
    <col min="7660" max="7660" width="14" style="42" customWidth="1"/>
    <col min="7661" max="7913" width="8.90625" style="42"/>
    <col min="7914" max="7914" width="38.453125" style="42" bestFit="1" customWidth="1"/>
    <col min="7915" max="7915" width="12.08984375" style="42" customWidth="1"/>
    <col min="7916" max="7916" width="14" style="42" customWidth="1"/>
    <col min="7917" max="8169" width="8.90625" style="42"/>
    <col min="8170" max="8170" width="38.453125" style="42" bestFit="1" customWidth="1"/>
    <col min="8171" max="8171" width="12.08984375" style="42" customWidth="1"/>
    <col min="8172" max="8172" width="14" style="42" customWidth="1"/>
    <col min="8173" max="8425" width="8.90625" style="42"/>
    <col min="8426" max="8426" width="38.453125" style="42" bestFit="1" customWidth="1"/>
    <col min="8427" max="8427" width="12.08984375" style="42" customWidth="1"/>
    <col min="8428" max="8428" width="14" style="42" customWidth="1"/>
    <col min="8429" max="8681" width="8.90625" style="42"/>
    <col min="8682" max="8682" width="38.453125" style="42" bestFit="1" customWidth="1"/>
    <col min="8683" max="8683" width="12.08984375" style="42" customWidth="1"/>
    <col min="8684" max="8684" width="14" style="42" customWidth="1"/>
    <col min="8685" max="8937" width="8.90625" style="42"/>
    <col min="8938" max="8938" width="38.453125" style="42" bestFit="1" customWidth="1"/>
    <col min="8939" max="8939" width="12.08984375" style="42" customWidth="1"/>
    <col min="8940" max="8940" width="14" style="42" customWidth="1"/>
    <col min="8941" max="9193" width="8.90625" style="42"/>
    <col min="9194" max="9194" width="38.453125" style="42" bestFit="1" customWidth="1"/>
    <col min="9195" max="9195" width="12.08984375" style="42" customWidth="1"/>
    <col min="9196" max="9196" width="14" style="42" customWidth="1"/>
    <col min="9197" max="9449" width="8.90625" style="42"/>
    <col min="9450" max="9450" width="38.453125" style="42" bestFit="1" customWidth="1"/>
    <col min="9451" max="9451" width="12.08984375" style="42" customWidth="1"/>
    <col min="9452" max="9452" width="14" style="42" customWidth="1"/>
    <col min="9453" max="9705" width="8.90625" style="42"/>
    <col min="9706" max="9706" width="38.453125" style="42" bestFit="1" customWidth="1"/>
    <col min="9707" max="9707" width="12.08984375" style="42" customWidth="1"/>
    <col min="9708" max="9708" width="14" style="42" customWidth="1"/>
    <col min="9709" max="9961" width="8.90625" style="42"/>
    <col min="9962" max="9962" width="38.453125" style="42" bestFit="1" customWidth="1"/>
    <col min="9963" max="9963" width="12.08984375" style="42" customWidth="1"/>
    <col min="9964" max="9964" width="14" style="42" customWidth="1"/>
    <col min="9965" max="10217" width="8.90625" style="42"/>
    <col min="10218" max="10218" width="38.453125" style="42" bestFit="1" customWidth="1"/>
    <col min="10219" max="10219" width="12.08984375" style="42" customWidth="1"/>
    <col min="10220" max="10220" width="14" style="42" customWidth="1"/>
    <col min="10221" max="10473" width="8.90625" style="42"/>
    <col min="10474" max="10474" width="38.453125" style="42" bestFit="1" customWidth="1"/>
    <col min="10475" max="10475" width="12.08984375" style="42" customWidth="1"/>
    <col min="10476" max="10476" width="14" style="42" customWidth="1"/>
    <col min="10477" max="10729" width="8.90625" style="42"/>
    <col min="10730" max="10730" width="38.453125" style="42" bestFit="1" customWidth="1"/>
    <col min="10731" max="10731" width="12.08984375" style="42" customWidth="1"/>
    <col min="10732" max="10732" width="14" style="42" customWidth="1"/>
    <col min="10733" max="10985" width="8.90625" style="42"/>
    <col min="10986" max="10986" width="38.453125" style="42" bestFit="1" customWidth="1"/>
    <col min="10987" max="10987" width="12.08984375" style="42" customWidth="1"/>
    <col min="10988" max="10988" width="14" style="42" customWidth="1"/>
    <col min="10989" max="11241" width="8.90625" style="42"/>
    <col min="11242" max="11242" width="38.453125" style="42" bestFit="1" customWidth="1"/>
    <col min="11243" max="11243" width="12.08984375" style="42" customWidth="1"/>
    <col min="11244" max="11244" width="14" style="42" customWidth="1"/>
    <col min="11245" max="11497" width="8.90625" style="42"/>
    <col min="11498" max="11498" width="38.453125" style="42" bestFit="1" customWidth="1"/>
    <col min="11499" max="11499" width="12.08984375" style="42" customWidth="1"/>
    <col min="11500" max="11500" width="14" style="42" customWidth="1"/>
    <col min="11501" max="11753" width="8.90625" style="42"/>
    <col min="11754" max="11754" width="38.453125" style="42" bestFit="1" customWidth="1"/>
    <col min="11755" max="11755" width="12.08984375" style="42" customWidth="1"/>
    <col min="11756" max="11756" width="14" style="42" customWidth="1"/>
    <col min="11757" max="12009" width="8.90625" style="42"/>
    <col min="12010" max="12010" width="38.453125" style="42" bestFit="1" customWidth="1"/>
    <col min="12011" max="12011" width="12.08984375" style="42" customWidth="1"/>
    <col min="12012" max="12012" width="14" style="42" customWidth="1"/>
    <col min="12013" max="12265" width="8.90625" style="42"/>
    <col min="12266" max="12266" width="38.453125" style="42" bestFit="1" customWidth="1"/>
    <col min="12267" max="12267" width="12.08984375" style="42" customWidth="1"/>
    <col min="12268" max="12268" width="14" style="42" customWidth="1"/>
    <col min="12269" max="12521" width="8.90625" style="42"/>
    <col min="12522" max="12522" width="38.453125" style="42" bestFit="1" customWidth="1"/>
    <col min="12523" max="12523" width="12.08984375" style="42" customWidth="1"/>
    <col min="12524" max="12524" width="14" style="42" customWidth="1"/>
    <col min="12525" max="12777" width="8.90625" style="42"/>
    <col min="12778" max="12778" width="38.453125" style="42" bestFit="1" customWidth="1"/>
    <col min="12779" max="12779" width="12.08984375" style="42" customWidth="1"/>
    <col min="12780" max="12780" width="14" style="42" customWidth="1"/>
    <col min="12781" max="13033" width="8.90625" style="42"/>
    <col min="13034" max="13034" width="38.453125" style="42" bestFit="1" customWidth="1"/>
    <col min="13035" max="13035" width="12.08984375" style="42" customWidth="1"/>
    <col min="13036" max="13036" width="14" style="42" customWidth="1"/>
    <col min="13037" max="13289" width="8.90625" style="42"/>
    <col min="13290" max="13290" width="38.453125" style="42" bestFit="1" customWidth="1"/>
    <col min="13291" max="13291" width="12.08984375" style="42" customWidth="1"/>
    <col min="13292" max="13292" width="14" style="42" customWidth="1"/>
    <col min="13293" max="13545" width="8.90625" style="42"/>
    <col min="13546" max="13546" width="38.453125" style="42" bestFit="1" customWidth="1"/>
    <col min="13547" max="13547" width="12.08984375" style="42" customWidth="1"/>
    <col min="13548" max="13548" width="14" style="42" customWidth="1"/>
    <col min="13549" max="13801" width="8.90625" style="42"/>
    <col min="13802" max="13802" width="38.453125" style="42" bestFit="1" customWidth="1"/>
    <col min="13803" max="13803" width="12.08984375" style="42" customWidth="1"/>
    <col min="13804" max="13804" width="14" style="42" customWidth="1"/>
    <col min="13805" max="14057" width="8.90625" style="42"/>
    <col min="14058" max="14058" width="38.453125" style="42" bestFit="1" customWidth="1"/>
    <col min="14059" max="14059" width="12.08984375" style="42" customWidth="1"/>
    <col min="14060" max="14060" width="14" style="42" customWidth="1"/>
    <col min="14061" max="14313" width="8.90625" style="42"/>
    <col min="14314" max="14314" width="38.453125" style="42" bestFit="1" customWidth="1"/>
    <col min="14315" max="14315" width="12.08984375" style="42" customWidth="1"/>
    <col min="14316" max="14316" width="14" style="42" customWidth="1"/>
    <col min="14317" max="14569" width="8.90625" style="42"/>
    <col min="14570" max="14570" width="38.453125" style="42" bestFit="1" customWidth="1"/>
    <col min="14571" max="14571" width="12.08984375" style="42" customWidth="1"/>
    <col min="14572" max="14572" width="14" style="42" customWidth="1"/>
    <col min="14573" max="14825" width="8.90625" style="42"/>
    <col min="14826" max="14826" width="38.453125" style="42" bestFit="1" customWidth="1"/>
    <col min="14827" max="14827" width="12.08984375" style="42" customWidth="1"/>
    <col min="14828" max="14828" width="14" style="42" customWidth="1"/>
    <col min="14829" max="15081" width="8.90625" style="42"/>
    <col min="15082" max="15082" width="38.453125" style="42" bestFit="1" customWidth="1"/>
    <col min="15083" max="15083" width="12.08984375" style="42" customWidth="1"/>
    <col min="15084" max="15084" width="14" style="42" customWidth="1"/>
    <col min="15085" max="15337" width="8.90625" style="42"/>
    <col min="15338" max="15338" width="38.453125" style="42" bestFit="1" customWidth="1"/>
    <col min="15339" max="15339" width="12.08984375" style="42" customWidth="1"/>
    <col min="15340" max="15340" width="14" style="42" customWidth="1"/>
    <col min="15341" max="15593" width="8.90625" style="42"/>
    <col min="15594" max="15594" width="38.453125" style="42" bestFit="1" customWidth="1"/>
    <col min="15595" max="15595" width="12.08984375" style="42" customWidth="1"/>
    <col min="15596" max="15596" width="14" style="42" customWidth="1"/>
    <col min="15597" max="15849" width="8.90625" style="42"/>
    <col min="15850" max="15850" width="38.453125" style="42" bestFit="1" customWidth="1"/>
    <col min="15851" max="15851" width="12.08984375" style="42" customWidth="1"/>
    <col min="15852" max="15852" width="14" style="42" customWidth="1"/>
    <col min="15853" max="16105" width="8.90625" style="42"/>
    <col min="16106" max="16106" width="38.453125" style="42" bestFit="1" customWidth="1"/>
    <col min="16107" max="16107" width="12.08984375" style="42" customWidth="1"/>
    <col min="16108" max="16108" width="14" style="42" customWidth="1"/>
    <col min="16109" max="16384" width="8.90625" style="42"/>
  </cols>
  <sheetData>
    <row r="1" spans="1:2" ht="15.5">
      <c r="A1" s="189"/>
      <c r="B1" s="189"/>
    </row>
    <row r="2" spans="1:2" ht="15.5">
      <c r="A2" s="69"/>
      <c r="B2" s="69"/>
    </row>
    <row r="3" spans="1:2">
      <c r="A3" s="63" t="s">
        <v>108</v>
      </c>
      <c r="B3" s="67">
        <f ca="1">TODAY()</f>
        <v>46090</v>
      </c>
    </row>
    <row r="4" spans="1:2">
      <c r="A4" s="43"/>
      <c r="B4" s="44"/>
    </row>
    <row r="5" spans="1:2">
      <c r="A5" s="45" t="s">
        <v>78</v>
      </c>
      <c r="B5" s="46" t="s">
        <v>79</v>
      </c>
    </row>
    <row r="6" spans="1:2">
      <c r="A6" s="47" t="s">
        <v>80</v>
      </c>
      <c r="B6" s="48" t="s">
        <v>81</v>
      </c>
    </row>
    <row r="7" spans="1:2">
      <c r="A7" s="65" t="s">
        <v>82</v>
      </c>
      <c r="B7" s="49">
        <v>9166.67</v>
      </c>
    </row>
    <row r="8" spans="1:2">
      <c r="A8" s="65" t="s">
        <v>49</v>
      </c>
      <c r="B8" s="49">
        <v>0</v>
      </c>
    </row>
    <row r="9" spans="1:2">
      <c r="A9" s="65" t="s">
        <v>73</v>
      </c>
      <c r="B9" s="49">
        <v>700</v>
      </c>
    </row>
    <row r="10" spans="1:2">
      <c r="A10" s="65" t="s">
        <v>51</v>
      </c>
      <c r="B10" s="49">
        <v>1417.45</v>
      </c>
    </row>
    <row r="11" spans="1:2">
      <c r="A11" s="65" t="s">
        <v>52</v>
      </c>
      <c r="B11" s="49">
        <v>110.07</v>
      </c>
    </row>
    <row r="12" spans="1:2">
      <c r="A12" s="66" t="s">
        <v>83</v>
      </c>
      <c r="B12" s="51">
        <f>+B7+B9+B10+B11+B8</f>
        <v>11394.19</v>
      </c>
    </row>
    <row r="13" spans="1:2" ht="15" customHeight="1">
      <c r="A13" s="65"/>
      <c r="B13" s="49"/>
    </row>
    <row r="14" spans="1:2">
      <c r="A14" s="65" t="s">
        <v>74</v>
      </c>
      <c r="B14" s="49">
        <v>2754.07</v>
      </c>
    </row>
    <row r="15" spans="1:2">
      <c r="A15" s="65" t="s">
        <v>75</v>
      </c>
      <c r="B15" s="49">
        <v>0</v>
      </c>
    </row>
    <row r="16" spans="1:2">
      <c r="A16" s="65" t="s">
        <v>84</v>
      </c>
      <c r="B16" s="49">
        <v>183.45</v>
      </c>
    </row>
    <row r="17" spans="1:4" ht="16" customHeight="1">
      <c r="A17" s="65"/>
      <c r="B17" s="49"/>
    </row>
    <row r="18" spans="1:4">
      <c r="A18" s="66" t="s">
        <v>85</v>
      </c>
      <c r="B18" s="51">
        <f>(B7+B9+B8)-(B14+B15+B16)</f>
        <v>6929.15</v>
      </c>
    </row>
    <row r="19" spans="1:4">
      <c r="A19" s="65"/>
      <c r="B19" s="49"/>
    </row>
    <row r="20" spans="1:4">
      <c r="A20" s="66" t="s">
        <v>86</v>
      </c>
      <c r="B20" s="51">
        <f>B12</f>
        <v>11394.19</v>
      </c>
    </row>
    <row r="21" spans="1:4">
      <c r="A21" s="47"/>
      <c r="B21" s="49"/>
      <c r="C21" s="52"/>
    </row>
    <row r="22" spans="1:4">
      <c r="A22" s="65" t="s">
        <v>53</v>
      </c>
      <c r="B22" s="49">
        <v>50</v>
      </c>
    </row>
    <row r="23" spans="1:4">
      <c r="A23" s="47"/>
      <c r="B23" s="49"/>
      <c r="C23" s="53" t="s">
        <v>87</v>
      </c>
      <c r="D23" s="53" t="s">
        <v>88</v>
      </c>
    </row>
    <row r="24" spans="1:4">
      <c r="A24" s="54" t="s">
        <v>89</v>
      </c>
      <c r="B24" s="55">
        <f>+B20+B22</f>
        <v>11444.19</v>
      </c>
      <c r="C24" s="55">
        <f>B24*D24</f>
        <v>15981.811335000002</v>
      </c>
      <c r="D24" s="130">
        <v>1.3965000000000001</v>
      </c>
    </row>
    <row r="25" spans="1:4">
      <c r="A25" s="56" t="s">
        <v>90</v>
      </c>
      <c r="B25" s="57"/>
      <c r="C25" s="58">
        <f>B25*D24</f>
        <v>0</v>
      </c>
    </row>
    <row r="26" spans="1:4">
      <c r="A26" s="56" t="s">
        <v>91</v>
      </c>
      <c r="B26" s="57">
        <v>5</v>
      </c>
      <c r="C26" s="58">
        <f>B26*D24</f>
        <v>6.9824999999999999</v>
      </c>
    </row>
    <row r="27" spans="1:4">
      <c r="A27" s="59" t="s">
        <v>92</v>
      </c>
      <c r="B27" s="60">
        <f>SUM(B24:B26)</f>
        <v>11449.19</v>
      </c>
      <c r="C27" s="55">
        <f>SUM(C24:C26)</f>
        <v>15988.793835000002</v>
      </c>
    </row>
    <row r="28" spans="1:4">
      <c r="C28" s="62"/>
    </row>
  </sheetData>
  <mergeCells count="1">
    <mergeCell ref="A1:B1"/>
  </mergeCells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830E-2E74-3E42-883C-50917B68C60F}">
  <dimension ref="A1:D28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D31" sqref="D31"/>
    </sheetView>
  </sheetViews>
  <sheetFormatPr defaultColWidth="8.90625" defaultRowHeight="14.5"/>
  <cols>
    <col min="1" max="1" width="35.08984375" style="42" bestFit="1" customWidth="1"/>
    <col min="2" max="2" width="24.453125" style="61" customWidth="1"/>
    <col min="3" max="3" width="12.90625" style="42" bestFit="1" customWidth="1"/>
    <col min="4" max="4" width="12.08984375" style="42" bestFit="1" customWidth="1"/>
    <col min="5" max="233" width="8.90625" style="42"/>
    <col min="234" max="234" width="38.453125" style="42" bestFit="1" customWidth="1"/>
    <col min="235" max="235" width="12.08984375" style="42" customWidth="1"/>
    <col min="236" max="236" width="14" style="42" customWidth="1"/>
    <col min="237" max="489" width="8.90625" style="42"/>
    <col min="490" max="490" width="38.453125" style="42" bestFit="1" customWidth="1"/>
    <col min="491" max="491" width="12.08984375" style="42" customWidth="1"/>
    <col min="492" max="492" width="14" style="42" customWidth="1"/>
    <col min="493" max="745" width="8.90625" style="42"/>
    <col min="746" max="746" width="38.453125" style="42" bestFit="1" customWidth="1"/>
    <col min="747" max="747" width="12.08984375" style="42" customWidth="1"/>
    <col min="748" max="748" width="14" style="42" customWidth="1"/>
    <col min="749" max="1001" width="8.90625" style="42"/>
    <col min="1002" max="1002" width="38.453125" style="42" bestFit="1" customWidth="1"/>
    <col min="1003" max="1003" width="12.08984375" style="42" customWidth="1"/>
    <col min="1004" max="1004" width="14" style="42" customWidth="1"/>
    <col min="1005" max="1257" width="8.90625" style="42"/>
    <col min="1258" max="1258" width="38.453125" style="42" bestFit="1" customWidth="1"/>
    <col min="1259" max="1259" width="12.08984375" style="42" customWidth="1"/>
    <col min="1260" max="1260" width="14" style="42" customWidth="1"/>
    <col min="1261" max="1513" width="8.90625" style="42"/>
    <col min="1514" max="1514" width="38.453125" style="42" bestFit="1" customWidth="1"/>
    <col min="1515" max="1515" width="12.08984375" style="42" customWidth="1"/>
    <col min="1516" max="1516" width="14" style="42" customWidth="1"/>
    <col min="1517" max="1769" width="8.90625" style="42"/>
    <col min="1770" max="1770" width="38.453125" style="42" bestFit="1" customWidth="1"/>
    <col min="1771" max="1771" width="12.08984375" style="42" customWidth="1"/>
    <col min="1772" max="1772" width="14" style="42" customWidth="1"/>
    <col min="1773" max="2025" width="8.90625" style="42"/>
    <col min="2026" max="2026" width="38.453125" style="42" bestFit="1" customWidth="1"/>
    <col min="2027" max="2027" width="12.08984375" style="42" customWidth="1"/>
    <col min="2028" max="2028" width="14" style="42" customWidth="1"/>
    <col min="2029" max="2281" width="8.90625" style="42"/>
    <col min="2282" max="2282" width="38.453125" style="42" bestFit="1" customWidth="1"/>
    <col min="2283" max="2283" width="12.08984375" style="42" customWidth="1"/>
    <col min="2284" max="2284" width="14" style="42" customWidth="1"/>
    <col min="2285" max="2537" width="8.90625" style="42"/>
    <col min="2538" max="2538" width="38.453125" style="42" bestFit="1" customWidth="1"/>
    <col min="2539" max="2539" width="12.08984375" style="42" customWidth="1"/>
    <col min="2540" max="2540" width="14" style="42" customWidth="1"/>
    <col min="2541" max="2793" width="8.90625" style="42"/>
    <col min="2794" max="2794" width="38.453125" style="42" bestFit="1" customWidth="1"/>
    <col min="2795" max="2795" width="12.08984375" style="42" customWidth="1"/>
    <col min="2796" max="2796" width="14" style="42" customWidth="1"/>
    <col min="2797" max="3049" width="8.90625" style="42"/>
    <col min="3050" max="3050" width="38.453125" style="42" bestFit="1" customWidth="1"/>
    <col min="3051" max="3051" width="12.08984375" style="42" customWidth="1"/>
    <col min="3052" max="3052" width="14" style="42" customWidth="1"/>
    <col min="3053" max="3305" width="8.90625" style="42"/>
    <col min="3306" max="3306" width="38.453125" style="42" bestFit="1" customWidth="1"/>
    <col min="3307" max="3307" width="12.08984375" style="42" customWidth="1"/>
    <col min="3308" max="3308" width="14" style="42" customWidth="1"/>
    <col min="3309" max="3561" width="8.90625" style="42"/>
    <col min="3562" max="3562" width="38.453125" style="42" bestFit="1" customWidth="1"/>
    <col min="3563" max="3563" width="12.08984375" style="42" customWidth="1"/>
    <col min="3564" max="3564" width="14" style="42" customWidth="1"/>
    <col min="3565" max="3817" width="8.90625" style="42"/>
    <col min="3818" max="3818" width="38.453125" style="42" bestFit="1" customWidth="1"/>
    <col min="3819" max="3819" width="12.08984375" style="42" customWidth="1"/>
    <col min="3820" max="3820" width="14" style="42" customWidth="1"/>
    <col min="3821" max="4073" width="8.90625" style="42"/>
    <col min="4074" max="4074" width="38.453125" style="42" bestFit="1" customWidth="1"/>
    <col min="4075" max="4075" width="12.08984375" style="42" customWidth="1"/>
    <col min="4076" max="4076" width="14" style="42" customWidth="1"/>
    <col min="4077" max="4329" width="8.90625" style="42"/>
    <col min="4330" max="4330" width="38.453125" style="42" bestFit="1" customWidth="1"/>
    <col min="4331" max="4331" width="12.08984375" style="42" customWidth="1"/>
    <col min="4332" max="4332" width="14" style="42" customWidth="1"/>
    <col min="4333" max="4585" width="8.90625" style="42"/>
    <col min="4586" max="4586" width="38.453125" style="42" bestFit="1" customWidth="1"/>
    <col min="4587" max="4587" width="12.08984375" style="42" customWidth="1"/>
    <col min="4588" max="4588" width="14" style="42" customWidth="1"/>
    <col min="4589" max="4841" width="8.90625" style="42"/>
    <col min="4842" max="4842" width="38.453125" style="42" bestFit="1" customWidth="1"/>
    <col min="4843" max="4843" width="12.08984375" style="42" customWidth="1"/>
    <col min="4844" max="4844" width="14" style="42" customWidth="1"/>
    <col min="4845" max="5097" width="8.90625" style="42"/>
    <col min="5098" max="5098" width="38.453125" style="42" bestFit="1" customWidth="1"/>
    <col min="5099" max="5099" width="12.08984375" style="42" customWidth="1"/>
    <col min="5100" max="5100" width="14" style="42" customWidth="1"/>
    <col min="5101" max="5353" width="8.90625" style="42"/>
    <col min="5354" max="5354" width="38.453125" style="42" bestFit="1" customWidth="1"/>
    <col min="5355" max="5355" width="12.08984375" style="42" customWidth="1"/>
    <col min="5356" max="5356" width="14" style="42" customWidth="1"/>
    <col min="5357" max="5609" width="8.90625" style="42"/>
    <col min="5610" max="5610" width="38.453125" style="42" bestFit="1" customWidth="1"/>
    <col min="5611" max="5611" width="12.08984375" style="42" customWidth="1"/>
    <col min="5612" max="5612" width="14" style="42" customWidth="1"/>
    <col min="5613" max="5865" width="8.90625" style="42"/>
    <col min="5866" max="5866" width="38.453125" style="42" bestFit="1" customWidth="1"/>
    <col min="5867" max="5867" width="12.08984375" style="42" customWidth="1"/>
    <col min="5868" max="5868" width="14" style="42" customWidth="1"/>
    <col min="5869" max="6121" width="8.90625" style="42"/>
    <col min="6122" max="6122" width="38.453125" style="42" bestFit="1" customWidth="1"/>
    <col min="6123" max="6123" width="12.08984375" style="42" customWidth="1"/>
    <col min="6124" max="6124" width="14" style="42" customWidth="1"/>
    <col min="6125" max="6377" width="8.90625" style="42"/>
    <col min="6378" max="6378" width="38.453125" style="42" bestFit="1" customWidth="1"/>
    <col min="6379" max="6379" width="12.08984375" style="42" customWidth="1"/>
    <col min="6380" max="6380" width="14" style="42" customWidth="1"/>
    <col min="6381" max="6633" width="8.90625" style="42"/>
    <col min="6634" max="6634" width="38.453125" style="42" bestFit="1" customWidth="1"/>
    <col min="6635" max="6635" width="12.08984375" style="42" customWidth="1"/>
    <col min="6636" max="6636" width="14" style="42" customWidth="1"/>
    <col min="6637" max="6889" width="8.90625" style="42"/>
    <col min="6890" max="6890" width="38.453125" style="42" bestFit="1" customWidth="1"/>
    <col min="6891" max="6891" width="12.08984375" style="42" customWidth="1"/>
    <col min="6892" max="6892" width="14" style="42" customWidth="1"/>
    <col min="6893" max="7145" width="8.90625" style="42"/>
    <col min="7146" max="7146" width="38.453125" style="42" bestFit="1" customWidth="1"/>
    <col min="7147" max="7147" width="12.08984375" style="42" customWidth="1"/>
    <col min="7148" max="7148" width="14" style="42" customWidth="1"/>
    <col min="7149" max="7401" width="8.90625" style="42"/>
    <col min="7402" max="7402" width="38.453125" style="42" bestFit="1" customWidth="1"/>
    <col min="7403" max="7403" width="12.08984375" style="42" customWidth="1"/>
    <col min="7404" max="7404" width="14" style="42" customWidth="1"/>
    <col min="7405" max="7657" width="8.90625" style="42"/>
    <col min="7658" max="7658" width="38.453125" style="42" bestFit="1" customWidth="1"/>
    <col min="7659" max="7659" width="12.08984375" style="42" customWidth="1"/>
    <col min="7660" max="7660" width="14" style="42" customWidth="1"/>
    <col min="7661" max="7913" width="8.90625" style="42"/>
    <col min="7914" max="7914" width="38.453125" style="42" bestFit="1" customWidth="1"/>
    <col min="7915" max="7915" width="12.08984375" style="42" customWidth="1"/>
    <col min="7916" max="7916" width="14" style="42" customWidth="1"/>
    <col min="7917" max="8169" width="8.90625" style="42"/>
    <col min="8170" max="8170" width="38.453125" style="42" bestFit="1" customWidth="1"/>
    <col min="8171" max="8171" width="12.08984375" style="42" customWidth="1"/>
    <col min="8172" max="8172" width="14" style="42" customWidth="1"/>
    <col min="8173" max="8425" width="8.90625" style="42"/>
    <col min="8426" max="8426" width="38.453125" style="42" bestFit="1" customWidth="1"/>
    <col min="8427" max="8427" width="12.08984375" style="42" customWidth="1"/>
    <col min="8428" max="8428" width="14" style="42" customWidth="1"/>
    <col min="8429" max="8681" width="8.90625" style="42"/>
    <col min="8682" max="8682" width="38.453125" style="42" bestFit="1" customWidth="1"/>
    <col min="8683" max="8683" width="12.08984375" style="42" customWidth="1"/>
    <col min="8684" max="8684" width="14" style="42" customWidth="1"/>
    <col min="8685" max="8937" width="8.90625" style="42"/>
    <col min="8938" max="8938" width="38.453125" style="42" bestFit="1" customWidth="1"/>
    <col min="8939" max="8939" width="12.08984375" style="42" customWidth="1"/>
    <col min="8940" max="8940" width="14" style="42" customWidth="1"/>
    <col min="8941" max="9193" width="8.90625" style="42"/>
    <col min="9194" max="9194" width="38.453125" style="42" bestFit="1" customWidth="1"/>
    <col min="9195" max="9195" width="12.08984375" style="42" customWidth="1"/>
    <col min="9196" max="9196" width="14" style="42" customWidth="1"/>
    <col min="9197" max="9449" width="8.90625" style="42"/>
    <col min="9450" max="9450" width="38.453125" style="42" bestFit="1" customWidth="1"/>
    <col min="9451" max="9451" width="12.08984375" style="42" customWidth="1"/>
    <col min="9452" max="9452" width="14" style="42" customWidth="1"/>
    <col min="9453" max="9705" width="8.90625" style="42"/>
    <col min="9706" max="9706" width="38.453125" style="42" bestFit="1" customWidth="1"/>
    <col min="9707" max="9707" width="12.08984375" style="42" customWidth="1"/>
    <col min="9708" max="9708" width="14" style="42" customWidth="1"/>
    <col min="9709" max="9961" width="8.90625" style="42"/>
    <col min="9962" max="9962" width="38.453125" style="42" bestFit="1" customWidth="1"/>
    <col min="9963" max="9963" width="12.08984375" style="42" customWidth="1"/>
    <col min="9964" max="9964" width="14" style="42" customWidth="1"/>
    <col min="9965" max="10217" width="8.90625" style="42"/>
    <col min="10218" max="10218" width="38.453125" style="42" bestFit="1" customWidth="1"/>
    <col min="10219" max="10219" width="12.08984375" style="42" customWidth="1"/>
    <col min="10220" max="10220" width="14" style="42" customWidth="1"/>
    <col min="10221" max="10473" width="8.90625" style="42"/>
    <col min="10474" max="10474" width="38.453125" style="42" bestFit="1" customWidth="1"/>
    <col min="10475" max="10475" width="12.08984375" style="42" customWidth="1"/>
    <col min="10476" max="10476" width="14" style="42" customWidth="1"/>
    <col min="10477" max="10729" width="8.90625" style="42"/>
    <col min="10730" max="10730" width="38.453125" style="42" bestFit="1" customWidth="1"/>
    <col min="10731" max="10731" width="12.08984375" style="42" customWidth="1"/>
    <col min="10732" max="10732" width="14" style="42" customWidth="1"/>
    <col min="10733" max="10985" width="8.90625" style="42"/>
    <col min="10986" max="10986" width="38.453125" style="42" bestFit="1" customWidth="1"/>
    <col min="10987" max="10987" width="12.08984375" style="42" customWidth="1"/>
    <col min="10988" max="10988" width="14" style="42" customWidth="1"/>
    <col min="10989" max="11241" width="8.90625" style="42"/>
    <col min="11242" max="11242" width="38.453125" style="42" bestFit="1" customWidth="1"/>
    <col min="11243" max="11243" width="12.08984375" style="42" customWidth="1"/>
    <col min="11244" max="11244" width="14" style="42" customWidth="1"/>
    <col min="11245" max="11497" width="8.90625" style="42"/>
    <col min="11498" max="11498" width="38.453125" style="42" bestFit="1" customWidth="1"/>
    <col min="11499" max="11499" width="12.08984375" style="42" customWidth="1"/>
    <col min="11500" max="11500" width="14" style="42" customWidth="1"/>
    <col min="11501" max="11753" width="8.90625" style="42"/>
    <col min="11754" max="11754" width="38.453125" style="42" bestFit="1" customWidth="1"/>
    <col min="11755" max="11755" width="12.08984375" style="42" customWidth="1"/>
    <col min="11756" max="11756" width="14" style="42" customWidth="1"/>
    <col min="11757" max="12009" width="8.90625" style="42"/>
    <col min="12010" max="12010" width="38.453125" style="42" bestFit="1" customWidth="1"/>
    <col min="12011" max="12011" width="12.08984375" style="42" customWidth="1"/>
    <col min="12012" max="12012" width="14" style="42" customWidth="1"/>
    <col min="12013" max="12265" width="8.90625" style="42"/>
    <col min="12266" max="12266" width="38.453125" style="42" bestFit="1" customWidth="1"/>
    <col min="12267" max="12267" width="12.08984375" style="42" customWidth="1"/>
    <col min="12268" max="12268" width="14" style="42" customWidth="1"/>
    <col min="12269" max="12521" width="8.90625" style="42"/>
    <col min="12522" max="12522" width="38.453125" style="42" bestFit="1" customWidth="1"/>
    <col min="12523" max="12523" width="12.08984375" style="42" customWidth="1"/>
    <col min="12524" max="12524" width="14" style="42" customWidth="1"/>
    <col min="12525" max="12777" width="8.90625" style="42"/>
    <col min="12778" max="12778" width="38.453125" style="42" bestFit="1" customWidth="1"/>
    <col min="12779" max="12779" width="12.08984375" style="42" customWidth="1"/>
    <col min="12780" max="12780" width="14" style="42" customWidth="1"/>
    <col min="12781" max="13033" width="8.90625" style="42"/>
    <col min="13034" max="13034" width="38.453125" style="42" bestFit="1" customWidth="1"/>
    <col min="13035" max="13035" width="12.08984375" style="42" customWidth="1"/>
    <col min="13036" max="13036" width="14" style="42" customWidth="1"/>
    <col min="13037" max="13289" width="8.90625" style="42"/>
    <col min="13290" max="13290" width="38.453125" style="42" bestFit="1" customWidth="1"/>
    <col min="13291" max="13291" width="12.08984375" style="42" customWidth="1"/>
    <col min="13292" max="13292" width="14" style="42" customWidth="1"/>
    <col min="13293" max="13545" width="8.90625" style="42"/>
    <col min="13546" max="13546" width="38.453125" style="42" bestFit="1" customWidth="1"/>
    <col min="13547" max="13547" width="12.08984375" style="42" customWidth="1"/>
    <col min="13548" max="13548" width="14" style="42" customWidth="1"/>
    <col min="13549" max="13801" width="8.90625" style="42"/>
    <col min="13802" max="13802" width="38.453125" style="42" bestFit="1" customWidth="1"/>
    <col min="13803" max="13803" width="12.08984375" style="42" customWidth="1"/>
    <col min="13804" max="13804" width="14" style="42" customWidth="1"/>
    <col min="13805" max="14057" width="8.90625" style="42"/>
    <col min="14058" max="14058" width="38.453125" style="42" bestFit="1" customWidth="1"/>
    <col min="14059" max="14059" width="12.08984375" style="42" customWidth="1"/>
    <col min="14060" max="14060" width="14" style="42" customWidth="1"/>
    <col min="14061" max="14313" width="8.90625" style="42"/>
    <col min="14314" max="14314" width="38.453125" style="42" bestFit="1" customWidth="1"/>
    <col min="14315" max="14315" width="12.08984375" style="42" customWidth="1"/>
    <col min="14316" max="14316" width="14" style="42" customWidth="1"/>
    <col min="14317" max="14569" width="8.90625" style="42"/>
    <col min="14570" max="14570" width="38.453125" style="42" bestFit="1" customWidth="1"/>
    <col min="14571" max="14571" width="12.08984375" style="42" customWidth="1"/>
    <col min="14572" max="14572" width="14" style="42" customWidth="1"/>
    <col min="14573" max="14825" width="8.90625" style="42"/>
    <col min="14826" max="14826" width="38.453125" style="42" bestFit="1" customWidth="1"/>
    <col min="14827" max="14827" width="12.08984375" style="42" customWidth="1"/>
    <col min="14828" max="14828" width="14" style="42" customWidth="1"/>
    <col min="14829" max="15081" width="8.90625" style="42"/>
    <col min="15082" max="15082" width="38.453125" style="42" bestFit="1" customWidth="1"/>
    <col min="15083" max="15083" width="12.08984375" style="42" customWidth="1"/>
    <col min="15084" max="15084" width="14" style="42" customWidth="1"/>
    <col min="15085" max="15337" width="8.90625" style="42"/>
    <col min="15338" max="15338" width="38.453125" style="42" bestFit="1" customWidth="1"/>
    <col min="15339" max="15339" width="12.08984375" style="42" customWidth="1"/>
    <col min="15340" max="15340" width="14" style="42" customWidth="1"/>
    <col min="15341" max="15593" width="8.90625" style="42"/>
    <col min="15594" max="15594" width="38.453125" style="42" bestFit="1" customWidth="1"/>
    <col min="15595" max="15595" width="12.08984375" style="42" customWidth="1"/>
    <col min="15596" max="15596" width="14" style="42" customWidth="1"/>
    <col min="15597" max="15849" width="8.90625" style="42"/>
    <col min="15850" max="15850" width="38.453125" style="42" bestFit="1" customWidth="1"/>
    <col min="15851" max="15851" width="12.08984375" style="42" customWidth="1"/>
    <col min="15852" max="15852" width="14" style="42" customWidth="1"/>
    <col min="15853" max="16105" width="8.90625" style="42"/>
    <col min="16106" max="16106" width="38.453125" style="42" bestFit="1" customWidth="1"/>
    <col min="16107" max="16107" width="12.08984375" style="42" customWidth="1"/>
    <col min="16108" max="16108" width="14" style="42" customWidth="1"/>
    <col min="16109" max="16384" width="8.90625" style="42"/>
  </cols>
  <sheetData>
    <row r="1" spans="1:2" ht="15.5">
      <c r="A1" s="189"/>
      <c r="B1" s="189"/>
    </row>
    <row r="2" spans="1:2" ht="15.5">
      <c r="A2" s="69"/>
      <c r="B2" s="69"/>
    </row>
    <row r="3" spans="1:2">
      <c r="A3" s="63" t="s">
        <v>109</v>
      </c>
      <c r="B3" s="67">
        <f ca="1">TODAY()</f>
        <v>46090</v>
      </c>
    </row>
    <row r="4" spans="1:2">
      <c r="A4" s="43"/>
      <c r="B4" s="44"/>
    </row>
    <row r="5" spans="1:2">
      <c r="A5" s="45" t="s">
        <v>78</v>
      </c>
      <c r="B5" s="46" t="s">
        <v>79</v>
      </c>
    </row>
    <row r="6" spans="1:2">
      <c r="A6" s="47" t="s">
        <v>80</v>
      </c>
      <c r="B6" s="48" t="s">
        <v>81</v>
      </c>
    </row>
    <row r="7" spans="1:2">
      <c r="A7" s="47" t="s">
        <v>82</v>
      </c>
      <c r="B7" s="49">
        <v>5300</v>
      </c>
    </row>
    <row r="8" spans="1:2">
      <c r="A8" s="65" t="s">
        <v>93</v>
      </c>
      <c r="B8" s="49">
        <v>0</v>
      </c>
    </row>
    <row r="9" spans="1:2">
      <c r="A9" s="65" t="s">
        <v>73</v>
      </c>
      <c r="B9" s="49">
        <v>0</v>
      </c>
    </row>
    <row r="10" spans="1:2">
      <c r="A10" s="47" t="s">
        <v>51</v>
      </c>
      <c r="B10" s="49">
        <v>732.45</v>
      </c>
    </row>
    <row r="11" spans="1:2">
      <c r="A11" s="47" t="s">
        <v>52</v>
      </c>
      <c r="B11" s="49">
        <v>110.07</v>
      </c>
    </row>
    <row r="12" spans="1:2">
      <c r="A12" s="50" t="s">
        <v>83</v>
      </c>
      <c r="B12" s="51">
        <f>SUM(B7:B11)</f>
        <v>6142.5199999999995</v>
      </c>
    </row>
    <row r="13" spans="1:2" ht="15" customHeight="1">
      <c r="A13" s="47"/>
      <c r="B13" s="49"/>
    </row>
    <row r="14" spans="1:2">
      <c r="A14" s="47" t="s">
        <v>74</v>
      </c>
      <c r="B14" s="49">
        <v>998.87</v>
      </c>
    </row>
    <row r="15" spans="1:2">
      <c r="A15" s="47" t="s">
        <v>75</v>
      </c>
      <c r="B15" s="49">
        <v>273.5</v>
      </c>
    </row>
    <row r="16" spans="1:2">
      <c r="A16" s="47" t="s">
        <v>84</v>
      </c>
      <c r="B16" s="49">
        <v>183.45</v>
      </c>
    </row>
    <row r="17" spans="1:4" ht="16" customHeight="1">
      <c r="A17" s="47"/>
      <c r="B17" s="49"/>
    </row>
    <row r="18" spans="1:4">
      <c r="A18" s="50" t="s">
        <v>85</v>
      </c>
      <c r="B18" s="51">
        <f>(B8+B7)-(B14+B15+B16)</f>
        <v>3844.1800000000003</v>
      </c>
    </row>
    <row r="19" spans="1:4">
      <c r="A19" s="47"/>
      <c r="B19" s="49"/>
    </row>
    <row r="20" spans="1:4">
      <c r="A20" s="50" t="s">
        <v>86</v>
      </c>
      <c r="B20" s="51">
        <f>B12</f>
        <v>6142.5199999999995</v>
      </c>
    </row>
    <row r="21" spans="1:4">
      <c r="A21" s="47"/>
      <c r="B21" s="49"/>
      <c r="C21" s="52"/>
    </row>
    <row r="22" spans="1:4">
      <c r="A22" s="65" t="s">
        <v>53</v>
      </c>
      <c r="B22" s="49">
        <v>27</v>
      </c>
    </row>
    <row r="23" spans="1:4">
      <c r="A23" s="47"/>
      <c r="B23" s="49"/>
      <c r="C23" s="53" t="s">
        <v>87</v>
      </c>
      <c r="D23" s="53" t="s">
        <v>88</v>
      </c>
    </row>
    <row r="24" spans="1:4">
      <c r="A24" s="54" t="s">
        <v>89</v>
      </c>
      <c r="B24" s="55">
        <f>+B20+B22</f>
        <v>6169.5199999999995</v>
      </c>
      <c r="C24" s="55">
        <f>B24*D24</f>
        <v>8615.7346799999996</v>
      </c>
      <c r="D24" s="130">
        <v>1.3965000000000001</v>
      </c>
    </row>
    <row r="25" spans="1:4">
      <c r="A25" s="56" t="s">
        <v>90</v>
      </c>
      <c r="B25" s="57"/>
      <c r="C25" s="58">
        <f>B25*D24</f>
        <v>0</v>
      </c>
    </row>
    <row r="26" spans="1:4">
      <c r="A26" s="56" t="s">
        <v>91</v>
      </c>
      <c r="B26" s="57">
        <v>5</v>
      </c>
      <c r="C26" s="58">
        <f>B26*D24</f>
        <v>6.9824999999999999</v>
      </c>
    </row>
    <row r="27" spans="1:4">
      <c r="A27" s="59" t="s">
        <v>92</v>
      </c>
      <c r="B27" s="60">
        <f>SUM(B24:B26)</f>
        <v>6174.5199999999995</v>
      </c>
      <c r="C27" s="55">
        <f>SUM(C24:C26)</f>
        <v>8622.7171799999996</v>
      </c>
    </row>
    <row r="28" spans="1:4">
      <c r="C28" s="62"/>
    </row>
  </sheetData>
  <mergeCells count="1">
    <mergeCell ref="A1:B1"/>
  </mergeCells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D832-072E-412B-A424-73B9B93CA95C}">
  <dimension ref="A1:K9"/>
  <sheetViews>
    <sheetView workbookViewId="0">
      <selection activeCell="J1" sqref="J1"/>
    </sheetView>
  </sheetViews>
  <sheetFormatPr defaultColWidth="8.90625" defaultRowHeight="14.5"/>
  <cols>
    <col min="1" max="1" width="14.36328125" customWidth="1"/>
    <col min="2" max="2" width="13.6328125" customWidth="1"/>
    <col min="3" max="3" width="15.90625" customWidth="1"/>
    <col min="4" max="4" width="9.36328125" customWidth="1"/>
    <col min="5" max="6" width="14.6328125" customWidth="1"/>
  </cols>
  <sheetData>
    <row r="1" spans="1:11" ht="58">
      <c r="A1" s="39" t="s">
        <v>94</v>
      </c>
      <c r="B1" s="39" t="s">
        <v>95</v>
      </c>
      <c r="C1" s="39" t="s">
        <v>96</v>
      </c>
      <c r="D1" s="39" t="s">
        <v>97</v>
      </c>
      <c r="E1" s="39" t="s">
        <v>98</v>
      </c>
      <c r="F1" s="142" t="s">
        <v>99</v>
      </c>
      <c r="G1" s="142" t="s">
        <v>100</v>
      </c>
      <c r="H1" s="39" t="s">
        <v>101</v>
      </c>
      <c r="I1" s="39" t="s">
        <v>102</v>
      </c>
      <c r="J1" s="142" t="s">
        <v>103</v>
      </c>
      <c r="K1" s="39" t="s">
        <v>104</v>
      </c>
    </row>
    <row r="2" spans="1:11">
      <c r="A2" s="141">
        <f>PN!F15</f>
        <v>24597.546015000004</v>
      </c>
      <c r="B2" s="141">
        <f>PN!F35</f>
        <v>0</v>
      </c>
      <c r="C2" s="141">
        <f>PN!F21</f>
        <v>1816.9767934500003</v>
      </c>
      <c r="D2" s="141">
        <f>PN!F33</f>
        <v>23.965000000000003</v>
      </c>
      <c r="E2" s="141">
        <f>PN!F32</f>
        <v>0</v>
      </c>
      <c r="F2">
        <v>0</v>
      </c>
      <c r="G2">
        <v>0</v>
      </c>
      <c r="H2" s="141">
        <f>PN!F30</f>
        <v>0</v>
      </c>
      <c r="I2" s="141">
        <f>PN!F31</f>
        <v>0</v>
      </c>
      <c r="J2">
        <v>0</v>
      </c>
      <c r="K2">
        <f>SUM(A2:J2)</f>
        <v>26438.487808450005</v>
      </c>
    </row>
    <row r="7" spans="1:11">
      <c r="A7" t="s">
        <v>105</v>
      </c>
    </row>
    <row r="8" spans="1:11">
      <c r="A8" t="s">
        <v>106</v>
      </c>
    </row>
    <row r="9" spans="1:11">
      <c r="A9" t="s">
        <v>107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6a3ac1b25229f7f744200c02d23e4089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465a83da5b0fc7f9619e44150761f9e9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96D87C-EBE2-4C94-BC63-321AF2B137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27f54e-f962-403c-9056-fc9f08248a08"/>
    <ds:schemaRef ds:uri="00ff829c-5328-4041-8e8f-a41155b38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EBE9FC-9315-4BA2-BE91-C7F6ABEB7BB4}">
  <ds:schemaRefs>
    <ds:schemaRef ds:uri="http://schemas.microsoft.com/office/2006/metadata/properties"/>
    <ds:schemaRef ds:uri="http://schemas.microsoft.com/office/infopath/2007/PartnerControls"/>
    <ds:schemaRef ds:uri="00ff829c-5328-4041-8e8f-a41155b380ee"/>
    <ds:schemaRef ds:uri="d627f54e-f962-403c-9056-fc9f08248a08"/>
  </ds:schemaRefs>
</ds:datastoreItem>
</file>

<file path=customXml/itemProps3.xml><?xml version="1.0" encoding="utf-8"?>
<ds:datastoreItem xmlns:ds="http://schemas.openxmlformats.org/officeDocument/2006/customXml" ds:itemID="{BFD70D6F-6904-4CD2-BCA4-5F0BC221F8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PN</vt:lpstr>
      <vt:lpstr>UK</vt:lpstr>
      <vt:lpstr>UK EE</vt:lpstr>
      <vt:lpstr>UK-L</vt:lpstr>
      <vt:lpstr>UK-L (2)</vt:lpstr>
      <vt:lpstr>FI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Chen, ChunJie</dc:creator>
  <cp:keywords/>
  <dc:description/>
  <cp:lastModifiedBy>LIU, SiYu</cp:lastModifiedBy>
  <cp:revision/>
  <dcterms:created xsi:type="dcterms:W3CDTF">2018-12-11T19:06:17Z</dcterms:created>
  <dcterms:modified xsi:type="dcterms:W3CDTF">2026-03-09T02:15:29Z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5990f738-fcdd-405e-99be-11cb97209fa1</vt:lpwstr>
  </property>
  <property fmtid="{D5CDD505-2E9C-101B-9397-08002B2CF9AE}" pid="4" name="MediaServiceImageTags">
    <vt:lpwstr/>
  </property>
</Properties>
</file>