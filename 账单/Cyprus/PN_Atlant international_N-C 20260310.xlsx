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B1AC83D8-E8C1-4555-844A-0AE8FE77CD3B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6" r:id="rId1"/>
    <sheet name="Cyprus" sheetId="2" r:id="rId2"/>
    <sheet name="Cyprus EE" sheetId="5" r:id="rId3"/>
    <sheet name="Cyprus-L" sheetId="3" r:id="rId4"/>
    <sheet name="FI Repor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U4" i="2"/>
  <c r="T4" i="2"/>
  <c r="S4" i="2"/>
  <c r="G9" i="2"/>
  <c r="G6" i="2" s="1"/>
  <c r="H6" i="2"/>
  <c r="D10" i="5"/>
  <c r="T10" i="5"/>
  <c r="K8" i="3"/>
  <c r="F32" i="6"/>
  <c r="D2" i="4" s="1"/>
  <c r="F30" i="6"/>
  <c r="I2" i="4" s="1"/>
  <c r="F31" i="6"/>
  <c r="E2" i="4" s="1"/>
  <c r="F29" i="6"/>
  <c r="H2" i="4" s="1"/>
  <c r="F14" i="6"/>
  <c r="C2" i="2"/>
  <c r="B2" i="2"/>
  <c r="C1" i="3"/>
  <c r="B9" i="2"/>
  <c r="A17" i="6" s="1"/>
  <c r="W9" i="2"/>
  <c r="U9" i="2"/>
  <c r="L9" i="2"/>
  <c r="M9" i="2"/>
  <c r="N9" i="2"/>
  <c r="O9" i="2"/>
  <c r="P9" i="2"/>
  <c r="Q9" i="2"/>
  <c r="K9" i="2"/>
  <c r="R10" i="5"/>
  <c r="Q10" i="5" s="1"/>
  <c r="K10" i="5"/>
  <c r="L10" i="5"/>
  <c r="M10" i="5"/>
  <c r="N10" i="5"/>
  <c r="O10" i="5"/>
  <c r="P10" i="5"/>
  <c r="J10" i="5"/>
  <c r="G10" i="5"/>
  <c r="F10" i="5"/>
  <c r="E10" i="5"/>
  <c r="B10" i="5"/>
  <c r="C10" i="5"/>
  <c r="A21" i="6" l="1"/>
  <c r="A16" i="6"/>
  <c r="S9" i="2"/>
  <c r="T9" i="2"/>
  <c r="Q8" i="3"/>
  <c r="E21" i="2"/>
  <c r="C9" i="2"/>
  <c r="R8" i="3" l="1"/>
  <c r="F10" i="6"/>
  <c r="W6" i="2"/>
  <c r="T6" i="2"/>
  <c r="U6" i="2"/>
  <c r="S6" i="2"/>
  <c r="L6" i="2"/>
  <c r="M6" i="2"/>
  <c r="N6" i="2"/>
  <c r="O6" i="2"/>
  <c r="P6" i="2"/>
  <c r="Q6" i="2"/>
  <c r="J9" i="2" l="1"/>
  <c r="K6" i="2"/>
  <c r="I10" i="5"/>
  <c r="J6" i="2" l="1"/>
  <c r="F16" i="6"/>
  <c r="F21" i="6" l="1"/>
  <c r="S10" i="5"/>
  <c r="H10" i="5" s="1"/>
  <c r="A1" i="5"/>
  <c r="F20" i="6" l="1"/>
  <c r="C2" i="4" s="1"/>
  <c r="F6" i="2"/>
  <c r="F34" i="6" s="1"/>
  <c r="B2" i="4" s="1"/>
  <c r="V9" i="2" l="1"/>
  <c r="A1" i="2"/>
  <c r="F17" i="6" l="1"/>
  <c r="E9" i="2"/>
  <c r="V6" i="2"/>
  <c r="R6" i="2"/>
  <c r="F15" i="6" l="1"/>
  <c r="I6" i="2"/>
  <c r="A2" i="4" l="1"/>
  <c r="F25" i="6"/>
  <c r="F28" i="6" s="1"/>
  <c r="F33" i="6" s="1"/>
  <c r="F35" i="6" s="1"/>
  <c r="E6" i="2"/>
  <c r="K2" i="4" l="1"/>
</calcChain>
</file>

<file path=xl/sharedStrings.xml><?xml version="1.0" encoding="utf-8"?>
<sst xmlns="http://schemas.openxmlformats.org/spreadsheetml/2006/main" count="132" uniqueCount="104">
  <si>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</si>
  <si>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4" type="noConversion"/>
  </si>
  <si>
    <t>USA: +1 (669) 377-5080 | www.NNRoad.com</t>
    <phoneticPr fontId="4" type="noConversion"/>
  </si>
  <si>
    <t>INVOICE</t>
  </si>
  <si>
    <t>Bill to:</t>
  </si>
  <si>
    <t>Company name:</t>
  </si>
  <si>
    <t>Currency</t>
  </si>
  <si>
    <t>Client ID:</t>
  </si>
  <si>
    <t>Invoice number</t>
  </si>
  <si>
    <t>Address:</t>
  </si>
  <si>
    <t>Invoice date</t>
  </si>
  <si>
    <t>Due date</t>
  </si>
  <si>
    <t>Description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</si>
  <si>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</si>
  <si>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</si>
  <si>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</si>
  <si>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</si>
  <si>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</si>
  <si>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</si>
  <si>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</si>
  <si>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</si>
  <si>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</si>
  <si>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</si>
  <si>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</si>
  <si>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</si>
  <si>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</si>
  <si>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</si>
  <si>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</si>
  <si>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</si>
  <si>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</si>
  <si>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  <phoneticPr fontId="0" type="noConversion"/>
  </si>
  <si>
    <t>Sum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</si>
  <si>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</si>
  <si>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</si>
  <si>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</si>
  <si>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Mandatory Contribution</t>
    <phoneticPr fontId="0" type="noConversion"/>
  </si>
  <si>
    <t>Expense Claim</t>
    <phoneticPr fontId="0" type="noConversion"/>
  </si>
  <si>
    <t>Subtotal</t>
    <phoneticPr fontId="0" type="noConversion"/>
  </si>
  <si>
    <t>Recurring
Fee</t>
    <phoneticPr fontId="0" type="noConversion"/>
  </si>
  <si>
    <t>Base Salary</t>
  </si>
  <si>
    <t>OT</t>
  </si>
  <si>
    <t>Salary Adjusment</t>
  </si>
  <si>
    <t>Bonus</t>
  </si>
  <si>
    <t>Leave Payment</t>
  </si>
  <si>
    <t>Backpay</t>
  </si>
  <si>
    <t xml:space="preserve">Other </t>
  </si>
  <si>
    <t>Expense
Claim</t>
    <phoneticPr fontId="0" type="noConversion"/>
  </si>
  <si>
    <t>Other Fee</t>
    <phoneticPr fontId="3" type="noConversion"/>
  </si>
  <si>
    <t>Interests of delay</t>
  </si>
  <si>
    <t>Bank Charges</t>
  </si>
  <si>
    <t xml:space="preserve">Invoice adjustment </t>
  </si>
  <si>
    <t>EE</t>
    <phoneticPr fontId="0" type="noConversion"/>
  </si>
  <si>
    <t>Client Code</t>
  </si>
  <si>
    <t>Client Name</t>
  </si>
  <si>
    <t>EE Code</t>
  </si>
  <si>
    <t>EE Name</t>
  </si>
  <si>
    <t>Net
Income</t>
    <phoneticPr fontId="0" type="noConversion"/>
  </si>
  <si>
    <t>From</t>
  </si>
  <si>
    <t>To</t>
  </si>
  <si>
    <t>EOR/PEO(HKD)</t>
  </si>
  <si>
    <t>Payroll period:</t>
  </si>
  <si>
    <t>to</t>
  </si>
  <si>
    <t xml:space="preserve">Currency: </t>
  </si>
  <si>
    <t>No. of EE</t>
  </si>
  <si>
    <t>Name of Employee</t>
  </si>
  <si>
    <t>Bonus</t>
    <phoneticPr fontId="4" type="noConversion"/>
  </si>
  <si>
    <t>Expense Reimbursment</t>
  </si>
  <si>
    <t>Gross Salary</t>
  </si>
  <si>
    <t>Medical Insurance</t>
  </si>
  <si>
    <t>Net Adjustment</t>
  </si>
  <si>
    <t>Net Pay</t>
    <phoneticPr fontId="4" type="noConversion"/>
  </si>
  <si>
    <t>Total Cost</t>
  </si>
  <si>
    <t>Direct Cost</t>
    <phoneticPr fontId="5" type="noConversion"/>
  </si>
  <si>
    <t>Business Tax</t>
    <phoneticPr fontId="5" type="noConversion"/>
  </si>
  <si>
    <t>Service Fee</t>
    <phoneticPr fontId="5" type="noConversion"/>
  </si>
  <si>
    <t xml:space="preserve">Bank Fee * </t>
    <phoneticPr fontId="5" type="noConversion"/>
  </si>
  <si>
    <t>Late Pay Fine</t>
    <phoneticPr fontId="5" type="noConversion"/>
  </si>
  <si>
    <t>Advance Payment</t>
    <phoneticPr fontId="1" type="noConversion"/>
  </si>
  <si>
    <t>Deposit</t>
  </si>
  <si>
    <t>Outstanding payment **</t>
    <phoneticPr fontId="3" type="noConversion"/>
  </si>
  <si>
    <t xml:space="preserve"> FX difference  	</t>
  </si>
  <si>
    <t>Invoice adjustment ***</t>
    <phoneticPr fontId="3" type="noConversion"/>
  </si>
  <si>
    <t>total</t>
    <phoneticPr fontId="5" type="noConversion"/>
  </si>
  <si>
    <t>* NNRoad USD 10 + vendor bank in Vendor's invoice</t>
    <phoneticPr fontId="7" type="noConversion"/>
  </si>
  <si>
    <t>** the differnece between NNRoad PN and the amount we actually received</t>
    <phoneticPr fontId="7" type="noConversion"/>
  </si>
  <si>
    <t>*** PN adjustment with pre-payment or PN revisal</t>
    <phoneticPr fontId="7" type="noConversion"/>
  </si>
  <si>
    <t xml:space="preserve">Atlant International Group Ltd </t>
  </si>
  <si>
    <t xml:space="preserve">20 Wenlock Road, London N1 
7GU, United Kingdom </t>
  </si>
  <si>
    <t>EUR</t>
  </si>
  <si>
    <t>CNUS2026002</t>
  </si>
  <si>
    <t>CNUS2026002-0002</t>
  </si>
  <si>
    <t>Anatoly Sidorov</t>
  </si>
  <si>
    <t>Employer's contributions</t>
  </si>
  <si>
    <t>Employer's &amp; Public Liabilit</t>
  </si>
  <si>
    <t>Employee's deduction</t>
  </si>
  <si>
    <t>(EUR)</t>
  </si>
  <si>
    <t>EE</t>
  </si>
  <si>
    <t>One-Time Set-up Fee</t>
  </si>
  <si>
    <t>Beneficiary: NNROAD, INC.
Bank Name: Wise
Bank Account: 9364559
Bank Add.: Rue du Trône 100, 3rd floor, Brussels,1050, Belgium</t>
  </si>
  <si>
    <t xml:space="preserve">
SWIFT BIC (international transfer): TRWIBEB1XXX
IBAN: BE11 9679 3645 5948</t>
  </si>
  <si>
    <t>Base salary</t>
  </si>
  <si>
    <t>2026/3/1</t>
  </si>
  <si>
    <t>2026/3/31</t>
  </si>
  <si>
    <t>PN-CNUS2026002-031020261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</si>
</sst>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¥&quot;* #,##0.00_ ;_ &quot;¥&quot;* \-#,##0.00_ ;_ &quot;¥&quot;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0.0000"/>
    <numFmt numFmtId="168" formatCode="#,##0.000_);\(#,##0.000\)"/>
    <numFmt numFmtId="169" formatCode="_ [$€-2]\ * #,##0.00_ ;_ [$€-2]\ * \-#,##0.00_ ;_ [$€-2]\ * &quot;-&quot;??_ ;_ @_ "/>
  </numFmts>
  <fonts count="37">
    <font>
      <sz val="11"/>
      <color theme="1"/>
      <name val="Calibri"/>
      <family val="2"/>
      <scheme val="minor"/>
    </font>
    <font>
      <b/>
      <u val="double"/>
      <sz val="8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1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8" fillId="0" borderId="0"/>
    <xf numFmtId="44" fontId="36" fillId="0" borderId="0" applyFont="0" applyFill="0" applyBorder="0" applyAlignment="0" applyProtection="0"/>
  </cellStyleXfs>
  <cellXfs count="17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0" fontId="3" fillId="2" borderId="7" xfId="0" applyNumberFormat="1" applyFont="1" applyFill="1" applyBorder="1" applyAlignment="1">
      <alignment vertical="center"/>
    </xf>
    <xf numFmtId="40" fontId="3" fillId="2" borderId="16" xfId="0" applyNumberFormat="1" applyFont="1" applyFill="1" applyBorder="1" applyAlignment="1">
      <alignment vertical="center"/>
    </xf>
    <xf numFmtId="40" fontId="3" fillId="2" borderId="8" xfId="0" applyNumberFormat="1" applyFont="1" applyFill="1" applyBorder="1" applyAlignment="1">
      <alignment vertical="center"/>
    </xf>
    <xf numFmtId="40" fontId="3" fillId="2" borderId="0" xfId="0" applyNumberFormat="1" applyFont="1" applyFill="1" applyAlignment="1">
      <alignment vertical="center"/>
    </xf>
    <xf numFmtId="40" fontId="3" fillId="2" borderId="9" xfId="0" applyNumberFormat="1" applyFont="1" applyFill="1" applyBorder="1" applyAlignment="1">
      <alignment vertical="center"/>
    </xf>
    <xf numFmtId="40" fontId="3" fillId="2" borderId="17" xfId="0" applyNumberFormat="1" applyFont="1" applyFill="1" applyBorder="1" applyAlignment="1">
      <alignment vertical="center"/>
    </xf>
    <xf numFmtId="40" fontId="3" fillId="2" borderId="10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40" fontId="3" fillId="2" borderId="11" xfId="0" applyNumberFormat="1" applyFont="1" applyFill="1" applyBorder="1" applyAlignment="1">
      <alignment vertical="center"/>
    </xf>
    <xf numFmtId="40" fontId="3" fillId="2" borderId="18" xfId="0" applyNumberFormat="1" applyFont="1" applyFill="1" applyBorder="1" applyAlignment="1">
      <alignment vertical="center"/>
    </xf>
    <xf numFmtId="40" fontId="3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vertical="center"/>
    </xf>
    <xf numFmtId="0" fontId="5" fillId="0" borderId="0" xfId="1">
      <alignment vertical="center"/>
    </xf>
    <xf numFmtId="0" fontId="0" fillId="0" borderId="0" xfId="0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14" fontId="3" fillId="2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top" wrapText="1"/>
    </xf>
    <xf numFmtId="14" fontId="19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14" fontId="22" fillId="0" borderId="0" xfId="0" applyNumberFormat="1" applyFont="1" applyAlignment="1">
      <alignment horizontal="left" vertical="center"/>
    </xf>
    <xf numFmtId="0" fontId="23" fillId="4" borderId="33" xfId="0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 indent="1"/>
    </xf>
    <xf numFmtId="165" fontId="25" fillId="0" borderId="0" xfId="0" applyNumberFormat="1" applyFont="1" applyAlignment="1">
      <alignment horizontal="left" vertical="center"/>
    </xf>
    <xf numFmtId="166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vertical="center"/>
    </xf>
    <xf numFmtId="0" fontId="13" fillId="0" borderId="0" xfId="0" applyFont="1" applyAlignment="1">
      <alignment horizontal="left" vertical="center" indent="3"/>
    </xf>
    <xf numFmtId="165" fontId="13" fillId="0" borderId="0" xfId="0" applyNumberFormat="1" applyFont="1" applyAlignment="1">
      <alignment horizontal="left" vertical="center" indent="1"/>
    </xf>
    <xf numFmtId="166" fontId="27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6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/>
    </xf>
    <xf numFmtId="0" fontId="13" fillId="0" borderId="0" xfId="0" applyFont="1" applyAlignment="1">
      <alignment horizontal="left" vertical="center" indent="2"/>
    </xf>
    <xf numFmtId="0" fontId="29" fillId="0" borderId="0" xfId="0" applyFont="1" applyAlignment="1">
      <alignment horizontal="left" vertical="center" indent="1"/>
    </xf>
    <xf numFmtId="165" fontId="10" fillId="0" borderId="0" xfId="0" applyNumberFormat="1" applyFont="1" applyAlignment="1">
      <alignment horizontal="left" vertical="center"/>
    </xf>
    <xf numFmtId="165" fontId="30" fillId="0" borderId="36" xfId="0" applyNumberFormat="1" applyFont="1" applyBorder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5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1" fillId="0" borderId="0" xfId="0" applyFont="1" applyAlignment="1">
      <alignment vertical="center" wrapText="1"/>
    </xf>
    <xf numFmtId="167" fontId="31" fillId="0" borderId="0" xfId="0" applyNumberFormat="1" applyFont="1" applyAlignment="1">
      <alignment horizontal="left" vertical="center" indent="1"/>
    </xf>
    <xf numFmtId="0" fontId="31" fillId="0" borderId="0" xfId="0" applyFont="1" applyAlignment="1">
      <alignment vertical="center"/>
    </xf>
    <xf numFmtId="40" fontId="3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40" fontId="34" fillId="0" borderId="26" xfId="0" applyNumberFormat="1" applyFont="1" applyBorder="1" applyAlignment="1">
      <alignment vertical="center"/>
    </xf>
    <xf numFmtId="40" fontId="34" fillId="0" borderId="27" xfId="0" applyNumberFormat="1" applyFont="1" applyBorder="1" applyAlignment="1">
      <alignment vertical="center"/>
    </xf>
    <xf numFmtId="40" fontId="34" fillId="0" borderId="28" xfId="0" applyNumberFormat="1" applyFont="1" applyBorder="1" applyAlignment="1">
      <alignment vertical="center"/>
    </xf>
    <xf numFmtId="40" fontId="34" fillId="0" borderId="29" xfId="0" applyNumberFormat="1" applyFont="1" applyBorder="1" applyAlignment="1">
      <alignment vertical="center"/>
    </xf>
    <xf numFmtId="40" fontId="34" fillId="0" borderId="30" xfId="0" applyNumberFormat="1" applyFont="1" applyBorder="1" applyAlignment="1">
      <alignment vertical="center"/>
    </xf>
    <xf numFmtId="40" fontId="34" fillId="0" borderId="31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0" fontId="0" fillId="7" borderId="50" xfId="0" applyFill="1" applyBorder="1" applyAlignment="1">
      <alignment vertical="center" wrapText="1"/>
    </xf>
    <xf numFmtId="0" fontId="0" fillId="7" borderId="51" xfId="0" applyFill="1" applyBorder="1" applyAlignment="1">
      <alignment horizontal="center" vertical="center" wrapText="1"/>
    </xf>
    <xf numFmtId="0" fontId="0" fillId="7" borderId="52" xfId="0" applyFill="1" applyBorder="1" applyAlignment="1">
      <alignment horizontal="center" vertical="center" wrapText="1"/>
    </xf>
    <xf numFmtId="0" fontId="8" fillId="0" borderId="53" xfId="0" applyFont="1" applyBorder="1"/>
    <xf numFmtId="0" fontId="8" fillId="0" borderId="54" xfId="0" applyFont="1" applyBorder="1"/>
    <xf numFmtId="2" fontId="0" fillId="0" borderId="54" xfId="0" applyNumberFormat="1" applyBorder="1"/>
    <xf numFmtId="168" fontId="0" fillId="0" borderId="55" xfId="0" applyNumberFormat="1" applyBorder="1"/>
    <xf numFmtId="2" fontId="0" fillId="0" borderId="0" xfId="0" applyNumberFormat="1"/>
    <xf numFmtId="0" fontId="35" fillId="0" borderId="56" xfId="0" applyFont="1" applyBorder="1"/>
    <xf numFmtId="0" fontId="2" fillId="0" borderId="57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9" fontId="32" fillId="0" borderId="39" xfId="0" applyNumberFormat="1" applyFont="1" applyBorder="1" applyAlignment="1">
      <alignment horizontal="right" vertical="center"/>
    </xf>
    <xf numFmtId="169" fontId="32" fillId="0" borderId="41" xfId="3" applyNumberFormat="1" applyFont="1" applyBorder="1" applyAlignment="1">
      <alignment horizontal="right" vertical="center"/>
    </xf>
    <xf numFmtId="169" fontId="32" fillId="0" borderId="41" xfId="0" applyNumberFormat="1" applyFont="1" applyBorder="1" applyAlignment="1">
      <alignment horizontal="right" vertical="center"/>
    </xf>
    <xf numFmtId="169" fontId="32" fillId="0" borderId="44" xfId="0" applyNumberFormat="1" applyFont="1" applyBorder="1" applyAlignment="1">
      <alignment horizontal="right" vertical="center"/>
    </xf>
    <xf numFmtId="169" fontId="29" fillId="0" borderId="41" xfId="0" applyNumberFormat="1" applyFont="1" applyBorder="1" applyAlignment="1">
      <alignment horizontal="right" vertical="center"/>
    </xf>
    <xf numFmtId="169" fontId="29" fillId="0" borderId="47" xfId="0" applyNumberFormat="1" applyFont="1" applyBorder="1" applyAlignment="1">
      <alignment horizontal="right" vertical="center"/>
    </xf>
    <xf numFmtId="0" fontId="23" fillId="4" borderId="32" xfId="0" applyFont="1" applyFill="1" applyBorder="1" applyAlignment="1">
      <alignment horizontal="center" vertical="center"/>
    </xf>
    <xf numFmtId="0" fontId="23" fillId="4" borderId="33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top" wrapText="1"/>
    </xf>
    <xf numFmtId="165" fontId="32" fillId="0" borderId="37" xfId="0" applyNumberFormat="1" applyFont="1" applyBorder="1" applyAlignment="1">
      <alignment horizontal="right" vertical="center"/>
    </xf>
    <xf numFmtId="165" fontId="32" fillId="0" borderId="38" xfId="0" applyNumberFormat="1" applyFont="1" applyBorder="1" applyAlignment="1">
      <alignment horizontal="right" vertical="center"/>
    </xf>
    <xf numFmtId="0" fontId="25" fillId="0" borderId="34" xfId="0" applyFont="1" applyBorder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13" fillId="0" borderId="34" xfId="0" applyFont="1" applyBorder="1" applyAlignment="1">
      <alignment horizontal="left" vertical="center" indent="3"/>
    </xf>
    <xf numFmtId="0" fontId="13" fillId="0" borderId="0" xfId="0" applyFont="1" applyAlignment="1">
      <alignment horizontal="left" vertical="center" indent="3"/>
    </xf>
    <xf numFmtId="0" fontId="13" fillId="0" borderId="3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3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4" xfId="0" applyFont="1" applyBorder="1" applyAlignment="1">
      <alignment horizontal="left" vertical="center" indent="2"/>
    </xf>
    <xf numFmtId="0" fontId="13" fillId="0" borderId="0" xfId="0" applyFont="1" applyAlignment="1">
      <alignment horizontal="left" vertical="center" indent="2"/>
    </xf>
    <xf numFmtId="0" fontId="13" fillId="0" borderId="34" xfId="0" quotePrefix="1" applyFont="1" applyBorder="1" applyAlignment="1">
      <alignment horizontal="left" vertical="center" indent="2"/>
    </xf>
    <xf numFmtId="0" fontId="29" fillId="0" borderId="34" xfId="0" applyFont="1" applyBorder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30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165" fontId="29" fillId="0" borderId="45" xfId="0" applyNumberFormat="1" applyFont="1" applyBorder="1" applyAlignment="1">
      <alignment horizontal="right" vertical="center"/>
    </xf>
    <xf numFmtId="165" fontId="29" fillId="0" borderId="46" xfId="0" applyNumberFormat="1" applyFont="1" applyBorder="1" applyAlignment="1">
      <alignment horizontal="right" vertical="center"/>
    </xf>
    <xf numFmtId="0" fontId="29" fillId="5" borderId="0" xfId="0" applyFont="1" applyFill="1" applyAlignment="1">
      <alignment horizontal="center"/>
    </xf>
    <xf numFmtId="166" fontId="10" fillId="6" borderId="0" xfId="0" applyNumberFormat="1" applyFont="1" applyFill="1" applyAlignment="1">
      <alignment horizontal="left" vertical="center" wrapText="1" indent="2"/>
    </xf>
    <xf numFmtId="166" fontId="10" fillId="6" borderId="48" xfId="0" applyNumberFormat="1" applyFont="1" applyFill="1" applyBorder="1" applyAlignment="1">
      <alignment horizontal="left" vertical="center" wrapText="1" indent="2"/>
    </xf>
    <xf numFmtId="166" fontId="10" fillId="6" borderId="49" xfId="0" applyNumberFormat="1" applyFont="1" applyFill="1" applyBorder="1" applyAlignment="1">
      <alignment horizontal="left" vertical="center" wrapText="1" indent="2"/>
    </xf>
    <xf numFmtId="165" fontId="32" fillId="0" borderId="40" xfId="0" applyNumberFormat="1" applyFont="1" applyBorder="1" applyAlignment="1">
      <alignment horizontal="right" vertical="center"/>
    </xf>
    <xf numFmtId="165" fontId="32" fillId="0" borderId="0" xfId="0" applyNumberFormat="1" applyFont="1" applyAlignment="1">
      <alignment horizontal="right" vertical="center"/>
    </xf>
    <xf numFmtId="40" fontId="32" fillId="0" borderId="42" xfId="0" applyNumberFormat="1" applyFont="1" applyBorder="1" applyAlignment="1">
      <alignment horizontal="right" vertical="center"/>
    </xf>
    <xf numFmtId="40" fontId="32" fillId="0" borderId="43" xfId="0" applyNumberFormat="1" applyFont="1" applyBorder="1" applyAlignment="1">
      <alignment horizontal="right" vertical="center"/>
    </xf>
    <xf numFmtId="165" fontId="29" fillId="0" borderId="40" xfId="0" applyNumberFormat="1" applyFont="1" applyBorder="1" applyAlignment="1">
      <alignment horizontal="right" vertical="center"/>
    </xf>
    <xf numFmtId="165" fontId="29" fillId="0" borderId="0" xfId="0" applyNumberFormat="1" applyFont="1" applyAlignment="1">
      <alignment horizontal="right" vertical="center"/>
    </xf>
    <xf numFmtId="165" fontId="29" fillId="0" borderId="40" xfId="0" applyNumberFormat="1" applyFont="1" applyBorder="1" applyAlignment="1">
      <alignment horizontal="right" vertical="center" indent="1"/>
    </xf>
    <xf numFmtId="165" fontId="29" fillId="0" borderId="0" xfId="0" applyNumberFormat="1" applyFont="1" applyAlignment="1">
      <alignment horizontal="right" vertical="center" inden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urrency" xfId="3" builtinId="4"/>
    <cellStyle name="Normal" xfId="0" builtinId="0"/>
    <cellStyle name="Normal 2" xfId="2" xr:uid="{AC6CFE7B-E6FD-8545-BC63-03F2586D763F}"/>
    <cellStyle name="常规 2" xfId="1" xr:uid="{43AA1550-6345-4C45-AE3A-35D24DE64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07BA56D0-1232-9D45-82B5-462439DF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90C7-3741-B145-8A6C-AFDB386C2364}">
  <dimension ref="A1:H44"/>
  <sheetViews>
    <sheetView tabSelected="1" topLeftCell="A5" zoomScale="150" zoomScaleNormal="150" workbookViewId="0">
      <selection activeCell="J20" sqref="J20"/>
    </sheetView>
  </sheetViews>
  <sheetFormatPr defaultColWidth="9.1796875" defaultRowHeight="10.5"/>
  <cols>
    <col min="1" max="1" width="15.26953125" style="41" customWidth="1"/>
    <col min="2" max="2" width="23.453125" style="41" customWidth="1"/>
    <col min="3" max="3" width="4.453125" style="41" customWidth="1"/>
    <col min="4" max="4" width="11.36328125" style="41" customWidth="1"/>
    <col min="5" max="5" width="13.54296875" style="41" customWidth="1"/>
    <col min="6" max="6" width="14.26953125" style="43" customWidth="1"/>
    <col min="7" max="7" width="9.1796875" style="43"/>
    <col min="8" max="8" width="9.1796875" style="41"/>
    <col min="9" max="9" width="9.1796875" style="41" customWidth="1"/>
    <col min="10" max="16384" width="9.1796875" style="41"/>
  </cols>
  <sheetData>
    <row r="1" spans="1:8" ht="19" customHeight="1">
      <c r="B1" s="122" t="s">
        <v>0</v>
      </c>
      <c r="C1" s="122"/>
      <c r="D1" s="122"/>
      <c r="E1" s="122"/>
      <c r="F1" s="122"/>
      <c r="G1" s="42"/>
      <c r="H1" s="43"/>
    </row>
    <row r="2" spans="1:8" ht="14.25" customHeight="1">
      <c r="B2" s="123" t="s">
        <v>1</v>
      </c>
      <c r="C2" s="123"/>
      <c r="D2" s="123"/>
      <c r="E2" s="123"/>
      <c r="F2" s="123"/>
      <c r="G2" s="42"/>
      <c r="H2" s="43"/>
    </row>
    <row r="3" spans="1:8" s="44" customFormat="1" ht="18" customHeight="1">
      <c r="B3" s="123" t="s">
        <v>2</v>
      </c>
      <c r="C3" s="123"/>
      <c r="D3" s="123"/>
      <c r="E3" s="123"/>
      <c r="F3" s="123"/>
      <c r="G3" s="42"/>
      <c r="H3" s="42"/>
    </row>
    <row r="4" spans="1:8" s="44" customFormat="1" ht="14.15" customHeight="1">
      <c r="G4" s="42"/>
      <c r="H4" s="42"/>
    </row>
    <row r="5" spans="1:8" s="44" customFormat="1" ht="32.15" customHeight="1">
      <c r="A5" s="124" t="s">
        <v>3</v>
      </c>
      <c r="B5" s="124"/>
      <c r="C5" s="124"/>
      <c r="D5" s="124"/>
      <c r="E5" s="124"/>
      <c r="F5" s="124"/>
      <c r="G5" s="42"/>
      <c r="H5" s="42"/>
    </row>
    <row r="6" spans="1:8" s="44" customFormat="1" ht="12" customHeight="1">
      <c r="A6" s="45"/>
      <c r="B6" s="45"/>
      <c r="C6" s="45"/>
      <c r="D6" s="45"/>
      <c r="E6" s="45"/>
      <c r="F6" s="45"/>
      <c r="G6" s="42"/>
      <c r="H6" s="42"/>
    </row>
    <row r="7" spans="1:8" s="44" customFormat="1" ht="13" customHeight="1">
      <c r="A7" s="46" t="s">
        <v>4</v>
      </c>
      <c r="B7" s="46"/>
      <c r="C7" s="46"/>
      <c r="D7" s="46"/>
      <c r="E7" s="46"/>
      <c r="G7" s="42"/>
      <c r="H7" s="42"/>
    </row>
    <row r="8" spans="1:8" s="51" customFormat="1" ht="13" customHeight="1">
      <c r="A8" s="47" t="s">
        <v>5</v>
      </c>
      <c r="B8" s="48" t="s">
        <v>86</v>
      </c>
      <c r="C8" s="49"/>
      <c r="D8" s="47" t="s">
        <v>6</v>
      </c>
      <c r="E8" s="47"/>
      <c r="F8" s="48" t="s">
        <v>88</v>
      </c>
      <c r="G8" s="50"/>
    </row>
    <row r="9" spans="1:8" s="51" customFormat="1" ht="13" customHeight="1">
      <c r="A9" s="47" t="s">
        <v>7</v>
      </c>
      <c r="B9" s="48" t="s">
        <v>89</v>
      </c>
      <c r="C9" s="52"/>
      <c r="D9" s="47" t="s">
        <v>8</v>
      </c>
      <c r="E9" s="47"/>
      <c r="F9" s="48" t="s">
        <v>103</v>
      </c>
      <c r="G9" s="50"/>
    </row>
    <row r="10" spans="1:8" s="44" customFormat="1" ht="13" customHeight="1">
      <c r="A10" s="47" t="s">
        <v>9</v>
      </c>
      <c r="B10" s="125" t="s">
        <v>87</v>
      </c>
      <c r="C10" s="52"/>
      <c r="D10" s="47" t="s">
        <v>10</v>
      </c>
      <c r="E10" s="47"/>
      <c r="F10" s="53">
        <f ca="1">TODAY()</f>
        <v>46091</v>
      </c>
      <c r="G10" s="42"/>
    </row>
    <row r="11" spans="1:8" s="51" customFormat="1" ht="12" customHeight="1">
      <c r="A11" s="54"/>
      <c r="B11" s="125"/>
      <c r="D11" s="47" t="s">
        <v>11</v>
      </c>
      <c r="E11" s="47"/>
      <c r="F11" s="53">
        <v>46104</v>
      </c>
      <c r="G11" s="50"/>
    </row>
    <row r="12" spans="1:8" s="44" customFormat="1" ht="12" customHeight="1">
      <c r="A12" s="55"/>
      <c r="B12" s="55"/>
      <c r="C12" s="55"/>
      <c r="D12" s="55"/>
      <c r="E12" s="56"/>
      <c r="G12" s="42"/>
    </row>
    <row r="13" spans="1:8" ht="11" thickBot="1"/>
    <row r="14" spans="1:8" s="59" customFormat="1" ht="28" customHeight="1">
      <c r="A14" s="120" t="s">
        <v>12</v>
      </c>
      <c r="B14" s="121"/>
      <c r="C14" s="121"/>
      <c r="D14" s="57"/>
      <c r="E14" s="57"/>
      <c r="F14" s="57" t="str">
        <f>"Amount "&amp;Cyprus!C6</f>
        <v>Amount (EUR)</v>
      </c>
      <c r="G14" s="58"/>
    </row>
    <row r="15" spans="1:8" s="63" customFormat="1" ht="16" customHeight="1">
      <c r="A15" s="128" t="s">
        <v>13</v>
      </c>
      <c r="B15" s="129"/>
      <c r="C15" s="129"/>
      <c r="D15" s="60"/>
      <c r="E15" s="60"/>
      <c r="F15" s="61">
        <f>SUM(F16:F17)</f>
        <v>4280.1000000000004</v>
      </c>
      <c r="G15" s="62"/>
    </row>
    <row r="16" spans="1:8" s="67" customFormat="1" ht="13">
      <c r="A16" s="130" t="str">
        <f>"- Labor cost for "&amp;Cyprus!B9&amp;"  -  "&amp;MONTH(Cyprus!B2) &amp;"-"&amp; YEAR(Cyprus!C2)</f>
        <v>- Labor cost for Anatoly Sidorov  -  3-2026</v>
      </c>
      <c r="B16" s="131"/>
      <c r="C16" s="131"/>
      <c r="D16" s="64"/>
      <c r="E16" s="64"/>
      <c r="F16" s="65">
        <f>Cyprus!J9+Cyprus!R9</f>
        <v>4280.1000000000004</v>
      </c>
      <c r="G16" s="66"/>
    </row>
    <row r="17" spans="1:7" ht="13">
      <c r="A17" s="130" t="str">
        <f>"- "&amp;+"Expense claim for "&amp;Cyprus!B9</f>
        <v>- Expense claim for Anatoly Sidorov</v>
      </c>
      <c r="B17" s="131"/>
      <c r="C17" s="131"/>
      <c r="D17" s="64"/>
      <c r="E17" s="64"/>
      <c r="F17" s="65">
        <f>Cyprus!V9</f>
        <v>0</v>
      </c>
      <c r="G17" s="68"/>
    </row>
    <row r="18" spans="1:7" ht="13">
      <c r="A18" s="132"/>
      <c r="B18" s="133"/>
      <c r="C18" s="133"/>
      <c r="D18" s="69"/>
      <c r="E18" s="69"/>
      <c r="F18" s="65"/>
      <c r="G18" s="68"/>
    </row>
    <row r="19" spans="1:7" ht="13">
      <c r="A19" s="134"/>
      <c r="B19" s="135"/>
      <c r="C19" s="135"/>
      <c r="D19" s="70"/>
      <c r="E19" s="70"/>
      <c r="F19" s="71"/>
      <c r="G19" s="68"/>
    </row>
    <row r="20" spans="1:7" s="73" customFormat="1" ht="16" customHeight="1">
      <c r="A20" s="128" t="s">
        <v>14</v>
      </c>
      <c r="B20" s="129"/>
      <c r="C20" s="129"/>
      <c r="D20" s="60"/>
      <c r="E20" s="60"/>
      <c r="F20" s="61">
        <f>SUM(F21:F22)</f>
        <v>500</v>
      </c>
      <c r="G20" s="72"/>
    </row>
    <row r="21" spans="1:7" ht="13">
      <c r="A21" s="136" t="str">
        <f>"- "&amp;+"Management Fee - "&amp;MONTH(Cyprus!B2) &amp;"-"&amp; YEAR(Cyprus!B2)</f>
        <v>- Management Fee - 3-2026</v>
      </c>
      <c r="B21" s="137"/>
      <c r="C21" s="137"/>
      <c r="D21" s="74"/>
      <c r="E21" s="74"/>
      <c r="F21" s="71">
        <f>Cyprus!G9</f>
        <v>500</v>
      </c>
      <c r="G21" s="68"/>
    </row>
    <row r="22" spans="1:7" ht="13">
      <c r="A22" s="138"/>
      <c r="B22" s="137"/>
      <c r="C22" s="137"/>
      <c r="D22" s="74"/>
      <c r="E22" s="74"/>
      <c r="F22" s="71"/>
      <c r="G22" s="68"/>
    </row>
    <row r="23" spans="1:7" ht="13">
      <c r="A23" s="136"/>
      <c r="B23" s="137"/>
      <c r="C23" s="137"/>
      <c r="D23" s="74"/>
      <c r="E23" s="74"/>
      <c r="F23" s="71"/>
      <c r="G23" s="68"/>
    </row>
    <row r="24" spans="1:7" ht="14.5">
      <c r="A24" s="139"/>
      <c r="B24" s="140"/>
      <c r="C24" s="140"/>
      <c r="D24" s="75"/>
      <c r="E24" s="75"/>
      <c r="F24" s="76"/>
      <c r="G24" s="68"/>
    </row>
    <row r="25" spans="1:7" s="63" customFormat="1" ht="15" thickBot="1">
      <c r="A25" s="141" t="s">
        <v>15</v>
      </c>
      <c r="B25" s="142"/>
      <c r="C25" s="142"/>
      <c r="D25" s="142"/>
      <c r="E25" s="142"/>
      <c r="F25" s="77">
        <f>F15+F20</f>
        <v>4780.1000000000004</v>
      </c>
      <c r="G25" s="62"/>
    </row>
    <row r="26" spans="1:7" s="63" customFormat="1" ht="14.5">
      <c r="A26" s="78"/>
      <c r="B26" s="78"/>
      <c r="C26" s="79"/>
      <c r="D26" s="79"/>
      <c r="E26" s="80"/>
      <c r="F26" s="81"/>
      <c r="G26" s="62"/>
    </row>
    <row r="27" spans="1:7" s="63" customFormat="1" ht="15" thickBot="1">
      <c r="A27" s="82"/>
      <c r="B27" s="82"/>
      <c r="C27" s="82"/>
      <c r="D27" s="82"/>
      <c r="E27" s="80"/>
      <c r="F27" s="81"/>
      <c r="G27" s="62"/>
    </row>
    <row r="28" spans="1:7" ht="14.5">
      <c r="A28" s="83"/>
      <c r="B28" s="84"/>
      <c r="C28" s="80"/>
      <c r="D28" s="126" t="s">
        <v>16</v>
      </c>
      <c r="E28" s="127"/>
      <c r="F28" s="114">
        <f>F25</f>
        <v>4780.1000000000004</v>
      </c>
      <c r="G28" s="68"/>
    </row>
    <row r="29" spans="1:7" s="67" customFormat="1" ht="16" customHeight="1">
      <c r="A29" s="85"/>
      <c r="B29" s="85"/>
      <c r="C29" s="80"/>
      <c r="D29" s="149" t="s">
        <v>17</v>
      </c>
      <c r="E29" s="150"/>
      <c r="F29" s="115">
        <f>Cyprus!E22</f>
        <v>0</v>
      </c>
      <c r="G29" s="66"/>
    </row>
    <row r="30" spans="1:7" s="67" customFormat="1" ht="14.5">
      <c r="A30" s="85"/>
      <c r="B30" s="85"/>
      <c r="C30" s="80"/>
      <c r="D30" s="149" t="s">
        <v>18</v>
      </c>
      <c r="E30" s="150"/>
      <c r="F30" s="116">
        <f>Cyprus!E23</f>
        <v>0</v>
      </c>
      <c r="G30" s="66"/>
    </row>
    <row r="31" spans="1:7" ht="14.5">
      <c r="A31" s="85"/>
      <c r="B31" s="85"/>
      <c r="C31" s="80"/>
      <c r="D31" s="149" t="s">
        <v>19</v>
      </c>
      <c r="E31" s="150"/>
      <c r="F31" s="116">
        <f>Cyprus!E24</f>
        <v>0</v>
      </c>
      <c r="G31" s="68"/>
    </row>
    <row r="32" spans="1:7" ht="15" thickBot="1">
      <c r="A32" s="85"/>
      <c r="B32" s="85"/>
      <c r="C32" s="86"/>
      <c r="D32" s="151" t="s">
        <v>20</v>
      </c>
      <c r="E32" s="152"/>
      <c r="F32" s="117">
        <f>Cyprus!E25</f>
        <v>0</v>
      </c>
      <c r="G32" s="68"/>
    </row>
    <row r="33" spans="1:8" ht="14.5">
      <c r="A33" s="85"/>
      <c r="B33" s="85"/>
      <c r="C33" s="80"/>
      <c r="D33" s="153" t="s">
        <v>21</v>
      </c>
      <c r="E33" s="154"/>
      <c r="F33" s="118">
        <f>SUM(F28:F32)</f>
        <v>4780.1000000000004</v>
      </c>
      <c r="G33" s="68"/>
    </row>
    <row r="34" spans="1:8" ht="14.5">
      <c r="A34" s="85"/>
      <c r="B34" s="85"/>
      <c r="C34" s="80"/>
      <c r="D34" s="155" t="s">
        <v>22</v>
      </c>
      <c r="E34" s="156"/>
      <c r="F34" s="118">
        <f>Cyprus!F6</f>
        <v>0</v>
      </c>
      <c r="G34" s="68"/>
    </row>
    <row r="35" spans="1:8" ht="15" thickBot="1">
      <c r="A35" s="87"/>
      <c r="B35" s="87"/>
      <c r="C35" s="80"/>
      <c r="D35" s="143" t="s">
        <v>23</v>
      </c>
      <c r="E35" s="144"/>
      <c r="F35" s="119">
        <f>SUM(F33:F34)</f>
        <v>4780.1000000000004</v>
      </c>
      <c r="G35" s="68"/>
      <c r="H35" s="88"/>
    </row>
    <row r="36" spans="1:8" ht="14.5">
      <c r="A36" s="75"/>
      <c r="B36" s="75"/>
      <c r="C36" s="75"/>
      <c r="D36" s="75"/>
      <c r="E36" s="86"/>
      <c r="F36" s="86"/>
      <c r="G36" s="68"/>
    </row>
    <row r="37" spans="1:8" ht="14.5">
      <c r="A37" s="75"/>
      <c r="B37" s="75"/>
      <c r="C37" s="75"/>
      <c r="D37" s="75"/>
      <c r="E37" s="86"/>
      <c r="F37" s="86"/>
      <c r="G37" s="68"/>
    </row>
    <row r="38" spans="1:8">
      <c r="G38" s="68"/>
    </row>
    <row r="39" spans="1:8" ht="19" customHeight="1">
      <c r="A39" s="145" t="s">
        <v>24</v>
      </c>
      <c r="B39" s="145"/>
      <c r="C39" s="145"/>
      <c r="D39" s="145"/>
      <c r="E39" s="145"/>
      <c r="F39" s="145"/>
    </row>
    <row r="40" spans="1:8" ht="61" customHeight="1">
      <c r="A40" s="146" t="s">
        <v>98</v>
      </c>
      <c r="B40" s="146"/>
      <c r="C40" s="147"/>
      <c r="D40" s="148" t="s">
        <v>99</v>
      </c>
      <c r="E40" s="146"/>
      <c r="F40" s="146"/>
    </row>
    <row r="41" spans="1:8">
      <c r="A41" s="41" t="s">
        <v>25</v>
      </c>
    </row>
    <row r="42" spans="1:8" ht="11.15" customHeight="1">
      <c r="A42" s="63" t="s">
        <v>26</v>
      </c>
      <c r="B42" s="63"/>
      <c r="C42" s="63"/>
      <c r="D42" s="63"/>
      <c r="E42" s="63"/>
      <c r="F42" s="63"/>
    </row>
    <row r="43" spans="1:8">
      <c r="A43" s="63" t="s">
        <v>27</v>
      </c>
    </row>
    <row r="44" spans="1:8">
      <c r="A44" s="63" t="s">
        <v>28</v>
      </c>
    </row>
  </sheetData>
  <mergeCells count="28">
    <mergeCell ref="D35:E35"/>
    <mergeCell ref="A39:F39"/>
    <mergeCell ref="A40:C40"/>
    <mergeCell ref="D40:F40"/>
    <mergeCell ref="D29:E29"/>
    <mergeCell ref="D30:E30"/>
    <mergeCell ref="D31:E31"/>
    <mergeCell ref="D32:E32"/>
    <mergeCell ref="D33:E33"/>
    <mergeCell ref="D34:E34"/>
    <mergeCell ref="D28:E28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E25"/>
    <mergeCell ref="A14:C14"/>
    <mergeCell ref="B1:F1"/>
    <mergeCell ref="B2:F2"/>
    <mergeCell ref="B3:F3"/>
    <mergeCell ref="A5:F5"/>
    <mergeCell ref="B10:B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X26"/>
  <sheetViews>
    <sheetView zoomScaleNormal="100" workbookViewId="0">
      <selection activeCell="I21" sqref="I21"/>
    </sheetView>
  </sheetViews>
  <sheetFormatPr defaultColWidth="9.1796875" defaultRowHeight="13"/>
  <cols>
    <col min="1" max="1" width="24.81640625" style="1" bestFit="1" customWidth="1"/>
    <col min="2" max="2" width="21.81640625" style="2" bestFit="1" customWidth="1"/>
    <col min="3" max="3" width="9.1796875" style="2" bestFit="1" customWidth="1"/>
    <col min="4" max="4" width="7.453125" style="2" customWidth="1"/>
    <col min="5" max="5" width="10.7265625" style="2" bestFit="1" customWidth="1"/>
    <col min="6" max="6" width="8.26953125" style="2" bestFit="1" customWidth="1"/>
    <col min="7" max="7" width="12.7265625" style="2" bestFit="1" customWidth="1"/>
    <col min="8" max="8" width="12.7265625" style="2" customWidth="1"/>
    <col min="9" max="11" width="9.81640625" style="2" bestFit="1" customWidth="1"/>
    <col min="12" max="12" width="6.453125" style="2" customWidth="1"/>
    <col min="13" max="13" width="8.90625" style="2" customWidth="1"/>
    <col min="14" max="14" width="7.1796875" style="2" bestFit="1" customWidth="1"/>
    <col min="15" max="15" width="7.26953125" style="2" bestFit="1" customWidth="1"/>
    <col min="16" max="16" width="9.453125" style="2" bestFit="1" customWidth="1"/>
    <col min="17" max="17" width="8.26953125" style="2" bestFit="1" customWidth="1"/>
    <col min="18" max="18" width="9.26953125" style="2" bestFit="1" customWidth="1"/>
    <col min="19" max="19" width="11.26953125" style="2" customWidth="1"/>
    <col min="20" max="20" width="8.81640625" style="2" bestFit="1" customWidth="1"/>
    <col min="21" max="21" width="8.1796875" style="2" bestFit="1" customWidth="1"/>
    <col min="22" max="22" width="8" style="2" bestFit="1" customWidth="1"/>
    <col min="23" max="23" width="7.81640625" style="2" bestFit="1" customWidth="1"/>
    <col min="24" max="16384" width="9.1796875" style="2"/>
  </cols>
  <sheetData>
    <row r="1" spans="1:24" ht="13.5" thickBot="1">
      <c r="A1" s="1" t="str">
        <f ca="1">MID(CELL("filename",A1),FIND("]",CELL("filename",A1))+1,256)</f>
        <v>Cyprus</v>
      </c>
    </row>
    <row r="2" spans="1:24" ht="13.5" thickBot="1">
      <c r="A2" s="3" t="s">
        <v>29</v>
      </c>
      <c r="B2" s="4" t="str">
        <f>'Cyprus-L'!C2</f>
        <v>2026/3/1</v>
      </c>
      <c r="C2" s="112" t="str">
        <f>'Cyprus-L'!E2</f>
        <v>2026/3/31</v>
      </c>
      <c r="E2" s="111" t="s">
        <v>30</v>
      </c>
    </row>
    <row r="3" spans="1:24" s="5" customFormat="1" ht="14.15" customHeight="1">
      <c r="A3" s="3"/>
      <c r="B3" s="4"/>
      <c r="E3" s="159" t="s">
        <v>31</v>
      </c>
      <c r="F3" s="161" t="s">
        <v>32</v>
      </c>
      <c r="G3" s="163" t="s">
        <v>33</v>
      </c>
      <c r="H3" s="164"/>
      <c r="I3" s="164"/>
      <c r="J3" s="165" t="s">
        <v>34</v>
      </c>
      <c r="K3" s="166"/>
      <c r="L3" s="166"/>
      <c r="M3" s="166"/>
      <c r="N3" s="166"/>
      <c r="O3" s="166"/>
      <c r="P3" s="166"/>
      <c r="Q3" s="167"/>
      <c r="R3" s="157" t="s">
        <v>35</v>
      </c>
      <c r="S3" s="157"/>
      <c r="T3" s="157"/>
      <c r="U3" s="157"/>
      <c r="V3" s="157" t="s">
        <v>36</v>
      </c>
      <c r="W3" s="158"/>
    </row>
    <row r="4" spans="1:24" s="5" customFormat="1" ht="39.5" thickBot="1">
      <c r="E4" s="160"/>
      <c r="F4" s="162"/>
      <c r="G4" s="24" t="s">
        <v>37</v>
      </c>
      <c r="H4" s="6" t="s">
        <v>97</v>
      </c>
      <c r="I4" s="6" t="s">
        <v>38</v>
      </c>
      <c r="J4" s="24" t="s">
        <v>37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24" t="s">
        <v>45</v>
      </c>
      <c r="R4" s="24" t="s">
        <v>37</v>
      </c>
      <c r="S4" s="6" t="str">
        <f>'Cyprus-L'!L7</f>
        <v>Employer's contributions</v>
      </c>
      <c r="T4" s="6" t="str">
        <f>'Cyprus-L'!M7</f>
        <v>Employer's &amp; Public Liabilit</v>
      </c>
      <c r="U4" s="6" t="str">
        <f>'Cyprus-L'!O7</f>
        <v>Medical Insurance</v>
      </c>
      <c r="V4" s="24" t="s">
        <v>37</v>
      </c>
      <c r="W4" s="96" t="s">
        <v>46</v>
      </c>
    </row>
    <row r="5" spans="1:24" s="5" customFormat="1" ht="13.5" thickBot="1">
      <c r="A5" s="1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</row>
    <row r="6" spans="1:24" s="11" customFormat="1">
      <c r="A6" s="10"/>
      <c r="B6" s="11" t="s">
        <v>31</v>
      </c>
      <c r="C6" s="11" t="s">
        <v>95</v>
      </c>
      <c r="E6" s="16">
        <f t="shared" ref="E6:F6" si="0">SUM(E9:E17)</f>
        <v>4780.1000000000004</v>
      </c>
      <c r="F6" s="17">
        <f t="shared" si="0"/>
        <v>0</v>
      </c>
      <c r="G6" s="17">
        <f>SUM(G9:G17)</f>
        <v>500</v>
      </c>
      <c r="H6" s="17">
        <f>SUM(H9:H17)</f>
        <v>0</v>
      </c>
      <c r="I6" s="17">
        <f t="shared" ref="I6:W6" si="1">SUM(I9:I17)</f>
        <v>500</v>
      </c>
      <c r="J6" s="17">
        <f t="shared" si="1"/>
        <v>3695.92</v>
      </c>
      <c r="K6" s="17">
        <f t="shared" si="1"/>
        <v>3695.92</v>
      </c>
      <c r="L6" s="17">
        <f t="shared" si="1"/>
        <v>0</v>
      </c>
      <c r="M6" s="17">
        <f t="shared" si="1"/>
        <v>0</v>
      </c>
      <c r="N6" s="17">
        <f t="shared" si="1"/>
        <v>0</v>
      </c>
      <c r="O6" s="17">
        <f t="shared" si="1"/>
        <v>0</v>
      </c>
      <c r="P6" s="17">
        <f t="shared" si="1"/>
        <v>0</v>
      </c>
      <c r="Q6" s="17">
        <f t="shared" si="1"/>
        <v>0</v>
      </c>
      <c r="R6" s="17">
        <f t="shared" si="1"/>
        <v>584.17999999999995</v>
      </c>
      <c r="S6" s="17">
        <f t="shared" si="1"/>
        <v>569.17999999999995</v>
      </c>
      <c r="T6" s="17">
        <f t="shared" si="1"/>
        <v>15</v>
      </c>
      <c r="U6" s="17">
        <f t="shared" si="1"/>
        <v>0</v>
      </c>
      <c r="V6" s="17">
        <f t="shared" si="1"/>
        <v>0</v>
      </c>
      <c r="W6" s="18">
        <f t="shared" si="1"/>
        <v>0</v>
      </c>
      <c r="X6" s="15"/>
    </row>
    <row r="7" spans="1:24" s="11" customFormat="1">
      <c r="A7" s="19"/>
      <c r="B7" s="34"/>
      <c r="C7" s="40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15"/>
    </row>
    <row r="8" spans="1:24" s="11" customFormat="1">
      <c r="A8" s="19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5"/>
    </row>
    <row r="9" spans="1:24" s="11" customFormat="1">
      <c r="A9" s="10"/>
      <c r="B9" s="11" t="str">
        <f>'Cyprus-L'!B8</f>
        <v>Anatoly Sidorov</v>
      </c>
      <c r="C9" s="11" t="str">
        <f>'Cyprus EE'!D10</f>
        <v>CNUS2026002-0002</v>
      </c>
      <c r="E9" s="16">
        <f>F9+G9+J9+R9+V9</f>
        <v>4780.1000000000004</v>
      </c>
      <c r="F9" s="17">
        <v>0</v>
      </c>
      <c r="G9" s="17">
        <f>SUM(H9:I9)</f>
        <v>500</v>
      </c>
      <c r="H9" s="17">
        <v>0</v>
      </c>
      <c r="I9" s="17">
        <v>500</v>
      </c>
      <c r="J9" s="17">
        <f>SUM(K9:Q9)</f>
        <v>3695.92</v>
      </c>
      <c r="K9" s="17">
        <f>'Cyprus-L'!C8</f>
        <v>3695.92</v>
      </c>
      <c r="L9" s="17">
        <f>'Cyprus-L'!D8</f>
        <v>0</v>
      </c>
      <c r="M9" s="17">
        <f>'Cyprus-L'!E8</f>
        <v>0</v>
      </c>
      <c r="N9" s="17">
        <f>'Cyprus-L'!F8</f>
        <v>0</v>
      </c>
      <c r="O9" s="17">
        <f>'Cyprus-L'!G8</f>
        <v>0</v>
      </c>
      <c r="P9" s="17">
        <f>'Cyprus-L'!H8</f>
        <v>0</v>
      </c>
      <c r="Q9" s="17">
        <f>'Cyprus-L'!I8</f>
        <v>0</v>
      </c>
      <c r="R9" s="17">
        <f>SUM(S9:U9)</f>
        <v>584.17999999999995</v>
      </c>
      <c r="S9" s="17">
        <f>'Cyprus-L'!L8</f>
        <v>569.17999999999995</v>
      </c>
      <c r="T9" s="17">
        <f>'Cyprus-L'!M8</f>
        <v>15</v>
      </c>
      <c r="U9" s="17">
        <f>'Cyprus-L'!O8</f>
        <v>0</v>
      </c>
      <c r="V9" s="17">
        <f>SUM(W9:W9)</f>
        <v>0</v>
      </c>
      <c r="W9" s="18">
        <f>'Cyprus-L'!J8</f>
        <v>0</v>
      </c>
      <c r="X9" s="15"/>
    </row>
    <row r="10" spans="1:24" s="11" customFormat="1">
      <c r="A10" s="10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5"/>
    </row>
    <row r="11" spans="1:24" s="11" customFormat="1">
      <c r="A11" s="10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15"/>
    </row>
    <row r="12" spans="1:24" s="11" customFormat="1">
      <c r="A12" s="10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5"/>
    </row>
    <row r="13" spans="1:24" s="11" customFormat="1">
      <c r="A13" s="10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5"/>
    </row>
    <row r="14" spans="1:24" s="11" customFormat="1">
      <c r="A14" s="10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5"/>
    </row>
    <row r="15" spans="1:24" s="11" customFormat="1">
      <c r="A15" s="10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5"/>
    </row>
    <row r="16" spans="1:24" s="11" customFormat="1">
      <c r="A16" s="10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5"/>
    </row>
    <row r="17" spans="1:24" s="11" customFormat="1" ht="13.5" thickBot="1">
      <c r="A17" s="10"/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2"/>
      <c r="X17" s="15"/>
    </row>
    <row r="20" spans="1:24" s="28" customFormat="1" ht="15" thickBot="1">
      <c r="A20" s="27"/>
    </row>
    <row r="21" spans="1:24" s="28" customFormat="1" ht="14.5">
      <c r="A21" s="27" t="s">
        <v>47</v>
      </c>
      <c r="B21" s="89"/>
      <c r="C21" s="89"/>
      <c r="D21" s="89"/>
      <c r="E21" s="90">
        <f>SUM(E22:E26)</f>
        <v>0</v>
      </c>
      <c r="F21" s="91">
        <v>0</v>
      </c>
    </row>
    <row r="22" spans="1:24" s="28" customFormat="1" ht="14.5">
      <c r="A22" s="27"/>
      <c r="B22" s="89" t="s">
        <v>17</v>
      </c>
      <c r="C22" s="89"/>
      <c r="D22" s="89"/>
      <c r="E22" s="92"/>
      <c r="F22" s="93"/>
      <c r="G22" s="31"/>
      <c r="H22" s="31"/>
    </row>
    <row r="23" spans="1:24" s="28" customFormat="1" ht="14.5">
      <c r="A23" s="27"/>
      <c r="B23" s="89" t="s">
        <v>18</v>
      </c>
      <c r="C23" s="89"/>
      <c r="D23" s="89"/>
      <c r="E23" s="92"/>
      <c r="F23" s="93">
        <v>0</v>
      </c>
    </row>
    <row r="24" spans="1:24" s="28" customFormat="1" ht="14.5">
      <c r="A24" s="27"/>
      <c r="B24" s="89" t="s">
        <v>48</v>
      </c>
      <c r="C24" s="89"/>
      <c r="D24" s="89"/>
      <c r="E24" s="92"/>
      <c r="F24" s="93">
        <v>0</v>
      </c>
    </row>
    <row r="25" spans="1:24" s="28" customFormat="1" ht="14.5">
      <c r="A25" s="27"/>
      <c r="B25" s="89" t="s">
        <v>49</v>
      </c>
      <c r="C25" s="89"/>
      <c r="D25" s="89"/>
      <c r="E25" s="92"/>
      <c r="F25" s="93"/>
    </row>
    <row r="26" spans="1:24" s="28" customFormat="1" ht="15" thickBot="1">
      <c r="A26" s="27"/>
      <c r="B26" s="89" t="s">
        <v>50</v>
      </c>
      <c r="C26" s="89"/>
      <c r="D26" s="89"/>
      <c r="E26" s="94">
        <v>0</v>
      </c>
      <c r="F26" s="95"/>
    </row>
  </sheetData>
  <mergeCells count="6">
    <mergeCell ref="V3:W3"/>
    <mergeCell ref="R3:U3"/>
    <mergeCell ref="E3:E4"/>
    <mergeCell ref="F3:F4"/>
    <mergeCell ref="G3:I3"/>
    <mergeCell ref="J3:Q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00B2-45A4-2343-82FA-8DD4F2BDAAE6}">
  <dimension ref="A1:T19"/>
  <sheetViews>
    <sheetView zoomScaleNormal="55" workbookViewId="0">
      <selection activeCell="E28" sqref="E28"/>
    </sheetView>
  </sheetViews>
  <sheetFormatPr defaultColWidth="9.1796875" defaultRowHeight="13"/>
  <cols>
    <col min="1" max="1" width="12.26953125" style="1" bestFit="1" customWidth="1"/>
    <col min="2" max="2" width="12.36328125" style="2" bestFit="1" customWidth="1"/>
    <col min="3" max="3" width="26.6328125" style="2" bestFit="1" customWidth="1"/>
    <col min="4" max="4" width="17.1796875" style="2" bestFit="1" customWidth="1"/>
    <col min="5" max="5" width="14" style="2" bestFit="1" customWidth="1"/>
    <col min="6" max="6" width="8.453125" style="2" bestFit="1" customWidth="1"/>
    <col min="7" max="7" width="9.453125" style="2" bestFit="1" customWidth="1"/>
    <col min="8" max="9" width="8.26953125" style="2" bestFit="1" customWidth="1"/>
    <col min="10" max="10" width="8.81640625" style="2" bestFit="1" customWidth="1"/>
    <col min="11" max="11" width="4.7265625" style="2" bestFit="1" customWidth="1"/>
    <col min="12" max="12" width="8.26953125" style="2" bestFit="1" customWidth="1"/>
    <col min="13" max="13" width="5.1796875" style="2" bestFit="1" customWidth="1"/>
    <col min="14" max="14" width="7.1796875" style="2" bestFit="1" customWidth="1"/>
    <col min="15" max="15" width="6.81640625" style="2" bestFit="1" customWidth="1"/>
    <col min="16" max="16" width="5.26953125" style="2" bestFit="1" customWidth="1"/>
    <col min="17" max="18" width="7.453125" style="2" bestFit="1" customWidth="1"/>
    <col min="19" max="19" width="10.1796875" style="2" customWidth="1"/>
    <col min="20" max="20" width="12.36328125" style="2" customWidth="1"/>
    <col min="21" max="16384" width="9.1796875" style="2"/>
  </cols>
  <sheetData>
    <row r="1" spans="1:20" ht="13.5" thickBot="1">
      <c r="A1" s="1" t="str">
        <f ca="1">MID(CELL("filename",A1),FIND("]",CELL("filename",A1))+1,256)</f>
        <v>Cyprus EE</v>
      </c>
      <c r="C1" s="4"/>
      <c r="D1" s="4"/>
      <c r="E1" s="4"/>
      <c r="F1" s="4"/>
      <c r="H1" s="26"/>
    </row>
    <row r="2" spans="1:20" ht="13.5" thickBot="1">
      <c r="A2" s="3"/>
      <c r="B2" s="4"/>
      <c r="C2" s="4"/>
      <c r="D2" s="4"/>
      <c r="E2" s="4"/>
      <c r="F2" s="4"/>
      <c r="H2" s="25" t="s">
        <v>51</v>
      </c>
    </row>
    <row r="3" spans="1:20" s="5" customFormat="1" ht="14.15" customHeight="1">
      <c r="A3" s="35"/>
      <c r="B3" s="169" t="s">
        <v>52</v>
      </c>
      <c r="C3" s="169" t="s">
        <v>53</v>
      </c>
      <c r="D3" s="169" t="s">
        <v>54</v>
      </c>
      <c r="E3" s="169" t="s">
        <v>55</v>
      </c>
      <c r="F3" s="171" t="s">
        <v>29</v>
      </c>
      <c r="G3" s="172"/>
      <c r="H3" s="168" t="s">
        <v>56</v>
      </c>
      <c r="I3" s="165" t="s">
        <v>34</v>
      </c>
      <c r="J3" s="166"/>
      <c r="K3" s="166"/>
      <c r="L3" s="166"/>
      <c r="M3" s="166"/>
      <c r="N3" s="166"/>
      <c r="O3" s="166"/>
      <c r="P3" s="166"/>
      <c r="Q3" s="157" t="s">
        <v>36</v>
      </c>
      <c r="R3" s="157"/>
      <c r="S3" s="157" t="s">
        <v>35</v>
      </c>
      <c r="T3" s="158"/>
    </row>
    <row r="4" spans="1:20" s="5" customFormat="1" ht="39.5" thickBot="1">
      <c r="A4" s="35"/>
      <c r="B4" s="170"/>
      <c r="C4" s="170"/>
      <c r="D4" s="170"/>
      <c r="E4" s="170"/>
      <c r="F4" s="36" t="s">
        <v>57</v>
      </c>
      <c r="G4" s="36" t="s">
        <v>58</v>
      </c>
      <c r="H4" s="160"/>
      <c r="I4" s="24" t="s">
        <v>37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24" t="s">
        <v>45</v>
      </c>
      <c r="Q4" s="24" t="s">
        <v>37</v>
      </c>
      <c r="R4" s="6" t="s">
        <v>46</v>
      </c>
      <c r="S4" s="24" t="s">
        <v>37</v>
      </c>
      <c r="T4" s="96" t="s">
        <v>96</v>
      </c>
    </row>
    <row r="5" spans="1:20" s="5" customFormat="1" ht="15" thickBot="1">
      <c r="A5" s="27"/>
      <c r="B5" s="33"/>
      <c r="C5" s="33"/>
      <c r="D5" s="33"/>
      <c r="E5" s="33"/>
      <c r="F5" s="33"/>
      <c r="G5" s="33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</row>
    <row r="6" spans="1:20" s="11" customFormat="1" ht="14.5">
      <c r="A6" s="29" t="s">
        <v>59</v>
      </c>
      <c r="B6" s="37"/>
      <c r="C6" s="37"/>
      <c r="D6" s="37"/>
      <c r="E6" s="37"/>
      <c r="F6" s="37"/>
      <c r="G6" s="37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 s="11" customFormat="1" ht="14.5">
      <c r="A7" s="29"/>
      <c r="B7" s="37"/>
      <c r="C7" s="37"/>
      <c r="D7" s="37"/>
      <c r="E7" s="37"/>
      <c r="F7" s="37"/>
      <c r="G7" s="37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</row>
    <row r="8" spans="1:20" s="11" customFormat="1" ht="14.5">
      <c r="A8" s="38"/>
      <c r="B8" s="39"/>
      <c r="C8" s="39"/>
      <c r="D8" s="39"/>
      <c r="E8" s="39"/>
      <c r="F8" s="39"/>
      <c r="G8" s="39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</row>
    <row r="9" spans="1:20" s="11" customFormat="1" ht="14.5">
      <c r="A9" s="38"/>
      <c r="B9" s="30"/>
      <c r="C9" s="30"/>
      <c r="D9" s="30"/>
      <c r="E9" s="30"/>
      <c r="F9" s="30"/>
      <c r="G9" s="30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</row>
    <row r="10" spans="1:20" s="11" customFormat="1" ht="14.5">
      <c r="A10" s="29"/>
      <c r="B10" s="30" t="str">
        <f>PN!B9</f>
        <v>CNUS2026002</v>
      </c>
      <c r="C10" s="30" t="str">
        <f>PN!B8</f>
        <v xml:space="preserve">Atlant International Group Ltd </v>
      </c>
      <c r="D10" s="30" t="str">
        <f>'Cyprus-L'!A8</f>
        <v>CNUS2026002-0002</v>
      </c>
      <c r="E10" s="30" t="str">
        <f>'Cyprus-L'!B8</f>
        <v>Anatoly Sidorov</v>
      </c>
      <c r="F10" s="39" t="str">
        <f>'Cyprus-L'!C2</f>
        <v>2026/3/1</v>
      </c>
      <c r="G10" s="39" t="str">
        <f>'Cyprus-L'!E2</f>
        <v>2026/3/31</v>
      </c>
      <c r="H10" s="16">
        <f>I10+Q10+S10</f>
        <v>3000</v>
      </c>
      <c r="I10" s="17">
        <f>SUM(J10:P10)</f>
        <v>3695.92</v>
      </c>
      <c r="J10" s="17">
        <f>'Cyprus-L'!C8</f>
        <v>3695.92</v>
      </c>
      <c r="K10" s="17">
        <f>'Cyprus-L'!D8</f>
        <v>0</v>
      </c>
      <c r="L10" s="17">
        <f>'Cyprus-L'!E8</f>
        <v>0</v>
      </c>
      <c r="M10" s="17">
        <f>'Cyprus-L'!F8</f>
        <v>0</v>
      </c>
      <c r="N10" s="17">
        <f>'Cyprus-L'!G8</f>
        <v>0</v>
      </c>
      <c r="O10" s="17">
        <f>'Cyprus-L'!H8</f>
        <v>0</v>
      </c>
      <c r="P10" s="17">
        <f>'Cyprus-L'!I8</f>
        <v>0</v>
      </c>
      <c r="Q10" s="17">
        <f>SUM(R10:R10)</f>
        <v>0</v>
      </c>
      <c r="R10" s="17">
        <f>'Cyprus-L'!J8</f>
        <v>0</v>
      </c>
      <c r="S10" s="17">
        <f>SUM(T10:T10)</f>
        <v>-695.92</v>
      </c>
      <c r="T10" s="18">
        <f>'Cyprus-L'!N8</f>
        <v>-695.92</v>
      </c>
    </row>
    <row r="11" spans="1:20" s="11" customFormat="1">
      <c r="A11" s="10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</row>
    <row r="12" spans="1:20" s="11" customFormat="1">
      <c r="A12" s="10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</row>
    <row r="13" spans="1:20" s="11" customFormat="1">
      <c r="A13" s="10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</row>
    <row r="14" spans="1:20" s="11" customFormat="1">
      <c r="A14" s="10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/>
    </row>
    <row r="15" spans="1:20" s="11" customFormat="1">
      <c r="A15" s="10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</row>
    <row r="16" spans="1:20" s="11" customFormat="1">
      <c r="A16" s="10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</row>
    <row r="17" spans="1:20" s="11" customFormat="1">
      <c r="A17" s="10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</row>
    <row r="18" spans="1:20" s="11" customFormat="1">
      <c r="A18" s="10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</row>
    <row r="19" spans="1:20" s="11" customFormat="1" ht="13.5" thickBot="1">
      <c r="A19" s="10"/>
      <c r="H19" s="20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</row>
  </sheetData>
  <mergeCells count="9">
    <mergeCell ref="Q3:R3"/>
    <mergeCell ref="S3:T3"/>
    <mergeCell ref="H3:H4"/>
    <mergeCell ref="I3:P3"/>
    <mergeCell ref="B3:B4"/>
    <mergeCell ref="C3:C4"/>
    <mergeCell ref="D3:D4"/>
    <mergeCell ref="E3:E4"/>
    <mergeCell ref="F3:G3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T13"/>
  <sheetViews>
    <sheetView zoomScale="115" workbookViewId="0">
      <selection activeCell="O13" sqref="O13"/>
    </sheetView>
  </sheetViews>
  <sheetFormatPr defaultColWidth="8.81640625" defaultRowHeight="14.5"/>
  <cols>
    <col min="1" max="1" width="6.7265625" customWidth="1"/>
    <col min="2" max="2" width="23.1796875" customWidth="1"/>
    <col min="3" max="3" width="11.1796875" customWidth="1"/>
    <col min="4" max="4" width="8" customWidth="1"/>
    <col min="5" max="5" width="10.7265625" customWidth="1"/>
    <col min="6" max="6" width="8.26953125" customWidth="1"/>
    <col min="7" max="7" width="8.36328125" customWidth="1"/>
    <col min="8" max="8" width="8" customWidth="1"/>
    <col min="9" max="9" width="7.90625" customWidth="1"/>
    <col min="10" max="11" width="9" bestFit="1" customWidth="1"/>
    <col min="12" max="12" width="9.81640625" customWidth="1"/>
    <col min="13" max="13" width="10.08984375" customWidth="1"/>
    <col min="14" max="14" width="9.7265625" bestFit="1" customWidth="1"/>
    <col min="16" max="16" width="12.81640625" customWidth="1"/>
    <col min="17" max="18" width="15" customWidth="1"/>
    <col min="19" max="19" width="13.1796875" customWidth="1"/>
    <col min="20" max="20" width="10.7265625" customWidth="1"/>
    <col min="22" max="22" width="9.453125" bestFit="1" customWidth="1"/>
    <col min="42" max="42" width="10.7265625" bestFit="1" customWidth="1"/>
  </cols>
  <sheetData>
    <row r="1" spans="1:20">
      <c r="A1" s="173" t="s">
        <v>5</v>
      </c>
      <c r="B1" s="173"/>
      <c r="C1" s="99" t="str">
        <f>PN!B8</f>
        <v xml:space="preserve">Atlant International Group Ltd </v>
      </c>
    </row>
    <row r="2" spans="1:20">
      <c r="A2" s="173" t="s">
        <v>60</v>
      </c>
      <c r="B2" s="173"/>
      <c r="C2" s="100" t="s">
        <v>101</v>
      </c>
      <c r="D2" s="98" t="s">
        <v>61</v>
      </c>
      <c r="E2" s="100" t="s">
        <v>102</v>
      </c>
    </row>
    <row r="3" spans="1:20">
      <c r="A3" s="173" t="s">
        <v>62</v>
      </c>
      <c r="B3" s="173"/>
      <c r="C3" s="101" t="s">
        <v>88</v>
      </c>
    </row>
    <row r="6" spans="1:20" ht="15" thickBot="1"/>
    <row r="7" spans="1:20" s="23" customFormat="1" ht="58.5" thickBot="1">
      <c r="A7" s="102" t="s">
        <v>63</v>
      </c>
      <c r="B7" s="103" t="s">
        <v>64</v>
      </c>
      <c r="C7" s="103" t="s">
        <v>100</v>
      </c>
      <c r="D7" s="103" t="s">
        <v>40</v>
      </c>
      <c r="E7" s="103" t="s">
        <v>41</v>
      </c>
      <c r="F7" s="103" t="s">
        <v>65</v>
      </c>
      <c r="G7" s="103" t="s">
        <v>43</v>
      </c>
      <c r="H7" s="103" t="s">
        <v>44</v>
      </c>
      <c r="I7" s="103" t="s">
        <v>45</v>
      </c>
      <c r="J7" s="103" t="s">
        <v>66</v>
      </c>
      <c r="K7" s="103" t="s">
        <v>67</v>
      </c>
      <c r="L7" s="103" t="s">
        <v>92</v>
      </c>
      <c r="M7" s="103" t="s">
        <v>93</v>
      </c>
      <c r="N7" s="103" t="s">
        <v>94</v>
      </c>
      <c r="O7" s="103" t="s">
        <v>68</v>
      </c>
      <c r="P7" s="103" t="s">
        <v>69</v>
      </c>
      <c r="Q7" s="103" t="s">
        <v>70</v>
      </c>
      <c r="R7" s="104" t="s">
        <v>71</v>
      </c>
    </row>
    <row r="8" spans="1:20">
      <c r="A8" s="105" t="s">
        <v>90</v>
      </c>
      <c r="B8" s="106" t="s">
        <v>91</v>
      </c>
      <c r="C8" s="107">
        <v>3695.92</v>
      </c>
      <c r="D8" s="107"/>
      <c r="E8" s="107"/>
      <c r="F8" s="107"/>
      <c r="G8" s="107"/>
      <c r="H8" s="107"/>
      <c r="I8" s="107"/>
      <c r="J8" s="107"/>
      <c r="K8" s="107">
        <f>SUM(C8:I8)</f>
        <v>3695.92</v>
      </c>
      <c r="L8" s="107">
        <v>569.17999999999995</v>
      </c>
      <c r="M8" s="107">
        <v>15</v>
      </c>
      <c r="N8" s="107">
        <v>-695.92</v>
      </c>
      <c r="O8" s="107"/>
      <c r="P8" s="107"/>
      <c r="Q8" s="107">
        <f>K8+J8+N8</f>
        <v>3000</v>
      </c>
      <c r="R8" s="108">
        <f>J8+K8+L8+M8+O8+P8</f>
        <v>4280.1000000000004</v>
      </c>
      <c r="T8" s="109"/>
    </row>
    <row r="9" spans="1:20">
      <c r="A9" s="105"/>
      <c r="B9" s="106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</row>
    <row r="10" spans="1:20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</row>
    <row r="11" spans="1:20">
      <c r="A11" s="105"/>
      <c r="B11" s="106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</row>
    <row r="12" spans="1:20">
      <c r="A12" s="105"/>
      <c r="B12" s="110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</row>
    <row r="13" spans="1:20">
      <c r="A13" s="105"/>
      <c r="B13" s="110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</sheetData>
  <mergeCells count="3">
    <mergeCell ref="A1:B1"/>
    <mergeCell ref="A2:B2"/>
    <mergeCell ref="A3:B3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1CCB-014D-4C81-99E7-C5150F29E44F}">
  <dimension ref="A1:K9"/>
  <sheetViews>
    <sheetView workbookViewId="0">
      <selection activeCell="C3" sqref="C3"/>
    </sheetView>
  </sheetViews>
  <sheetFormatPr defaultColWidth="8.7265625" defaultRowHeight="14.5"/>
  <cols>
    <col min="1" max="1" width="14.26953125" style="32" customWidth="1"/>
    <col min="2" max="2" width="13.7265625" style="32" customWidth="1"/>
    <col min="3" max="3" width="15.81640625" style="32" customWidth="1"/>
    <col min="4" max="4" width="9.26953125" style="32" customWidth="1"/>
    <col min="5" max="6" width="14.7265625" style="32" customWidth="1"/>
    <col min="7" max="16384" width="8.7265625" style="32"/>
  </cols>
  <sheetData>
    <row r="1" spans="1:11" s="28" customFormat="1" ht="58">
      <c r="A1" s="23" t="s">
        <v>72</v>
      </c>
      <c r="B1" s="23" t="s">
        <v>73</v>
      </c>
      <c r="C1" s="23" t="s">
        <v>74</v>
      </c>
      <c r="D1" s="23" t="s">
        <v>75</v>
      </c>
      <c r="E1" s="23" t="s">
        <v>76</v>
      </c>
      <c r="F1" s="97" t="s">
        <v>77</v>
      </c>
      <c r="G1" s="97" t="s">
        <v>78</v>
      </c>
      <c r="H1" s="23" t="s">
        <v>79</v>
      </c>
      <c r="I1" s="23" t="s">
        <v>80</v>
      </c>
      <c r="J1" s="97" t="s">
        <v>81</v>
      </c>
      <c r="K1" s="23" t="s">
        <v>82</v>
      </c>
    </row>
    <row r="2" spans="1:11" s="28" customFormat="1">
      <c r="A2" s="113">
        <f>PN!F15</f>
        <v>4280.1000000000004</v>
      </c>
      <c r="B2" s="113">
        <f>PN!F34</f>
        <v>0</v>
      </c>
      <c r="C2" s="113">
        <f>PN!F20</f>
        <v>500</v>
      </c>
      <c r="D2" s="113">
        <f>PN!F32</f>
        <v>0</v>
      </c>
      <c r="E2" s="113">
        <f>PN!F31</f>
        <v>0</v>
      </c>
      <c r="F2" s="28">
        <v>0</v>
      </c>
      <c r="G2" s="28">
        <v>0</v>
      </c>
      <c r="H2" s="113">
        <f>PN!F29</f>
        <v>0</v>
      </c>
      <c r="I2" s="113">
        <f>PN!F30</f>
        <v>0</v>
      </c>
      <c r="J2" s="28">
        <v>0</v>
      </c>
      <c r="K2" s="28">
        <f>SUM(A2:J2)</f>
        <v>4780.1000000000004</v>
      </c>
    </row>
    <row r="3" spans="1:11" s="28" customFormat="1"/>
    <row r="4" spans="1:11" s="28" customFormat="1"/>
    <row r="5" spans="1:11" s="28" customFormat="1"/>
    <row r="6" spans="1:11" s="28" customFormat="1"/>
    <row r="7" spans="1:11" s="28" customFormat="1">
      <c r="A7" s="28" t="s">
        <v>83</v>
      </c>
    </row>
    <row r="8" spans="1:11" s="28" customFormat="1">
      <c r="A8" s="28" t="s">
        <v>84</v>
      </c>
    </row>
    <row r="9" spans="1:11" s="28" customFormat="1">
      <c r="A9" s="28" t="s">
        <v>85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F857A3-7A3E-4E66-9C46-2FEF764A8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81C1AA-15EC-4ADB-A46F-B6AE36F878FA}">
  <ds:schemaRefs>
    <ds:schemaRef ds:uri="http://schemas.microsoft.com/office/2006/metadata/properties"/>
    <ds:schemaRef ds:uri="http://schemas.microsoft.com/office/infopath/2007/PartnerControls"/>
    <ds:schemaRef ds:uri="00ff829c-5328-4041-8e8f-a41155b380ee"/>
    <ds:schemaRef ds:uri="d627f54e-f962-403c-9056-fc9f08248a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Cyprus</vt:lpstr>
      <vt:lpstr>Cyprus EE</vt:lpstr>
      <vt:lpstr>Cyprus-L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dcterms:created xsi:type="dcterms:W3CDTF">2019-04-02T09:07:35Z</dcterms:created>
  <dcterms:modified xsi:type="dcterms:W3CDTF">2026-03-10T01:58:00Z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